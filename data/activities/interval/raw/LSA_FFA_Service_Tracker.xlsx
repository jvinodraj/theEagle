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ssels" sheetId="1" state="visible" r:id="rId3"/>
    <sheet name="Item Master" sheetId="2" state="visible" r:id="rId4"/>
    <sheet name="Tracker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<sst xmlns="http://schemas.openxmlformats.org/spreadsheetml/2006/main" count="13973" uniqueCount="188">
  <si>
    <t xml:space="preserve">Vessel List (30-Vessel Capacity)</t>
  </si>
  <si>
    <t xml:space="preserve">Rename Vessel Name cells below (col B) — Tracker sheet updates automatically. Vessel 01 is pre-loaded with sample data from the uploaded template.</t>
  </si>
  <si>
    <t xml:space="preserve">Vessel No.</t>
  </si>
  <si>
    <t xml:space="preserve">Vessel Name</t>
  </si>
  <si>
    <t xml:space="preserve">Vessel 01</t>
  </si>
  <si>
    <t xml:space="preserve">Vessel 02</t>
  </si>
  <si>
    <t xml:space="preserve">Vessel 03</t>
  </si>
  <si>
    <t xml:space="preserve">Vessel 04</t>
  </si>
  <si>
    <t xml:space="preserve">Vessel 05</t>
  </si>
  <si>
    <t xml:space="preserve">Vessel 06</t>
  </si>
  <si>
    <t xml:space="preserve">Vessel 07</t>
  </si>
  <si>
    <t xml:space="preserve">Vessel 08</t>
  </si>
  <si>
    <t xml:space="preserve">Vessel 09</t>
  </si>
  <si>
    <t xml:space="preserve">Vessel 10</t>
  </si>
  <si>
    <t xml:space="preserve">Vessel 11</t>
  </si>
  <si>
    <t xml:space="preserve">Vessel 12</t>
  </si>
  <si>
    <t xml:space="preserve">Vessel 13</t>
  </si>
  <si>
    <t xml:space="preserve">Vessel 14</t>
  </si>
  <si>
    <t xml:space="preserve">Vessel 15</t>
  </si>
  <si>
    <t xml:space="preserve">Vessel 16</t>
  </si>
  <si>
    <t xml:space="preserve">Vessel 17</t>
  </si>
  <si>
    <t xml:space="preserve">Vessel 18</t>
  </si>
  <si>
    <t xml:space="preserve">Vessel 19</t>
  </si>
  <si>
    <t xml:space="preserve">Vessel 20</t>
  </si>
  <si>
    <t xml:space="preserve">Vessel 21</t>
  </si>
  <si>
    <t xml:space="preserve">Vessel 22</t>
  </si>
  <si>
    <t xml:space="preserve">Vessel 23</t>
  </si>
  <si>
    <t xml:space="preserve">Vessel 24</t>
  </si>
  <si>
    <t xml:space="preserve">Vessel 25</t>
  </si>
  <si>
    <t xml:space="preserve">Vessel 26</t>
  </si>
  <si>
    <t xml:space="preserve">Vessel 27</t>
  </si>
  <si>
    <t xml:space="preserve">Vessel 28</t>
  </si>
  <si>
    <t xml:space="preserve">Vessel 29</t>
  </si>
  <si>
    <t xml:space="preserve">Vessel 30</t>
  </si>
  <si>
    <t xml:space="preserve">LSA &amp; FFA Item Master Checklist</t>
  </si>
  <si>
    <t xml:space="preserve">112 tracked items extracted from the source Planning &amp; Arrangement of Services template. This is the checklist applied to every vessel on the Tracker sheet.</t>
  </si>
  <si>
    <t xml:space="preserve">#</t>
  </si>
  <si>
    <t xml:space="preserve">Category</t>
  </si>
  <si>
    <t xml:space="preserve">Item</t>
  </si>
  <si>
    <t xml:space="preserve">Interval Label</t>
  </si>
  <si>
    <t xml:space="preserve">Interval (Months)</t>
  </si>
  <si>
    <t xml:space="preserve">Type</t>
  </si>
  <si>
    <t xml:space="preserve">Life Saving Appliances</t>
  </si>
  <si>
    <t xml:space="preserve">Life Boat - Davits</t>
  </si>
  <si>
    <t xml:space="preserve">Annual</t>
  </si>
  <si>
    <t xml:space="preserve">Interval-Based</t>
  </si>
  <si>
    <t xml:space="preserve">5 Yearly</t>
  </si>
  <si>
    <t xml:space="preserve">Life Boat - On Load / Off Load Release</t>
  </si>
  <si>
    <t xml:space="preserve">Life Boat - Air Supporting System</t>
  </si>
  <si>
    <t xml:space="preserve">Hydro Test</t>
  </si>
  <si>
    <t xml:space="preserve">Life Boat - Extinguisher</t>
  </si>
  <si>
    <t xml:space="preserve">Life Boat - Falls</t>
  </si>
  <si>
    <t xml:space="preserve">Life Boat - Food Ration</t>
  </si>
  <si>
    <t xml:space="preserve">Life Boat - Seasicknes Tablet</t>
  </si>
  <si>
    <t xml:space="preserve">Life Boat - First Aid Kit</t>
  </si>
  <si>
    <t xml:space="preserve">Life Boat - Water</t>
  </si>
  <si>
    <t xml:space="preserve">Life Boat - FPD</t>
  </si>
  <si>
    <t xml:space="preserve">Life Boat - Pyrotechnics</t>
  </si>
  <si>
    <t xml:space="preserve">Check Expiry Date</t>
  </si>
  <si>
    <t xml:space="preserve">Direct Expiry</t>
  </si>
  <si>
    <t xml:space="preserve">Rescue Boat - Davits</t>
  </si>
  <si>
    <t xml:space="preserve">Rescue Boat - On Load / Off Load Release</t>
  </si>
  <si>
    <t xml:space="preserve">Rescue Boat - Air Supporting System</t>
  </si>
  <si>
    <t xml:space="preserve">Rescue Boat - Extinguisher</t>
  </si>
  <si>
    <t xml:space="preserve">Rescue Boat - Falls</t>
  </si>
  <si>
    <t xml:space="preserve">Rescue Boat - Food Ration</t>
  </si>
  <si>
    <t xml:space="preserve">Rescue Boat - Seasicknes Tablet</t>
  </si>
  <si>
    <t xml:space="preserve">Rescue Boat - First Aid Kit</t>
  </si>
  <si>
    <t xml:space="preserve">Rescue Boat - Water</t>
  </si>
  <si>
    <t xml:space="preserve">Rescue Boat - FPD</t>
  </si>
  <si>
    <t xml:space="preserve">Rescue Boat - Pyrotechnics</t>
  </si>
  <si>
    <t xml:space="preserve">Life Raft (P) - Life Raft</t>
  </si>
  <si>
    <t xml:space="preserve">Life Raft (P) - LR HRU</t>
  </si>
  <si>
    <t xml:space="preserve">Life Raft (S) - Life Raft</t>
  </si>
  <si>
    <t xml:space="preserve">Life Raft (S) - LR HRU</t>
  </si>
  <si>
    <t xml:space="preserve">Fwd Life Raft - LR HRU</t>
  </si>
  <si>
    <t xml:space="preserve">L J Lights - LR HRU</t>
  </si>
  <si>
    <t xml:space="preserve">SI Lights - LR HRU</t>
  </si>
  <si>
    <t xml:space="preserve">ETA Battery - LR HRU</t>
  </si>
  <si>
    <t xml:space="preserve">EEBD - LR HRU</t>
  </si>
  <si>
    <t xml:space="preserve">Immersion Suit - LR HRU</t>
  </si>
  <si>
    <t xml:space="preserve">Every 3 yrs</t>
  </si>
  <si>
    <t xml:space="preserve">Every 2 Yrs</t>
  </si>
  <si>
    <t xml:space="preserve">Fixed Medical Oxygen Bottle - LR HRU</t>
  </si>
  <si>
    <t xml:space="preserve">Hydro Test (5 Yr)</t>
  </si>
  <si>
    <t xml:space="preserve">Portable Resuscitator - LR HRU</t>
  </si>
  <si>
    <t xml:space="preserve">Life Jacket - LR HRU</t>
  </si>
  <si>
    <t xml:space="preserve">Inflatable Life Jacket - LR HRU</t>
  </si>
  <si>
    <t xml:space="preserve">Fire Fighting Appliances</t>
  </si>
  <si>
    <t xml:space="preserve">Fixed Foam Compound - Low Expansion</t>
  </si>
  <si>
    <t xml:space="preserve">Lab Analysis Req: After 3 Years from Manufacture date, then Annually Thereafter</t>
  </si>
  <si>
    <t xml:space="preserve">Portable Extinguisher - DCP</t>
  </si>
  <si>
    <t xml:space="preserve">Hydro Test (10 Yr)</t>
  </si>
  <si>
    <t xml:space="preserve">Portable Extinguisher - Foam</t>
  </si>
  <si>
    <t xml:space="preserve">Portable Extinguisher - CO2</t>
  </si>
  <si>
    <t xml:space="preserve">Portable Extinguisher - CO2 (23 KG)</t>
  </si>
  <si>
    <t xml:space="preserve">Wheeled Extinguisher - CO2 (23 KG)</t>
  </si>
  <si>
    <t xml:space="preserve">Hydro Test (10 Yrs)</t>
  </si>
  <si>
    <t xml:space="preserve">SCBA - CO2 (23 KG)</t>
  </si>
  <si>
    <t xml:space="preserve">Hydro Test (5 Yrs)</t>
  </si>
  <si>
    <t xml:space="preserve">SCBA (IBC) - CO2 (23 KG)</t>
  </si>
  <si>
    <t xml:space="preserve">Air Compressor Purity Test - CO2 (23 KG)</t>
  </si>
  <si>
    <t xml:space="preserve">Fixed CO2 (10% of Cylinder every 10 years) - CO2 (23 KG)</t>
  </si>
  <si>
    <t xml:space="preserve">Hyper Mist - CO2 (23 KG)</t>
  </si>
  <si>
    <t xml:space="preserve">Galley Fire System - CO2 (23 KG)</t>
  </si>
  <si>
    <t xml:space="preserve">Foam Applicator - CO2 (23 KG)</t>
  </si>
  <si>
    <t xml:space="preserve">Fixed : Foam Sampling - CO2 (23 KG)</t>
  </si>
  <si>
    <t xml:space="preserve">Breathing Air Compressor - CO2 (23 KG)</t>
  </si>
  <si>
    <t xml:space="preserve">Air Cylinder for SCBA - CO2 (23 KG)</t>
  </si>
  <si>
    <t xml:space="preserve">Annual Check</t>
  </si>
  <si>
    <t xml:space="preserve">Hydrostatic Test (5 Yr)</t>
  </si>
  <si>
    <t xml:space="preserve">Fireman Suit - CO2 (23 KG)</t>
  </si>
  <si>
    <t xml:space="preserve">Deep Fat Fryer - CO2 (23 KG)</t>
  </si>
  <si>
    <t xml:space="preserve">Fixed Foam Ext PFOS Lab Test - CO2 (23 KG)</t>
  </si>
  <si>
    <t xml:space="preserve">From 01 Jan 2026 Limit&lt;=10 mg/kg (0.001%by weight)</t>
  </si>
  <si>
    <t xml:space="preserve">Manual Review</t>
  </si>
  <si>
    <t xml:space="preserve">Portable Foam Ext PFOS lab Test - CO2 (23 KG)</t>
  </si>
  <si>
    <t xml:space="preserve">Bridge</t>
  </si>
  <si>
    <t xml:space="preserve">Bridge Pyrotechnics - LTA</t>
  </si>
  <si>
    <t xml:space="preserve">Check for Expiry Date</t>
  </si>
  <si>
    <t xml:space="preserve">Gyro - No. 1</t>
  </si>
  <si>
    <t xml:space="preserve">Gyro - No. 2</t>
  </si>
  <si>
    <t xml:space="preserve">Magnetic Compass Dev - No. 2</t>
  </si>
  <si>
    <t xml:space="preserve">2 Yrly</t>
  </si>
  <si>
    <t xml:space="preserve">SART - Batt (P)</t>
  </si>
  <si>
    <t xml:space="preserve">SART - Batt (S)</t>
  </si>
  <si>
    <t xml:space="preserve">EPRIB - Inspection</t>
  </si>
  <si>
    <t xml:space="preserve">EPRIB - Batt</t>
  </si>
  <si>
    <t xml:space="preserve">EPRIB - HRU</t>
  </si>
  <si>
    <t xml:space="preserve">GMDSS Radio - HRU</t>
  </si>
  <si>
    <t xml:space="preserve">VDR - HRU</t>
  </si>
  <si>
    <t xml:space="preserve">AIS - HRU</t>
  </si>
  <si>
    <t xml:space="preserve">SSAS Test - HRU</t>
  </si>
  <si>
    <t xml:space="preserve">Radio Annual - HRU</t>
  </si>
  <si>
    <t xml:space="preserve">SART Testing - HRU</t>
  </si>
  <si>
    <t xml:space="preserve">GMDSS - HRU</t>
  </si>
  <si>
    <t xml:space="preserve">Calibration Equipment's</t>
  </si>
  <si>
    <t xml:space="preserve">Pr. Calibrator</t>
  </si>
  <si>
    <t xml:space="preserve">Temp. Calibrator</t>
  </si>
  <si>
    <t xml:space="preserve">Alcohol Meter</t>
  </si>
  <si>
    <t xml:space="preserve">Replace or Annual</t>
  </si>
  <si>
    <t xml:space="preserve">UTI's</t>
  </si>
  <si>
    <t xml:space="preserve">Pressure Gauge</t>
  </si>
  <si>
    <t xml:space="preserve">As &amp; When Required</t>
  </si>
  <si>
    <t xml:space="preserve">Fixed Gas Detection System</t>
  </si>
  <si>
    <t xml:space="preserve">OWS OMD</t>
  </si>
  <si>
    <t xml:space="preserve">ODME</t>
  </si>
  <si>
    <t xml:space="preserve">Flowmeter</t>
  </si>
  <si>
    <t xml:space="preserve">Dynamometer</t>
  </si>
  <si>
    <t xml:space="preserve">Portable / Multi Gas Detectors</t>
  </si>
  <si>
    <t xml:space="preserve">Oxygen Analyzer</t>
  </si>
  <si>
    <t xml:space="preserve">Torque Wrench</t>
  </si>
  <si>
    <t xml:space="preserve">Personal Gas Meters</t>
  </si>
  <si>
    <t xml:space="preserve">Vapour Alarm System</t>
  </si>
  <si>
    <t xml:space="preserve">Loading Computer Test</t>
  </si>
  <si>
    <t xml:space="preserve">Ballast Water Sample</t>
  </si>
  <si>
    <t xml:space="preserve">BWTS - Calibration</t>
  </si>
  <si>
    <t xml:space="preserve">Portable Gas Detector</t>
  </si>
  <si>
    <t xml:space="preserve">LSA &amp; FFA Service Due Date Tracker</t>
  </si>
  <si>
    <t xml:space="preserve">Yellow = due within 2 months | Amber = due within 1 month | Red = overdue. Fill in 'Reference Date' (Last Done, or Expiry Date for Direct-Expiry items) for each vessel; status colors and the Dashboard update automatically.</t>
  </si>
  <si>
    <t xml:space="preserve">Vessel</t>
  </si>
  <si>
    <t xml:space="preserve">Reference Date
(Last Done / Expiry)</t>
  </si>
  <si>
    <t xml:space="preserve">Next Due Date</t>
  </si>
  <si>
    <t xml:space="preserve">Days Until Due</t>
  </si>
  <si>
    <t xml:space="preserve">Status</t>
  </si>
  <si>
    <t xml:space="preserve">Notes</t>
  </si>
  <si>
    <t xml:space="preserve">Original value unclear: 30/09/2026 30/07/2028</t>
  </si>
  <si>
    <t xml:space="preserve">LSA &amp; FFA Fleet Dashboard</t>
  </si>
  <si>
    <t xml:space="preserve">Live snapshot as of today's date — reflects all 30 vessel slots on the Tracker sheet</t>
  </si>
  <si>
    <t xml:space="preserve">Total Tracked Items
(All Vessels)</t>
  </si>
  <si>
    <t xml:space="preserve">Overdue
(Red)</t>
  </si>
  <si>
    <t xml:space="preserve">Due within 1 Month
(Amber)</t>
  </si>
  <si>
    <t xml:space="preserve">Due within 2 Months
(Yellow)</t>
  </si>
  <si>
    <t xml:space="preserve">OK
(Green)</t>
  </si>
  <si>
    <t xml:space="preserve">No Data / Manual Review</t>
  </si>
  <si>
    <t xml:space="preserve">Due Soon by Vessel (2-Month &amp; 1-Month Windows)</t>
  </si>
  <si>
    <t xml:space="preserve">Overdue (Red)</t>
  </si>
  <si>
    <t xml:space="preserve">Due in 1 Month (Amber)</t>
  </si>
  <si>
    <t xml:space="preserve">Due in 2 Months (Yellow)</t>
  </si>
  <si>
    <t xml:space="preserve">Total Due Soon</t>
  </si>
  <si>
    <t xml:space="preserve">Due Soon by Category (All Vessels)</t>
  </si>
  <si>
    <t xml:space="preserve">Overdue</t>
  </si>
  <si>
    <t xml:space="preserve">Due in 1 Month</t>
  </si>
  <si>
    <t xml:space="preserve">Due in 2 Months</t>
  </si>
  <si>
    <t xml:space="preserve">Count</t>
  </si>
  <si>
    <t xml:space="preserve">Due within 1 Month</t>
  </si>
  <si>
    <t xml:space="preserve">Due within 2 Months</t>
  </si>
  <si>
    <t xml:space="preserve">OK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</si>
</sst>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631"/>
      <name val="Arial"/>
      <family val="0"/>
      <charset val="1"/>
    </font>
    <font>
      <i val="true"/>
      <sz val="10"/>
      <color rgb="FF56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sz val="9.5"/>
      <color rgb="FF0000FF"/>
      <name val="Arial"/>
      <family val="0"/>
      <charset val="1"/>
    </font>
    <font>
      <i val="true"/>
      <sz val="8.5"/>
      <color rgb="FF7F8C8D"/>
      <name val="Arial"/>
      <family val="0"/>
      <charset val="1"/>
    </font>
    <font>
      <sz val="8.5"/>
      <color rgb="FF566573"/>
      <name val="Arial"/>
      <family val="0"/>
      <charset val="1"/>
    </font>
    <font>
      <b val="true"/>
      <sz val="20"/>
      <color rgb="FF1B263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2631"/>
        <bgColor rgb="FF333300"/>
      </patternFill>
    </fill>
    <fill>
      <patternFill patternType="solid">
        <fgColor rgb="FFF8696B"/>
        <bgColor rgb="FFFF6600"/>
      </patternFill>
    </fill>
    <fill>
      <patternFill patternType="solid">
        <fgColor rgb="FFF5B041"/>
        <bgColor rgb="FFFFCC00"/>
      </patternFill>
    </fill>
    <fill>
      <patternFill patternType="solid">
        <fgColor rgb="FFFFEB84"/>
        <bgColor rgb="FFFDEBD3"/>
      </patternFill>
    </fill>
    <fill>
      <patternFill patternType="solid">
        <fgColor rgb="FFC6EFCE"/>
        <bgColor rgb="FFD5D8DC"/>
      </patternFill>
    </fill>
    <fill>
      <patternFill patternType="solid">
        <fgColor rgb="FFD5D8D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DE4E1"/>
        </patternFill>
      </fill>
    </dxf>
    <dxf>
      <fill>
        <patternFill>
          <bgColor rgb="FFFDEBD3"/>
        </patternFill>
      </fill>
    </dxf>
    <dxf>
      <fill>
        <patternFill>
          <bgColor rgb="FFFEF9DA"/>
        </patternFill>
      </fill>
    </dxf>
    <dxf>
      <fill>
        <patternFill>
          <bgColor rgb="FFEAFAF1"/>
        </patternFill>
      </fill>
    </dxf>
    <dxf>
      <fill>
        <patternFill>
          <bgColor rgb="FFF4F6F7"/>
        </patternFill>
      </fill>
    </dxf>
    <dxf>
      <font>
        <name val="Arial"/>
        <charset val="1"/>
        <family val="0"/>
        <b val="1"/>
        <color rgb="FF7A0000"/>
        <sz val="9"/>
      </font>
      <fill>
        <patternFill>
          <bgColor rgb="FFF8696B"/>
        </patternFill>
      </fill>
    </dxf>
    <dxf>
      <font>
        <name val="Arial"/>
        <charset val="1"/>
        <family val="0"/>
        <b val="1"/>
        <color rgb="FF7A4B00"/>
        <sz val="9"/>
      </font>
      <fill>
        <patternFill>
          <bgColor rgb="FFF5B041"/>
        </patternFill>
      </fill>
    </dxf>
    <dxf>
      <font>
        <name val="Arial"/>
        <charset val="1"/>
        <family val="0"/>
        <b val="1"/>
        <color rgb="FF7A5B00"/>
        <sz val="9"/>
      </font>
      <fill>
        <patternFill>
          <bgColor rgb="FFFFEB84"/>
        </patternFill>
      </fill>
    </dxf>
    <dxf>
      <font>
        <name val="Arial"/>
        <charset val="1"/>
        <family val="0"/>
        <color rgb="FF1E7A34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566573"/>
        <sz val="9"/>
      </font>
      <fill>
        <patternFill>
          <bgColor rgb="FFD5D8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1E7A34"/>
      <rgbColor rgb="FF000080"/>
      <rgbColor rgb="FF7A5B00"/>
      <rgbColor rgb="FF800080"/>
      <rgbColor rgb="FF2980B9"/>
      <rgbColor rgb="FFD9D9D9"/>
      <rgbColor rgb="FF878787"/>
      <rgbColor rgb="FF9999FF"/>
      <rgbColor rgb="FFC0504D"/>
      <rgbColor rgb="FFFEF9DA"/>
      <rgbColor rgb="FFEAFAF1"/>
      <rgbColor rgb="FF660066"/>
      <rgbColor rgb="FFF8696B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C6EFCE"/>
      <rgbColor rgb="FFFFEB84"/>
      <rgbColor rgb="FFFDEBD3"/>
      <rgbColor rgb="FFFF99CC"/>
      <rgbColor rgb="FFCC99FF"/>
      <rgbColor rgb="FFFDE4E1"/>
      <rgbColor rgb="FF4F81BD"/>
      <rgbColor rgb="FF33CCCC"/>
      <rgbColor rgb="FF9BBB59"/>
      <rgbColor rgb="FFFFCC00"/>
      <rgbColor rgb="FFF5B041"/>
      <rgbColor rgb="FFFF6600"/>
      <rgbColor rgb="FF8064A2"/>
      <rgbColor rgb="FF7F8C8D"/>
      <rgbColor rgb="FF003366"/>
      <rgbColor rgb="FF566573"/>
      <rgbColor rgb="FF003300"/>
      <rgbColor rgb="FF333300"/>
      <rgbColor rgb="FF7A4B00"/>
      <rgbColor rgb="FF993366"/>
      <rgbColor rgb="FF333399"/>
      <rgbColor rgb="FF1B2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Due Soon (Overdue + 1mo + 2mo) by Vessel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Dashboard!E9</c:f>
              <c:strCache>
                <c:ptCount val="1"/>
                <c:pt idx="0">
                  <c:v>Total Due Soon</c:v>
                </c:pt>
              </c:strCache>
            </c:strRef>
          </c:tx>
          <c:spPr>
            <a:solidFill>
              <a:srgbClr val="2980b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Dashboard!$A$10:$A$39</c:f>
              <c:strCache>
                <c:ptCount val="30"/>
                <c:pt idx="0">
                  <c:v>Vessel 01</c:v>
                </c:pt>
                <c:pt idx="1">
                  <c:v>Vessel 02</c:v>
                </c:pt>
                <c:pt idx="2">
                  <c:v>Vessel 03</c:v>
                </c:pt>
                <c:pt idx="3">
                  <c:v>Vessel 04</c:v>
                </c:pt>
                <c:pt idx="4">
                  <c:v>Vessel 05</c:v>
                </c:pt>
                <c:pt idx="5">
                  <c:v>Vessel 06</c:v>
                </c:pt>
                <c:pt idx="6">
                  <c:v>Vessel 07</c:v>
                </c:pt>
                <c:pt idx="7">
                  <c:v>Vessel 08</c:v>
                </c:pt>
                <c:pt idx="8">
                  <c:v>Vessel 09</c:v>
                </c:pt>
                <c:pt idx="9">
                  <c:v>Vessel 10</c:v>
                </c:pt>
                <c:pt idx="10">
                  <c:v>Vessel 11</c:v>
                </c:pt>
                <c:pt idx="11">
                  <c:v>Vessel 12</c:v>
                </c:pt>
                <c:pt idx="12">
                  <c:v>Vessel 13</c:v>
                </c:pt>
                <c:pt idx="13">
                  <c:v>Vessel 14</c:v>
                </c:pt>
                <c:pt idx="14">
                  <c:v>Vessel 15</c:v>
                </c:pt>
                <c:pt idx="15">
                  <c:v>Vessel 16</c:v>
                </c:pt>
                <c:pt idx="16">
                  <c:v>Vessel 17</c:v>
                </c:pt>
                <c:pt idx="17">
                  <c:v>Vessel 18</c:v>
                </c:pt>
                <c:pt idx="18">
                  <c:v>Vessel 19</c:v>
                </c:pt>
                <c:pt idx="19">
                  <c:v>Vessel 20</c:v>
                </c:pt>
                <c:pt idx="20">
                  <c:v>Vessel 21</c:v>
                </c:pt>
                <c:pt idx="21">
                  <c:v>Vessel 22</c:v>
                </c:pt>
                <c:pt idx="22">
                  <c:v>Vessel 23</c:v>
                </c:pt>
                <c:pt idx="23">
                  <c:v>Vessel 24</c:v>
                </c:pt>
                <c:pt idx="24">
                  <c:v>Vessel 25</c:v>
                </c:pt>
                <c:pt idx="25">
                  <c:v>Vessel 26</c:v>
                </c:pt>
                <c:pt idx="26">
                  <c:v>Vessel 27</c:v>
                </c:pt>
                <c:pt idx="27">
                  <c:v>Vessel 28</c:v>
                </c:pt>
                <c:pt idx="28">
                  <c:v>Vessel 29</c:v>
                </c:pt>
                <c:pt idx="29">
                  <c:v>Vessel 30</c:v>
                </c:pt>
              </c:strCache>
            </c:strRef>
          </c:cat>
          <c:val>
            <c:numRef>
              <c:f>Dashboard!$E$10:$E$39</c:f>
              <c:numCache>
                <c:formatCode>General</c:formatCode>
                <c:ptCount val="30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150"/>
        <c:overlap val="0"/>
        <c:axId val="49428802"/>
        <c:axId val="87918443"/>
      </c:barChart>
      <c:catAx>
        <c:axId val="4942880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18443"/>
        <c:crosses val="autoZero"/>
        <c:auto val="1"/>
        <c:lblAlgn val="ctr"/>
        <c:lblOffset val="100"/>
        <c:noMultiLvlLbl val="0"/>
      </c:catAx>
      <c:valAx>
        <c:axId val="87918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Vessel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28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Due Soon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Dashboard!B43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Dashboard!$A$44:$A$47</c:f>
              <c:strCache>
                <c:ptCount val="4"/>
                <c:pt idx="0">
                  <c:v>Life Saving Appliances</c:v>
                </c:pt>
                <c:pt idx="1">
                  <c:v>Fire Fighting Appliances</c:v>
                </c:pt>
                <c:pt idx="2">
                  <c:v>Bridge</c:v>
                </c:pt>
                <c:pt idx="3">
                  <c:v>Calibration Equipment's</c:v>
                </c:pt>
              </c:strCache>
            </c:strRef>
          </c:cat>
          <c:val>
            <c:numRef>
              <c:f>Dashboard!$B$44:$B$47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Dashboard!C43</c:f>
              <c:strCache>
                <c:ptCount val="1"/>
                <c:pt idx="0">
                  <c:v>Due in 1 Month</c:v>
                </c:pt>
              </c:strCache>
            </c:strRef>
          </c:tx>
          <c:spPr>
            <a:solidFill>
              <a:srgbClr val="f5b04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Dashboard!$A$44:$A$47</c:f>
              <c:strCache>
                <c:ptCount val="4"/>
                <c:pt idx="0">
                  <c:v>Life Saving Appliances</c:v>
                </c:pt>
                <c:pt idx="1">
                  <c:v>Fire Fighting Appliances</c:v>
                </c:pt>
                <c:pt idx="2">
                  <c:v>Bridge</c:v>
                </c:pt>
                <c:pt idx="3">
                  <c:v>Calibration Equipment's</c:v>
                </c:pt>
              </c:strCache>
            </c:strRef>
          </c:cat>
          <c:val>
            <c:numRef>
              <c:f>Dashboard!$C$44:$C$47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Dashboard!D43</c:f>
              <c:strCache>
                <c:ptCount val="1"/>
                <c:pt idx="0">
                  <c:v>Due in 2 Months</c:v>
                </c:pt>
              </c:strCache>
            </c:strRef>
          </c:tx>
          <c:spPr>
            <a:solidFill>
              <a:srgbClr val="ffeb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Dashboard!$A$44:$A$47</c:f>
              <c:strCache>
                <c:ptCount val="4"/>
                <c:pt idx="0">
                  <c:v>Life Saving Appliances</c:v>
                </c:pt>
                <c:pt idx="1">
                  <c:v>Fire Fighting Appliances</c:v>
                </c:pt>
                <c:pt idx="2">
                  <c:v>Bridge</c:v>
                </c:pt>
                <c:pt idx="3">
                  <c:v>Calibration Equipment's</c:v>
                </c:pt>
              </c:strCache>
            </c:strRef>
          </c:cat>
          <c:val>
            <c:numRef>
              <c:f>Dashboard!$D$44:$D$47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14120050"/>
        <c:axId val="53553017"/>
      </c:barChart>
      <c:catAx>
        <c:axId val="14120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53017"/>
        <c:crosses val="autoZero"/>
        <c:auto val="1"/>
        <c:lblAlgn val="ctr"/>
        <c:lblOffset val="100"/>
        <c:noMultiLvlLbl val="0"/>
      </c:catAx>
      <c:valAx>
        <c:axId val="53553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200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Fleet-Wide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Dashboard!I50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Dashboard!$H$51:$H$54</c:f>
              <c:strCache>
                <c:ptCount val="4"/>
                <c:pt idx="0">
                  <c:v>Overdue</c:v>
                </c:pt>
                <c:pt idx="1">
                  <c:v>Due within 1 Month</c:v>
                </c:pt>
                <c:pt idx="2">
                  <c:v>Due within 2 Months</c:v>
                </c:pt>
                <c:pt idx="3">
                  <c:v>OK</c:v>
                </c:pt>
              </c:strCache>
            </c:strRef>
          </c:cat>
          <c:val>
            <c:numRef>
              <c:f>Dashboard!$I$51:$I$54</c:f>
              <c:numCache>
                <c:formatCode>General</c:formatCode>
                <c:ptCount val="4"/>
                <c:pt idx="0">
                  <c:v>13</c:v>
                </c:pt>
                <c:pt idx="1">
                  <c:v>1</c:v>
                </c:pt>
                <c:pt idx="2">
                  <c:v>0</c:v>
                </c:pt>
                <c:pt idx="3">
                  <c:v>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48</xdr:row>
      <xdr:rowOff>18360</xdr:rowOff>
    </xdr:from>
    <xdr:to>
      <xdr:col>8</xdr:col>
      <xdr:colOff>377640</xdr:colOff>
      <xdr:row>74</xdr:row>
      <xdr:rowOff>105120</xdr:rowOff>
    </xdr:to>
    <xdr:graphicFrame>
      <xdr:nvGraphicFramePr>
        <xdr:cNvPr id="0" name="Chart 1"/>
        <xdr:cNvGraphicFramePr/>
      </xdr:nvGraphicFramePr>
      <xdr:xfrm>
        <a:off x="0" y="97632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75</xdr:row>
      <xdr:rowOff>18360</xdr:rowOff>
    </xdr:from>
    <xdr:to>
      <xdr:col>6</xdr:col>
      <xdr:colOff>856080</xdr:colOff>
      <xdr:row>97</xdr:row>
      <xdr:rowOff>146880</xdr:rowOff>
    </xdr:to>
    <xdr:graphicFrame>
      <xdr:nvGraphicFramePr>
        <xdr:cNvPr id="1" name="Chart 2"/>
        <xdr:cNvGraphicFramePr/>
      </xdr:nvGraphicFramePr>
      <xdr:xfrm>
        <a:off x="0" y="1490652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103</xdr:row>
      <xdr:rowOff>18360</xdr:rowOff>
    </xdr:from>
    <xdr:to>
      <xdr:col>4</xdr:col>
      <xdr:colOff>35280</xdr:colOff>
      <xdr:row>125</xdr:row>
      <xdr:rowOff>147240</xdr:rowOff>
    </xdr:to>
    <xdr:graphicFrame>
      <xdr:nvGraphicFramePr>
        <xdr:cNvPr id="2" name="Chart 3"/>
        <xdr:cNvGraphicFramePr/>
      </xdr:nvGraphicFramePr>
      <xdr:xfrm>
        <a:off x="0" y="202406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n">
        <v>1</v>
      </c>
      <c r="B5" s="5" t="s">
        <v>4</v>
      </c>
    </row>
    <row r="6" customFormat="false" ht="15" hidden="false" customHeight="false" outlineLevel="0" collapsed="false">
      <c r="A6" s="4" t="n">
        <v>2</v>
      </c>
      <c r="B6" s="5" t="s">
        <v>5</v>
      </c>
    </row>
    <row r="7" customFormat="false" ht="15" hidden="false" customHeight="false" outlineLevel="0" collapsed="false">
      <c r="A7" s="4" t="n">
        <v>3</v>
      </c>
      <c r="B7" s="5" t="s">
        <v>6</v>
      </c>
    </row>
    <row r="8" customFormat="false" ht="15" hidden="false" customHeight="false" outlineLevel="0" collapsed="false">
      <c r="A8" s="4" t="n">
        <v>4</v>
      </c>
      <c r="B8" s="5" t="s">
        <v>7</v>
      </c>
    </row>
    <row r="9" customFormat="false" ht="15" hidden="false" customHeight="false" outlineLevel="0" collapsed="false">
      <c r="A9" s="4" t="n">
        <v>5</v>
      </c>
      <c r="B9" s="5" t="s">
        <v>8</v>
      </c>
    </row>
    <row r="10" customFormat="false" ht="15" hidden="false" customHeight="false" outlineLevel="0" collapsed="false">
      <c r="A10" s="4" t="n">
        <v>6</v>
      </c>
      <c r="B10" s="5" t="s">
        <v>9</v>
      </c>
    </row>
    <row r="11" customFormat="false" ht="15" hidden="false" customHeight="false" outlineLevel="0" collapsed="false">
      <c r="A11" s="4" t="n">
        <v>7</v>
      </c>
      <c r="B11" s="5" t="s">
        <v>10</v>
      </c>
    </row>
    <row r="12" customFormat="false" ht="15" hidden="false" customHeight="false" outlineLevel="0" collapsed="false">
      <c r="A12" s="4" t="n">
        <v>8</v>
      </c>
      <c r="B12" s="5" t="s">
        <v>11</v>
      </c>
    </row>
    <row r="13" customFormat="false" ht="15" hidden="false" customHeight="false" outlineLevel="0" collapsed="false">
      <c r="A13" s="4" t="n">
        <v>9</v>
      </c>
      <c r="B13" s="5" t="s">
        <v>12</v>
      </c>
    </row>
    <row r="14" customFormat="false" ht="15" hidden="false" customHeight="false" outlineLevel="0" collapsed="false">
      <c r="A14" s="4" t="n">
        <v>10</v>
      </c>
      <c r="B14" s="5" t="s">
        <v>13</v>
      </c>
    </row>
    <row r="15" customFormat="false" ht="15" hidden="false" customHeight="false" outlineLevel="0" collapsed="false">
      <c r="A15" s="4" t="n">
        <v>11</v>
      </c>
      <c r="B15" s="5" t="s">
        <v>14</v>
      </c>
    </row>
    <row r="16" customFormat="false" ht="15" hidden="false" customHeight="false" outlineLevel="0" collapsed="false">
      <c r="A16" s="4" t="n">
        <v>12</v>
      </c>
      <c r="B16" s="5" t="s">
        <v>15</v>
      </c>
    </row>
    <row r="17" customFormat="false" ht="15" hidden="false" customHeight="false" outlineLevel="0" collapsed="false">
      <c r="A17" s="4" t="n">
        <v>13</v>
      </c>
      <c r="B17" s="5" t="s">
        <v>16</v>
      </c>
    </row>
    <row r="18" customFormat="false" ht="15" hidden="false" customHeight="false" outlineLevel="0" collapsed="false">
      <c r="A18" s="4" t="n">
        <v>14</v>
      </c>
      <c r="B18" s="5" t="s">
        <v>17</v>
      </c>
    </row>
    <row r="19" customFormat="false" ht="15" hidden="false" customHeight="false" outlineLevel="0" collapsed="false">
      <c r="A19" s="4" t="n">
        <v>15</v>
      </c>
      <c r="B19" s="5" t="s">
        <v>18</v>
      </c>
    </row>
    <row r="20" customFormat="false" ht="15" hidden="false" customHeight="false" outlineLevel="0" collapsed="false">
      <c r="A20" s="4" t="n">
        <v>16</v>
      </c>
      <c r="B20" s="5" t="s">
        <v>19</v>
      </c>
    </row>
    <row r="21" customFormat="false" ht="15" hidden="false" customHeight="false" outlineLevel="0" collapsed="false">
      <c r="A21" s="4" t="n">
        <v>17</v>
      </c>
      <c r="B21" s="5" t="s">
        <v>20</v>
      </c>
    </row>
    <row r="22" customFormat="false" ht="15" hidden="false" customHeight="false" outlineLevel="0" collapsed="false">
      <c r="A22" s="4" t="n">
        <v>18</v>
      </c>
      <c r="B22" s="5" t="s">
        <v>21</v>
      </c>
    </row>
    <row r="23" customFormat="false" ht="15" hidden="false" customHeight="false" outlineLevel="0" collapsed="false">
      <c r="A23" s="4" t="n">
        <v>19</v>
      </c>
      <c r="B23" s="5" t="s">
        <v>22</v>
      </c>
    </row>
    <row r="24" customFormat="false" ht="15" hidden="false" customHeight="false" outlineLevel="0" collapsed="false">
      <c r="A24" s="4" t="n">
        <v>20</v>
      </c>
      <c r="B24" s="5" t="s">
        <v>23</v>
      </c>
    </row>
    <row r="25" customFormat="false" ht="15" hidden="false" customHeight="false" outlineLevel="0" collapsed="false">
      <c r="A25" s="4" t="n">
        <v>21</v>
      </c>
      <c r="B25" s="5" t="s">
        <v>24</v>
      </c>
    </row>
    <row r="26" customFormat="false" ht="15" hidden="false" customHeight="false" outlineLevel="0" collapsed="false">
      <c r="A26" s="4" t="n">
        <v>22</v>
      </c>
      <c r="B26" s="5" t="s">
        <v>25</v>
      </c>
    </row>
    <row r="27" customFormat="false" ht="15" hidden="false" customHeight="false" outlineLevel="0" collapsed="false">
      <c r="A27" s="4" t="n">
        <v>23</v>
      </c>
      <c r="B27" s="5" t="s">
        <v>26</v>
      </c>
    </row>
    <row r="28" customFormat="false" ht="15" hidden="false" customHeight="false" outlineLevel="0" collapsed="false">
      <c r="A28" s="4" t="n">
        <v>24</v>
      </c>
      <c r="B28" s="5" t="s">
        <v>27</v>
      </c>
    </row>
    <row r="29" customFormat="false" ht="15" hidden="false" customHeight="false" outlineLevel="0" collapsed="false">
      <c r="A29" s="4" t="n">
        <v>25</v>
      </c>
      <c r="B29" s="5" t="s">
        <v>28</v>
      </c>
    </row>
    <row r="30" customFormat="false" ht="15" hidden="false" customHeight="false" outlineLevel="0" collapsed="false">
      <c r="A30" s="4" t="n">
        <v>26</v>
      </c>
      <c r="B30" s="5" t="s">
        <v>29</v>
      </c>
    </row>
    <row r="31" customFormat="false" ht="15" hidden="false" customHeight="false" outlineLevel="0" collapsed="false">
      <c r="A31" s="4" t="n">
        <v>27</v>
      </c>
      <c r="B31" s="5" t="s">
        <v>30</v>
      </c>
    </row>
    <row r="32" customFormat="false" ht="15" hidden="false" customHeight="false" outlineLevel="0" collapsed="false">
      <c r="A32" s="4" t="n">
        <v>28</v>
      </c>
      <c r="B32" s="5" t="s">
        <v>31</v>
      </c>
    </row>
    <row r="33" customFormat="false" ht="15" hidden="false" customHeight="false" outlineLevel="0" collapsed="false">
      <c r="A33" s="4" t="n">
        <v>29</v>
      </c>
      <c r="B33" s="5" t="s">
        <v>32</v>
      </c>
    </row>
    <row r="34" customFormat="false" ht="15" hidden="false" customHeight="false" outlineLevel="0" collapsed="false">
      <c r="A34" s="4" t="n">
        <v>30</v>
      </c>
      <c r="B34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6" min="5" style="0" width="15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23.85" hidden="false" customHeight="false" outlineLevel="0" collapsed="false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</row>
    <row r="5" customFormat="false" ht="15" hidden="false" customHeight="false" outlineLevel="0" collapsed="false">
      <c r="A5" s="4" t="n">
        <v>1</v>
      </c>
      <c r="B5" s="4" t="s">
        <v>42</v>
      </c>
      <c r="C5" s="7" t="s">
        <v>43</v>
      </c>
      <c r="D5" s="4" t="s">
        <v>44</v>
      </c>
      <c r="E5" s="4" t="n">
        <v>12</v>
      </c>
      <c r="F5" s="4" t="s">
        <v>45</v>
      </c>
    </row>
    <row r="6" customFormat="false" ht="15" hidden="false" customHeight="false" outlineLevel="0" collapsed="false">
      <c r="A6" s="4" t="n">
        <v>2</v>
      </c>
      <c r="B6" s="4" t="s">
        <v>42</v>
      </c>
      <c r="C6" s="7" t="s">
        <v>43</v>
      </c>
      <c r="D6" s="4" t="s">
        <v>46</v>
      </c>
      <c r="E6" s="4" t="n">
        <v>60</v>
      </c>
      <c r="F6" s="4" t="s">
        <v>45</v>
      </c>
    </row>
    <row r="7" customFormat="false" ht="15" hidden="false" customHeight="false" outlineLevel="0" collapsed="false">
      <c r="A7" s="4" t="n">
        <v>3</v>
      </c>
      <c r="B7" s="4" t="s">
        <v>42</v>
      </c>
      <c r="C7" s="7" t="s">
        <v>47</v>
      </c>
      <c r="D7" s="4" t="s">
        <v>44</v>
      </c>
      <c r="E7" s="4" t="n">
        <v>12</v>
      </c>
      <c r="F7" s="4" t="s">
        <v>45</v>
      </c>
    </row>
    <row r="8" customFormat="false" ht="15" hidden="false" customHeight="false" outlineLevel="0" collapsed="false">
      <c r="A8" s="4" t="n">
        <v>4</v>
      </c>
      <c r="B8" s="4" t="s">
        <v>42</v>
      </c>
      <c r="C8" s="7" t="s">
        <v>47</v>
      </c>
      <c r="D8" s="4" t="s">
        <v>46</v>
      </c>
      <c r="E8" s="4" t="n">
        <v>60</v>
      </c>
      <c r="F8" s="4" t="s">
        <v>45</v>
      </c>
    </row>
    <row r="9" customFormat="false" ht="15" hidden="false" customHeight="false" outlineLevel="0" collapsed="false">
      <c r="A9" s="4" t="n">
        <v>5</v>
      </c>
      <c r="B9" s="4" t="s">
        <v>42</v>
      </c>
      <c r="C9" s="7" t="s">
        <v>48</v>
      </c>
      <c r="D9" s="4" t="s">
        <v>44</v>
      </c>
      <c r="E9" s="4" t="n">
        <v>12</v>
      </c>
      <c r="F9" s="4" t="s">
        <v>45</v>
      </c>
    </row>
    <row r="10" customFormat="false" ht="15" hidden="false" customHeight="false" outlineLevel="0" collapsed="false">
      <c r="A10" s="4" t="n">
        <v>6</v>
      </c>
      <c r="B10" s="4" t="s">
        <v>42</v>
      </c>
      <c r="C10" s="7" t="s">
        <v>48</v>
      </c>
      <c r="D10" s="4" t="s">
        <v>49</v>
      </c>
      <c r="E10" s="4" t="n">
        <v>60</v>
      </c>
      <c r="F10" s="4" t="s">
        <v>45</v>
      </c>
    </row>
    <row r="11" customFormat="false" ht="15" hidden="false" customHeight="false" outlineLevel="0" collapsed="false">
      <c r="A11" s="4" t="n">
        <v>7</v>
      </c>
      <c r="B11" s="4" t="s">
        <v>42</v>
      </c>
      <c r="C11" s="7" t="s">
        <v>50</v>
      </c>
      <c r="D11" s="4" t="s">
        <v>44</v>
      </c>
      <c r="E11" s="4" t="n">
        <v>12</v>
      </c>
      <c r="F11" s="4" t="s">
        <v>45</v>
      </c>
    </row>
    <row r="12" customFormat="false" ht="15" hidden="false" customHeight="false" outlineLevel="0" collapsed="false">
      <c r="A12" s="4" t="n">
        <v>8</v>
      </c>
      <c r="B12" s="4" t="s">
        <v>42</v>
      </c>
      <c r="C12" s="7" t="s">
        <v>50</v>
      </c>
      <c r="D12" s="4" t="s">
        <v>49</v>
      </c>
      <c r="E12" s="4" t="n">
        <v>60</v>
      </c>
      <c r="F12" s="4" t="s">
        <v>45</v>
      </c>
    </row>
    <row r="13" customFormat="false" ht="15" hidden="false" customHeight="false" outlineLevel="0" collapsed="false">
      <c r="A13" s="4" t="n">
        <v>9</v>
      </c>
      <c r="B13" s="4" t="s">
        <v>42</v>
      </c>
      <c r="C13" s="7" t="s">
        <v>51</v>
      </c>
      <c r="D13" s="4" t="s">
        <v>46</v>
      </c>
      <c r="E13" s="4" t="n">
        <v>60</v>
      </c>
      <c r="F13" s="4" t="s">
        <v>45</v>
      </c>
    </row>
    <row r="14" customFormat="false" ht="15" hidden="false" customHeight="false" outlineLevel="0" collapsed="false">
      <c r="A14" s="4" t="n">
        <v>10</v>
      </c>
      <c r="B14" s="4" t="s">
        <v>42</v>
      </c>
      <c r="C14" s="7" t="s">
        <v>52</v>
      </c>
      <c r="D14" s="4" t="s">
        <v>46</v>
      </c>
      <c r="E14" s="4" t="n">
        <v>60</v>
      </c>
      <c r="F14" s="4" t="s">
        <v>45</v>
      </c>
    </row>
    <row r="15" customFormat="false" ht="15" hidden="false" customHeight="false" outlineLevel="0" collapsed="false">
      <c r="A15" s="4" t="n">
        <v>11</v>
      </c>
      <c r="B15" s="4" t="s">
        <v>42</v>
      </c>
      <c r="C15" s="7" t="s">
        <v>53</v>
      </c>
      <c r="D15" s="4" t="s">
        <v>46</v>
      </c>
      <c r="E15" s="4" t="n">
        <v>60</v>
      </c>
      <c r="F15" s="4" t="s">
        <v>45</v>
      </c>
    </row>
    <row r="16" customFormat="false" ht="15" hidden="false" customHeight="false" outlineLevel="0" collapsed="false">
      <c r="A16" s="4" t="n">
        <v>12</v>
      </c>
      <c r="B16" s="4" t="s">
        <v>42</v>
      </c>
      <c r="C16" s="7" t="s">
        <v>54</v>
      </c>
      <c r="D16" s="4" t="s">
        <v>46</v>
      </c>
      <c r="E16" s="4" t="n">
        <v>60</v>
      </c>
      <c r="F16" s="4" t="s">
        <v>45</v>
      </c>
    </row>
    <row r="17" customFormat="false" ht="15" hidden="false" customHeight="false" outlineLevel="0" collapsed="false">
      <c r="A17" s="4" t="n">
        <v>13</v>
      </c>
      <c r="B17" s="4" t="s">
        <v>42</v>
      </c>
      <c r="C17" s="7" t="s">
        <v>55</v>
      </c>
      <c r="D17" s="4" t="s">
        <v>46</v>
      </c>
      <c r="E17" s="4" t="n">
        <v>60</v>
      </c>
      <c r="F17" s="4" t="s">
        <v>45</v>
      </c>
    </row>
    <row r="18" customFormat="false" ht="15" hidden="false" customHeight="false" outlineLevel="0" collapsed="false">
      <c r="A18" s="4" t="n">
        <v>14</v>
      </c>
      <c r="B18" s="4" t="s">
        <v>42</v>
      </c>
      <c r="C18" s="7" t="s">
        <v>56</v>
      </c>
      <c r="D18" s="4" t="s">
        <v>46</v>
      </c>
      <c r="E18" s="4" t="n">
        <v>60</v>
      </c>
      <c r="F18" s="4" t="s">
        <v>45</v>
      </c>
    </row>
    <row r="19" customFormat="false" ht="15" hidden="false" customHeight="false" outlineLevel="0" collapsed="false">
      <c r="A19" s="4" t="n">
        <v>15</v>
      </c>
      <c r="B19" s="4" t="s">
        <v>42</v>
      </c>
      <c r="C19" s="7" t="s">
        <v>57</v>
      </c>
      <c r="D19" s="4" t="s">
        <v>58</v>
      </c>
      <c r="E19" s="4"/>
      <c r="F19" s="4" t="s">
        <v>59</v>
      </c>
    </row>
    <row r="20" customFormat="false" ht="15" hidden="false" customHeight="false" outlineLevel="0" collapsed="false">
      <c r="A20" s="4" t="n">
        <v>16</v>
      </c>
      <c r="B20" s="4" t="s">
        <v>42</v>
      </c>
      <c r="C20" s="7" t="s">
        <v>60</v>
      </c>
      <c r="D20" s="4" t="s">
        <v>44</v>
      </c>
      <c r="E20" s="4" t="n">
        <v>12</v>
      </c>
      <c r="F20" s="4" t="s">
        <v>45</v>
      </c>
    </row>
    <row r="21" customFormat="false" ht="15" hidden="false" customHeight="false" outlineLevel="0" collapsed="false">
      <c r="A21" s="4" t="n">
        <v>17</v>
      </c>
      <c r="B21" s="4" t="s">
        <v>42</v>
      </c>
      <c r="C21" s="7" t="s">
        <v>60</v>
      </c>
      <c r="D21" s="4" t="s">
        <v>46</v>
      </c>
      <c r="E21" s="4" t="n">
        <v>60</v>
      </c>
      <c r="F21" s="4" t="s">
        <v>45</v>
      </c>
    </row>
    <row r="22" customFormat="false" ht="15" hidden="false" customHeight="false" outlineLevel="0" collapsed="false">
      <c r="A22" s="4" t="n">
        <v>18</v>
      </c>
      <c r="B22" s="4" t="s">
        <v>42</v>
      </c>
      <c r="C22" s="7" t="s">
        <v>61</v>
      </c>
      <c r="D22" s="4" t="s">
        <v>44</v>
      </c>
      <c r="E22" s="4" t="n">
        <v>12</v>
      </c>
      <c r="F22" s="4" t="s">
        <v>45</v>
      </c>
    </row>
    <row r="23" customFormat="false" ht="15" hidden="false" customHeight="false" outlineLevel="0" collapsed="false">
      <c r="A23" s="4" t="n">
        <v>19</v>
      </c>
      <c r="B23" s="4" t="s">
        <v>42</v>
      </c>
      <c r="C23" s="7" t="s">
        <v>61</v>
      </c>
      <c r="D23" s="4" t="s">
        <v>46</v>
      </c>
      <c r="E23" s="4" t="n">
        <v>60</v>
      </c>
      <c r="F23" s="4" t="s">
        <v>45</v>
      </c>
    </row>
    <row r="24" customFormat="false" ht="15" hidden="false" customHeight="false" outlineLevel="0" collapsed="false">
      <c r="A24" s="4" t="n">
        <v>20</v>
      </c>
      <c r="B24" s="4" t="s">
        <v>42</v>
      </c>
      <c r="C24" s="7" t="s">
        <v>62</v>
      </c>
      <c r="D24" s="4" t="s">
        <v>44</v>
      </c>
      <c r="E24" s="4" t="n">
        <v>12</v>
      </c>
      <c r="F24" s="4" t="s">
        <v>45</v>
      </c>
    </row>
    <row r="25" customFormat="false" ht="15" hidden="false" customHeight="false" outlineLevel="0" collapsed="false">
      <c r="A25" s="4" t="n">
        <v>21</v>
      </c>
      <c r="B25" s="4" t="s">
        <v>42</v>
      </c>
      <c r="C25" s="7" t="s">
        <v>62</v>
      </c>
      <c r="D25" s="4" t="s">
        <v>49</v>
      </c>
      <c r="E25" s="4" t="n">
        <v>60</v>
      </c>
      <c r="F25" s="4" t="s">
        <v>45</v>
      </c>
    </row>
    <row r="26" customFormat="false" ht="15" hidden="false" customHeight="false" outlineLevel="0" collapsed="false">
      <c r="A26" s="4" t="n">
        <v>22</v>
      </c>
      <c r="B26" s="4" t="s">
        <v>42</v>
      </c>
      <c r="C26" s="7" t="s">
        <v>63</v>
      </c>
      <c r="D26" s="4" t="s">
        <v>44</v>
      </c>
      <c r="E26" s="4" t="n">
        <v>12</v>
      </c>
      <c r="F26" s="4" t="s">
        <v>45</v>
      </c>
    </row>
    <row r="27" customFormat="false" ht="15" hidden="false" customHeight="false" outlineLevel="0" collapsed="false">
      <c r="A27" s="4" t="n">
        <v>23</v>
      </c>
      <c r="B27" s="4" t="s">
        <v>42</v>
      </c>
      <c r="C27" s="7" t="s">
        <v>63</v>
      </c>
      <c r="D27" s="4" t="s">
        <v>49</v>
      </c>
      <c r="E27" s="4" t="n">
        <v>60</v>
      </c>
      <c r="F27" s="4" t="s">
        <v>45</v>
      </c>
    </row>
    <row r="28" customFormat="false" ht="15" hidden="false" customHeight="false" outlineLevel="0" collapsed="false">
      <c r="A28" s="4" t="n">
        <v>24</v>
      </c>
      <c r="B28" s="4" t="s">
        <v>42</v>
      </c>
      <c r="C28" s="7" t="s">
        <v>64</v>
      </c>
      <c r="D28" s="4" t="s">
        <v>46</v>
      </c>
      <c r="E28" s="4" t="n">
        <v>60</v>
      </c>
      <c r="F28" s="4" t="s">
        <v>45</v>
      </c>
    </row>
    <row r="29" customFormat="false" ht="15" hidden="false" customHeight="false" outlineLevel="0" collapsed="false">
      <c r="A29" s="4" t="n">
        <v>25</v>
      </c>
      <c r="B29" s="4" t="s">
        <v>42</v>
      </c>
      <c r="C29" s="7" t="s">
        <v>65</v>
      </c>
      <c r="D29" s="4" t="s">
        <v>46</v>
      </c>
      <c r="E29" s="4" t="n">
        <v>60</v>
      </c>
      <c r="F29" s="4" t="s">
        <v>45</v>
      </c>
    </row>
    <row r="30" customFormat="false" ht="15" hidden="false" customHeight="false" outlineLevel="0" collapsed="false">
      <c r="A30" s="4" t="n">
        <v>26</v>
      </c>
      <c r="B30" s="4" t="s">
        <v>42</v>
      </c>
      <c r="C30" s="7" t="s">
        <v>66</v>
      </c>
      <c r="D30" s="4" t="s">
        <v>46</v>
      </c>
      <c r="E30" s="4" t="n">
        <v>60</v>
      </c>
      <c r="F30" s="4" t="s">
        <v>45</v>
      </c>
    </row>
    <row r="31" customFormat="false" ht="15" hidden="false" customHeight="false" outlineLevel="0" collapsed="false">
      <c r="A31" s="4" t="n">
        <v>27</v>
      </c>
      <c r="B31" s="4" t="s">
        <v>42</v>
      </c>
      <c r="C31" s="7" t="s">
        <v>67</v>
      </c>
      <c r="D31" s="4" t="s">
        <v>46</v>
      </c>
      <c r="E31" s="4" t="n">
        <v>60</v>
      </c>
      <c r="F31" s="4" t="s">
        <v>45</v>
      </c>
    </row>
    <row r="32" customFormat="false" ht="15" hidden="false" customHeight="false" outlineLevel="0" collapsed="false">
      <c r="A32" s="4" t="n">
        <v>28</v>
      </c>
      <c r="B32" s="4" t="s">
        <v>42</v>
      </c>
      <c r="C32" s="7" t="s">
        <v>68</v>
      </c>
      <c r="D32" s="4" t="s">
        <v>46</v>
      </c>
      <c r="E32" s="4" t="n">
        <v>60</v>
      </c>
      <c r="F32" s="4" t="s">
        <v>45</v>
      </c>
    </row>
    <row r="33" customFormat="false" ht="15" hidden="false" customHeight="false" outlineLevel="0" collapsed="false">
      <c r="A33" s="4" t="n">
        <v>29</v>
      </c>
      <c r="B33" s="4" t="s">
        <v>42</v>
      </c>
      <c r="C33" s="7" t="s">
        <v>69</v>
      </c>
      <c r="D33" s="4" t="s">
        <v>46</v>
      </c>
      <c r="E33" s="4" t="n">
        <v>60</v>
      </c>
      <c r="F33" s="4" t="s">
        <v>45</v>
      </c>
    </row>
    <row r="34" customFormat="false" ht="15" hidden="false" customHeight="false" outlineLevel="0" collapsed="false">
      <c r="A34" s="4" t="n">
        <v>30</v>
      </c>
      <c r="B34" s="4" t="s">
        <v>42</v>
      </c>
      <c r="C34" s="7" t="s">
        <v>70</v>
      </c>
      <c r="D34" s="4" t="s">
        <v>58</v>
      </c>
      <c r="E34" s="4"/>
      <c r="F34" s="4" t="s">
        <v>59</v>
      </c>
    </row>
    <row r="35" customFormat="false" ht="15" hidden="false" customHeight="false" outlineLevel="0" collapsed="false">
      <c r="A35" s="4" t="n">
        <v>31</v>
      </c>
      <c r="B35" s="4" t="s">
        <v>42</v>
      </c>
      <c r="C35" s="7" t="s">
        <v>71</v>
      </c>
      <c r="D35" s="4" t="s">
        <v>44</v>
      </c>
      <c r="E35" s="4" t="n">
        <v>12</v>
      </c>
      <c r="F35" s="4" t="s">
        <v>45</v>
      </c>
    </row>
    <row r="36" customFormat="false" ht="15" hidden="false" customHeight="false" outlineLevel="0" collapsed="false">
      <c r="A36" s="4" t="n">
        <v>32</v>
      </c>
      <c r="B36" s="4" t="s">
        <v>42</v>
      </c>
      <c r="C36" s="7" t="s">
        <v>72</v>
      </c>
      <c r="D36" s="4" t="s">
        <v>58</v>
      </c>
      <c r="E36" s="4"/>
      <c r="F36" s="4" t="s">
        <v>59</v>
      </c>
    </row>
    <row r="37" customFormat="false" ht="15" hidden="false" customHeight="false" outlineLevel="0" collapsed="false">
      <c r="A37" s="4" t="n">
        <v>33</v>
      </c>
      <c r="B37" s="4" t="s">
        <v>42</v>
      </c>
      <c r="C37" s="7" t="s">
        <v>73</v>
      </c>
      <c r="D37" s="4" t="s">
        <v>44</v>
      </c>
      <c r="E37" s="4" t="n">
        <v>12</v>
      </c>
      <c r="F37" s="4" t="s">
        <v>45</v>
      </c>
    </row>
    <row r="38" customFormat="false" ht="15" hidden="false" customHeight="false" outlineLevel="0" collapsed="false">
      <c r="A38" s="4" t="n">
        <v>34</v>
      </c>
      <c r="B38" s="4" t="s">
        <v>42</v>
      </c>
      <c r="C38" s="7" t="s">
        <v>74</v>
      </c>
      <c r="D38" s="4" t="s">
        <v>58</v>
      </c>
      <c r="E38" s="4"/>
      <c r="F38" s="4" t="s">
        <v>59</v>
      </c>
    </row>
    <row r="39" customFormat="false" ht="15" hidden="false" customHeight="false" outlineLevel="0" collapsed="false">
      <c r="A39" s="4" t="n">
        <v>35</v>
      </c>
      <c r="B39" s="4" t="s">
        <v>42</v>
      </c>
      <c r="C39" s="7" t="s">
        <v>75</v>
      </c>
      <c r="D39" s="4" t="s">
        <v>44</v>
      </c>
      <c r="E39" s="4" t="n">
        <v>12</v>
      </c>
      <c r="F39" s="4" t="s">
        <v>45</v>
      </c>
    </row>
    <row r="40" customFormat="false" ht="15" hidden="false" customHeight="false" outlineLevel="0" collapsed="false">
      <c r="A40" s="4" t="n">
        <v>36</v>
      </c>
      <c r="B40" s="4" t="s">
        <v>42</v>
      </c>
      <c r="C40" s="7" t="s">
        <v>76</v>
      </c>
      <c r="D40" s="4" t="s">
        <v>58</v>
      </c>
      <c r="E40" s="4"/>
      <c r="F40" s="4" t="s">
        <v>59</v>
      </c>
    </row>
    <row r="41" customFormat="false" ht="15" hidden="false" customHeight="false" outlineLevel="0" collapsed="false">
      <c r="A41" s="4" t="n">
        <v>37</v>
      </c>
      <c r="B41" s="4" t="s">
        <v>42</v>
      </c>
      <c r="C41" s="7" t="s">
        <v>77</v>
      </c>
      <c r="D41" s="4" t="s">
        <v>58</v>
      </c>
      <c r="E41" s="4"/>
      <c r="F41" s="4" t="s">
        <v>59</v>
      </c>
    </row>
    <row r="42" customFormat="false" ht="15" hidden="false" customHeight="false" outlineLevel="0" collapsed="false">
      <c r="A42" s="4" t="n">
        <v>38</v>
      </c>
      <c r="B42" s="4" t="s">
        <v>42</v>
      </c>
      <c r="C42" s="7" t="s">
        <v>78</v>
      </c>
      <c r="D42" s="4" t="s">
        <v>58</v>
      </c>
      <c r="E42" s="4"/>
      <c r="F42" s="4" t="s">
        <v>59</v>
      </c>
    </row>
    <row r="43" customFormat="false" ht="15" hidden="false" customHeight="false" outlineLevel="0" collapsed="false">
      <c r="A43" s="4" t="n">
        <v>39</v>
      </c>
      <c r="B43" s="4" t="s">
        <v>42</v>
      </c>
      <c r="C43" s="7" t="s">
        <v>79</v>
      </c>
      <c r="D43" s="4" t="s">
        <v>44</v>
      </c>
      <c r="E43" s="4" t="n">
        <v>12</v>
      </c>
      <c r="F43" s="4" t="s">
        <v>45</v>
      </c>
    </row>
    <row r="44" customFormat="false" ht="15" hidden="false" customHeight="false" outlineLevel="0" collapsed="false">
      <c r="A44" s="4" t="n">
        <v>40</v>
      </c>
      <c r="B44" s="4" t="s">
        <v>42</v>
      </c>
      <c r="C44" s="7" t="s">
        <v>80</v>
      </c>
      <c r="D44" s="4" t="s">
        <v>81</v>
      </c>
      <c r="E44" s="4" t="n">
        <v>36</v>
      </c>
      <c r="F44" s="4" t="s">
        <v>45</v>
      </c>
    </row>
    <row r="45" customFormat="false" ht="15" hidden="false" customHeight="false" outlineLevel="0" collapsed="false">
      <c r="A45" s="4" t="n">
        <v>41</v>
      </c>
      <c r="B45" s="4" t="s">
        <v>42</v>
      </c>
      <c r="C45" s="7" t="s">
        <v>80</v>
      </c>
      <c r="D45" s="4" t="s">
        <v>82</v>
      </c>
      <c r="E45" s="4" t="n">
        <v>24</v>
      </c>
      <c r="F45" s="4" t="s">
        <v>45</v>
      </c>
    </row>
    <row r="46" customFormat="false" ht="15" hidden="false" customHeight="false" outlineLevel="0" collapsed="false">
      <c r="A46" s="4" t="n">
        <v>42</v>
      </c>
      <c r="B46" s="4" t="s">
        <v>42</v>
      </c>
      <c r="C46" s="7" t="s">
        <v>83</v>
      </c>
      <c r="D46" s="4" t="s">
        <v>44</v>
      </c>
      <c r="E46" s="4" t="n">
        <v>12</v>
      </c>
      <c r="F46" s="4" t="s">
        <v>45</v>
      </c>
    </row>
    <row r="47" customFormat="false" ht="15" hidden="false" customHeight="false" outlineLevel="0" collapsed="false">
      <c r="A47" s="4" t="n">
        <v>43</v>
      </c>
      <c r="B47" s="4" t="s">
        <v>42</v>
      </c>
      <c r="C47" s="7" t="s">
        <v>83</v>
      </c>
      <c r="D47" s="4" t="s">
        <v>84</v>
      </c>
      <c r="E47" s="4" t="n">
        <v>60</v>
      </c>
      <c r="F47" s="4" t="s">
        <v>45</v>
      </c>
    </row>
    <row r="48" customFormat="false" ht="15" hidden="false" customHeight="false" outlineLevel="0" collapsed="false">
      <c r="A48" s="4" t="n">
        <v>44</v>
      </c>
      <c r="B48" s="4" t="s">
        <v>42</v>
      </c>
      <c r="C48" s="7" t="s">
        <v>85</v>
      </c>
      <c r="D48" s="4" t="s">
        <v>44</v>
      </c>
      <c r="E48" s="4" t="n">
        <v>12</v>
      </c>
      <c r="F48" s="4" t="s">
        <v>45</v>
      </c>
    </row>
    <row r="49" customFormat="false" ht="15" hidden="false" customHeight="false" outlineLevel="0" collapsed="false">
      <c r="A49" s="4" t="n">
        <v>45</v>
      </c>
      <c r="B49" s="4" t="s">
        <v>42</v>
      </c>
      <c r="C49" s="7" t="s">
        <v>85</v>
      </c>
      <c r="D49" s="4" t="s">
        <v>84</v>
      </c>
      <c r="E49" s="4" t="n">
        <v>60</v>
      </c>
      <c r="F49" s="4" t="s">
        <v>45</v>
      </c>
    </row>
    <row r="50" customFormat="false" ht="15" hidden="false" customHeight="false" outlineLevel="0" collapsed="false">
      <c r="A50" s="4" t="n">
        <v>46</v>
      </c>
      <c r="B50" s="4" t="s">
        <v>42</v>
      </c>
      <c r="C50" s="7" t="s">
        <v>86</v>
      </c>
      <c r="D50" s="4" t="s">
        <v>44</v>
      </c>
      <c r="E50" s="4" t="n">
        <v>12</v>
      </c>
      <c r="F50" s="4" t="s">
        <v>45</v>
      </c>
    </row>
    <row r="51" customFormat="false" ht="15" hidden="false" customHeight="false" outlineLevel="0" collapsed="false">
      <c r="A51" s="4" t="n">
        <v>47</v>
      </c>
      <c r="B51" s="4" t="s">
        <v>42</v>
      </c>
      <c r="C51" s="7" t="s">
        <v>87</v>
      </c>
      <c r="D51" s="4" t="s">
        <v>44</v>
      </c>
      <c r="E51" s="4" t="n">
        <v>12</v>
      </c>
      <c r="F51" s="4" t="s">
        <v>45</v>
      </c>
    </row>
    <row r="52" customFormat="false" ht="15" hidden="false" customHeight="false" outlineLevel="0" collapsed="false">
      <c r="A52" s="4" t="n">
        <v>48</v>
      </c>
      <c r="B52" s="4" t="s">
        <v>88</v>
      </c>
      <c r="C52" s="7" t="s">
        <v>89</v>
      </c>
      <c r="D52" s="4" t="s">
        <v>90</v>
      </c>
      <c r="E52" s="4" t="n">
        <v>36</v>
      </c>
      <c r="F52" s="4" t="s">
        <v>45</v>
      </c>
    </row>
    <row r="53" customFormat="false" ht="15" hidden="false" customHeight="false" outlineLevel="0" collapsed="false">
      <c r="A53" s="4" t="n">
        <v>49</v>
      </c>
      <c r="B53" s="4" t="s">
        <v>88</v>
      </c>
      <c r="C53" s="7" t="s">
        <v>91</v>
      </c>
      <c r="D53" s="4" t="s">
        <v>44</v>
      </c>
      <c r="E53" s="4" t="n">
        <v>12</v>
      </c>
      <c r="F53" s="4" t="s">
        <v>45</v>
      </c>
    </row>
    <row r="54" customFormat="false" ht="15" hidden="false" customHeight="false" outlineLevel="0" collapsed="false">
      <c r="A54" s="4" t="n">
        <v>50</v>
      </c>
      <c r="B54" s="4" t="s">
        <v>88</v>
      </c>
      <c r="C54" s="7" t="s">
        <v>91</v>
      </c>
      <c r="D54" s="4" t="s">
        <v>92</v>
      </c>
      <c r="E54" s="4" t="n">
        <v>120</v>
      </c>
      <c r="F54" s="4" t="s">
        <v>45</v>
      </c>
    </row>
    <row r="55" customFormat="false" ht="15" hidden="false" customHeight="false" outlineLevel="0" collapsed="false">
      <c r="A55" s="4" t="n">
        <v>51</v>
      </c>
      <c r="B55" s="4" t="s">
        <v>88</v>
      </c>
      <c r="C55" s="7" t="s">
        <v>93</v>
      </c>
      <c r="D55" s="4" t="s">
        <v>44</v>
      </c>
      <c r="E55" s="4" t="n">
        <v>12</v>
      </c>
      <c r="F55" s="4" t="s">
        <v>45</v>
      </c>
    </row>
    <row r="56" customFormat="false" ht="15" hidden="false" customHeight="false" outlineLevel="0" collapsed="false">
      <c r="A56" s="4" t="n">
        <v>52</v>
      </c>
      <c r="B56" s="4" t="s">
        <v>88</v>
      </c>
      <c r="C56" s="7" t="s">
        <v>93</v>
      </c>
      <c r="D56" s="4" t="s">
        <v>92</v>
      </c>
      <c r="E56" s="4" t="n">
        <v>120</v>
      </c>
      <c r="F56" s="4" t="s">
        <v>45</v>
      </c>
    </row>
    <row r="57" customFormat="false" ht="15" hidden="false" customHeight="false" outlineLevel="0" collapsed="false">
      <c r="A57" s="4" t="n">
        <v>53</v>
      </c>
      <c r="B57" s="4" t="s">
        <v>88</v>
      </c>
      <c r="C57" s="7" t="s">
        <v>94</v>
      </c>
      <c r="D57" s="4" t="s">
        <v>44</v>
      </c>
      <c r="E57" s="4" t="n">
        <v>12</v>
      </c>
      <c r="F57" s="4" t="s">
        <v>45</v>
      </c>
    </row>
    <row r="58" customFormat="false" ht="15" hidden="false" customHeight="false" outlineLevel="0" collapsed="false">
      <c r="A58" s="4" t="n">
        <v>54</v>
      </c>
      <c r="B58" s="4" t="s">
        <v>88</v>
      </c>
      <c r="C58" s="7" t="s">
        <v>94</v>
      </c>
      <c r="D58" s="4" t="s">
        <v>92</v>
      </c>
      <c r="E58" s="4" t="n">
        <v>120</v>
      </c>
      <c r="F58" s="4" t="s">
        <v>45</v>
      </c>
    </row>
    <row r="59" customFormat="false" ht="15" hidden="false" customHeight="false" outlineLevel="0" collapsed="false">
      <c r="A59" s="4" t="n">
        <v>55</v>
      </c>
      <c r="B59" s="4" t="s">
        <v>88</v>
      </c>
      <c r="C59" s="7" t="s">
        <v>95</v>
      </c>
      <c r="D59" s="4" t="s">
        <v>44</v>
      </c>
      <c r="E59" s="4" t="n">
        <v>12</v>
      </c>
      <c r="F59" s="4" t="s">
        <v>45</v>
      </c>
    </row>
    <row r="60" customFormat="false" ht="15" hidden="false" customHeight="false" outlineLevel="0" collapsed="false">
      <c r="A60" s="4" t="n">
        <v>56</v>
      </c>
      <c r="B60" s="4" t="s">
        <v>88</v>
      </c>
      <c r="C60" s="7" t="s">
        <v>95</v>
      </c>
      <c r="D60" s="4" t="s">
        <v>92</v>
      </c>
      <c r="E60" s="4" t="n">
        <v>120</v>
      </c>
      <c r="F60" s="4" t="s">
        <v>45</v>
      </c>
    </row>
    <row r="61" customFormat="false" ht="15" hidden="false" customHeight="false" outlineLevel="0" collapsed="false">
      <c r="A61" s="4" t="n">
        <v>57</v>
      </c>
      <c r="B61" s="4" t="s">
        <v>88</v>
      </c>
      <c r="C61" s="7" t="s">
        <v>96</v>
      </c>
      <c r="D61" s="4" t="s">
        <v>44</v>
      </c>
      <c r="E61" s="4" t="n">
        <v>12</v>
      </c>
      <c r="F61" s="4" t="s">
        <v>45</v>
      </c>
    </row>
    <row r="62" customFormat="false" ht="15" hidden="false" customHeight="false" outlineLevel="0" collapsed="false">
      <c r="A62" s="4" t="n">
        <v>58</v>
      </c>
      <c r="B62" s="4" t="s">
        <v>88</v>
      </c>
      <c r="C62" s="7" t="s">
        <v>96</v>
      </c>
      <c r="D62" s="4" t="s">
        <v>97</v>
      </c>
      <c r="E62" s="4" t="n">
        <v>120</v>
      </c>
      <c r="F62" s="4" t="s">
        <v>45</v>
      </c>
    </row>
    <row r="63" customFormat="false" ht="15" hidden="false" customHeight="false" outlineLevel="0" collapsed="false">
      <c r="A63" s="4" t="n">
        <v>59</v>
      </c>
      <c r="B63" s="4" t="s">
        <v>88</v>
      </c>
      <c r="C63" s="7" t="s">
        <v>98</v>
      </c>
      <c r="D63" s="4" t="s">
        <v>44</v>
      </c>
      <c r="E63" s="4" t="n">
        <v>12</v>
      </c>
      <c r="F63" s="4" t="s">
        <v>45</v>
      </c>
    </row>
    <row r="64" customFormat="false" ht="15" hidden="false" customHeight="false" outlineLevel="0" collapsed="false">
      <c r="A64" s="4" t="n">
        <v>60</v>
      </c>
      <c r="B64" s="4" t="s">
        <v>88</v>
      </c>
      <c r="C64" s="7" t="s">
        <v>98</v>
      </c>
      <c r="D64" s="4" t="s">
        <v>99</v>
      </c>
      <c r="E64" s="4" t="n">
        <v>60</v>
      </c>
      <c r="F64" s="4" t="s">
        <v>45</v>
      </c>
    </row>
    <row r="65" customFormat="false" ht="15" hidden="false" customHeight="false" outlineLevel="0" collapsed="false">
      <c r="A65" s="4" t="n">
        <v>61</v>
      </c>
      <c r="B65" s="4" t="s">
        <v>88</v>
      </c>
      <c r="C65" s="7" t="s">
        <v>100</v>
      </c>
      <c r="D65" s="4" t="s">
        <v>44</v>
      </c>
      <c r="E65" s="4" t="n">
        <v>12</v>
      </c>
      <c r="F65" s="4" t="s">
        <v>45</v>
      </c>
    </row>
    <row r="66" customFormat="false" ht="15" hidden="false" customHeight="false" outlineLevel="0" collapsed="false">
      <c r="A66" s="4" t="n">
        <v>62</v>
      </c>
      <c r="B66" s="4" t="s">
        <v>88</v>
      </c>
      <c r="C66" s="7" t="s">
        <v>100</v>
      </c>
      <c r="D66" s="4" t="s">
        <v>99</v>
      </c>
      <c r="E66" s="4" t="n">
        <v>60</v>
      </c>
      <c r="F66" s="4" t="s">
        <v>45</v>
      </c>
    </row>
    <row r="67" customFormat="false" ht="15" hidden="false" customHeight="false" outlineLevel="0" collapsed="false">
      <c r="A67" s="4" t="n">
        <v>63</v>
      </c>
      <c r="B67" s="4" t="s">
        <v>88</v>
      </c>
      <c r="C67" s="7" t="s">
        <v>101</v>
      </c>
      <c r="D67" s="4" t="s">
        <v>44</v>
      </c>
      <c r="E67" s="4" t="n">
        <v>12</v>
      </c>
      <c r="F67" s="4" t="s">
        <v>45</v>
      </c>
    </row>
    <row r="68" customFormat="false" ht="23.85" hidden="false" customHeight="false" outlineLevel="0" collapsed="false">
      <c r="A68" s="4" t="n">
        <v>64</v>
      </c>
      <c r="B68" s="4" t="s">
        <v>88</v>
      </c>
      <c r="C68" s="7" t="s">
        <v>102</v>
      </c>
      <c r="D68" s="4" t="s">
        <v>44</v>
      </c>
      <c r="E68" s="4" t="n">
        <v>12</v>
      </c>
      <c r="F68" s="4" t="s">
        <v>45</v>
      </c>
    </row>
    <row r="69" customFormat="false" ht="23.85" hidden="false" customHeight="false" outlineLevel="0" collapsed="false">
      <c r="A69" s="4" t="n">
        <v>65</v>
      </c>
      <c r="B69" s="4" t="s">
        <v>88</v>
      </c>
      <c r="C69" s="7" t="s">
        <v>102</v>
      </c>
      <c r="D69" s="4" t="s">
        <v>97</v>
      </c>
      <c r="E69" s="4" t="n">
        <v>120</v>
      </c>
      <c r="F69" s="4" t="s">
        <v>45</v>
      </c>
    </row>
    <row r="70" customFormat="false" ht="15" hidden="false" customHeight="false" outlineLevel="0" collapsed="false">
      <c r="A70" s="4" t="n">
        <v>66</v>
      </c>
      <c r="B70" s="4" t="s">
        <v>88</v>
      </c>
      <c r="C70" s="7" t="s">
        <v>103</v>
      </c>
      <c r="D70" s="4" t="s">
        <v>44</v>
      </c>
      <c r="E70" s="4" t="n">
        <v>12</v>
      </c>
      <c r="F70" s="4" t="s">
        <v>45</v>
      </c>
    </row>
    <row r="71" customFormat="false" ht="15" hidden="false" customHeight="false" outlineLevel="0" collapsed="false">
      <c r="A71" s="4" t="n">
        <v>67</v>
      </c>
      <c r="B71" s="4" t="s">
        <v>88</v>
      </c>
      <c r="C71" s="7" t="s">
        <v>103</v>
      </c>
      <c r="D71" s="4" t="s">
        <v>97</v>
      </c>
      <c r="E71" s="4" t="n">
        <v>120</v>
      </c>
      <c r="F71" s="4" t="s">
        <v>45</v>
      </c>
    </row>
    <row r="72" customFormat="false" ht="15" hidden="false" customHeight="false" outlineLevel="0" collapsed="false">
      <c r="A72" s="4" t="n">
        <v>68</v>
      </c>
      <c r="B72" s="4" t="s">
        <v>88</v>
      </c>
      <c r="C72" s="7" t="s">
        <v>104</v>
      </c>
      <c r="D72" s="4" t="s">
        <v>44</v>
      </c>
      <c r="E72" s="4" t="n">
        <v>12</v>
      </c>
      <c r="F72" s="4" t="s">
        <v>45</v>
      </c>
    </row>
    <row r="73" customFormat="false" ht="15" hidden="false" customHeight="false" outlineLevel="0" collapsed="false">
      <c r="A73" s="4" t="n">
        <v>69</v>
      </c>
      <c r="B73" s="4" t="s">
        <v>88</v>
      </c>
      <c r="C73" s="7" t="s">
        <v>105</v>
      </c>
      <c r="D73" s="4" t="s">
        <v>44</v>
      </c>
      <c r="E73" s="4" t="n">
        <v>12</v>
      </c>
      <c r="F73" s="4" t="s">
        <v>45</v>
      </c>
    </row>
    <row r="74" customFormat="false" ht="15" hidden="false" customHeight="false" outlineLevel="0" collapsed="false">
      <c r="A74" s="4" t="n">
        <v>70</v>
      </c>
      <c r="B74" s="4" t="s">
        <v>88</v>
      </c>
      <c r="C74" s="7" t="s">
        <v>106</v>
      </c>
      <c r="D74" s="4" t="s">
        <v>44</v>
      </c>
      <c r="E74" s="4" t="n">
        <v>12</v>
      </c>
      <c r="F74" s="4" t="s">
        <v>45</v>
      </c>
    </row>
    <row r="75" customFormat="false" ht="15" hidden="false" customHeight="false" outlineLevel="0" collapsed="false">
      <c r="A75" s="4" t="n">
        <v>71</v>
      </c>
      <c r="B75" s="4" t="s">
        <v>88</v>
      </c>
      <c r="C75" s="7" t="s">
        <v>107</v>
      </c>
      <c r="D75" s="4" t="s">
        <v>44</v>
      </c>
      <c r="E75" s="4" t="n">
        <v>12</v>
      </c>
      <c r="F75" s="4" t="s">
        <v>45</v>
      </c>
    </row>
    <row r="76" customFormat="false" ht="15" hidden="false" customHeight="false" outlineLevel="0" collapsed="false">
      <c r="A76" s="4" t="n">
        <v>72</v>
      </c>
      <c r="B76" s="4" t="s">
        <v>88</v>
      </c>
      <c r="C76" s="7" t="s">
        <v>108</v>
      </c>
      <c r="D76" s="4" t="s">
        <v>109</v>
      </c>
      <c r="E76" s="4" t="n">
        <v>12</v>
      </c>
      <c r="F76" s="4" t="s">
        <v>45</v>
      </c>
    </row>
    <row r="77" customFormat="false" ht="15" hidden="false" customHeight="false" outlineLevel="0" collapsed="false">
      <c r="A77" s="4" t="n">
        <v>73</v>
      </c>
      <c r="B77" s="4" t="s">
        <v>88</v>
      </c>
      <c r="C77" s="7" t="s">
        <v>108</v>
      </c>
      <c r="D77" s="4" t="s">
        <v>110</v>
      </c>
      <c r="E77" s="4" t="n">
        <v>60</v>
      </c>
      <c r="F77" s="4" t="s">
        <v>45</v>
      </c>
    </row>
    <row r="78" customFormat="false" ht="15" hidden="false" customHeight="false" outlineLevel="0" collapsed="false">
      <c r="A78" s="4" t="n">
        <v>74</v>
      </c>
      <c r="B78" s="4" t="s">
        <v>88</v>
      </c>
      <c r="C78" s="7" t="s">
        <v>111</v>
      </c>
      <c r="D78" s="4" t="s">
        <v>44</v>
      </c>
      <c r="E78" s="4" t="n">
        <v>12</v>
      </c>
      <c r="F78" s="4" t="s">
        <v>45</v>
      </c>
    </row>
    <row r="79" customFormat="false" ht="15" hidden="false" customHeight="false" outlineLevel="0" collapsed="false">
      <c r="A79" s="4" t="n">
        <v>75</v>
      </c>
      <c r="B79" s="4" t="s">
        <v>88</v>
      </c>
      <c r="C79" s="7" t="s">
        <v>112</v>
      </c>
      <c r="D79" s="4" t="s">
        <v>44</v>
      </c>
      <c r="E79" s="4" t="n">
        <v>12</v>
      </c>
      <c r="F79" s="4" t="s">
        <v>45</v>
      </c>
    </row>
    <row r="80" customFormat="false" ht="15" hidden="false" customHeight="false" outlineLevel="0" collapsed="false">
      <c r="A80" s="4" t="n">
        <v>76</v>
      </c>
      <c r="B80" s="4" t="s">
        <v>88</v>
      </c>
      <c r="C80" s="7" t="s">
        <v>113</v>
      </c>
      <c r="D80" s="4" t="s">
        <v>114</v>
      </c>
      <c r="E80" s="4"/>
      <c r="F80" s="4" t="s">
        <v>115</v>
      </c>
    </row>
    <row r="81" customFormat="false" ht="15" hidden="false" customHeight="false" outlineLevel="0" collapsed="false">
      <c r="A81" s="4" t="n">
        <v>77</v>
      </c>
      <c r="B81" s="4" t="s">
        <v>88</v>
      </c>
      <c r="C81" s="7" t="s">
        <v>116</v>
      </c>
      <c r="D81" s="4" t="s">
        <v>114</v>
      </c>
      <c r="E81" s="4"/>
      <c r="F81" s="4" t="s">
        <v>115</v>
      </c>
    </row>
    <row r="82" customFormat="false" ht="15" hidden="false" customHeight="false" outlineLevel="0" collapsed="false">
      <c r="A82" s="4" t="n">
        <v>78</v>
      </c>
      <c r="B82" s="4" t="s">
        <v>117</v>
      </c>
      <c r="C82" s="7" t="s">
        <v>118</v>
      </c>
      <c r="D82" s="4" t="s">
        <v>119</v>
      </c>
      <c r="E82" s="4"/>
      <c r="F82" s="4" t="s">
        <v>59</v>
      </c>
    </row>
    <row r="83" customFormat="false" ht="15" hidden="false" customHeight="false" outlineLevel="0" collapsed="false">
      <c r="A83" s="4" t="n">
        <v>79</v>
      </c>
      <c r="B83" s="4" t="s">
        <v>117</v>
      </c>
      <c r="C83" s="7" t="s">
        <v>120</v>
      </c>
      <c r="D83" s="4" t="s">
        <v>44</v>
      </c>
      <c r="E83" s="4" t="n">
        <v>12</v>
      </c>
      <c r="F83" s="4" t="s">
        <v>45</v>
      </c>
    </row>
    <row r="84" customFormat="false" ht="15" hidden="false" customHeight="false" outlineLevel="0" collapsed="false">
      <c r="A84" s="4" t="n">
        <v>80</v>
      </c>
      <c r="B84" s="4" t="s">
        <v>117</v>
      </c>
      <c r="C84" s="7" t="s">
        <v>121</v>
      </c>
      <c r="D84" s="4" t="s">
        <v>44</v>
      </c>
      <c r="E84" s="4" t="n">
        <v>12</v>
      </c>
      <c r="F84" s="4" t="s">
        <v>45</v>
      </c>
    </row>
    <row r="85" customFormat="false" ht="15" hidden="false" customHeight="false" outlineLevel="0" collapsed="false">
      <c r="A85" s="4" t="n">
        <v>81</v>
      </c>
      <c r="B85" s="4" t="s">
        <v>117</v>
      </c>
      <c r="C85" s="7" t="s">
        <v>122</v>
      </c>
      <c r="D85" s="4" t="s">
        <v>123</v>
      </c>
      <c r="E85" s="4" t="n">
        <v>24</v>
      </c>
      <c r="F85" s="4" t="s">
        <v>45</v>
      </c>
    </row>
    <row r="86" customFormat="false" ht="15" hidden="false" customHeight="false" outlineLevel="0" collapsed="false">
      <c r="A86" s="4" t="n">
        <v>82</v>
      </c>
      <c r="B86" s="4" t="s">
        <v>117</v>
      </c>
      <c r="C86" s="7" t="s">
        <v>124</v>
      </c>
      <c r="D86" s="4" t="s">
        <v>58</v>
      </c>
      <c r="E86" s="4"/>
      <c r="F86" s="4" t="s">
        <v>59</v>
      </c>
    </row>
    <row r="87" customFormat="false" ht="15" hidden="false" customHeight="false" outlineLevel="0" collapsed="false">
      <c r="A87" s="4" t="n">
        <v>83</v>
      </c>
      <c r="B87" s="4" t="s">
        <v>117</v>
      </c>
      <c r="C87" s="7" t="s">
        <v>125</v>
      </c>
      <c r="D87" s="4" t="s">
        <v>58</v>
      </c>
      <c r="E87" s="4"/>
      <c r="F87" s="4" t="s">
        <v>59</v>
      </c>
    </row>
    <row r="88" customFormat="false" ht="15" hidden="false" customHeight="false" outlineLevel="0" collapsed="false">
      <c r="A88" s="4" t="n">
        <v>84</v>
      </c>
      <c r="B88" s="4" t="s">
        <v>117</v>
      </c>
      <c r="C88" s="7" t="s">
        <v>126</v>
      </c>
      <c r="D88" s="4" t="s">
        <v>44</v>
      </c>
      <c r="E88" s="4" t="n">
        <v>12</v>
      </c>
      <c r="F88" s="4" t="s">
        <v>45</v>
      </c>
    </row>
    <row r="89" customFormat="false" ht="15" hidden="false" customHeight="false" outlineLevel="0" collapsed="false">
      <c r="A89" s="4" t="n">
        <v>85</v>
      </c>
      <c r="B89" s="4" t="s">
        <v>117</v>
      </c>
      <c r="C89" s="7" t="s">
        <v>127</v>
      </c>
      <c r="D89" s="4" t="s">
        <v>58</v>
      </c>
      <c r="E89" s="4"/>
      <c r="F89" s="4" t="s">
        <v>59</v>
      </c>
    </row>
    <row r="90" customFormat="false" ht="15" hidden="false" customHeight="false" outlineLevel="0" collapsed="false">
      <c r="A90" s="4" t="n">
        <v>86</v>
      </c>
      <c r="B90" s="4" t="s">
        <v>117</v>
      </c>
      <c r="C90" s="7" t="s">
        <v>128</v>
      </c>
      <c r="D90" s="4" t="s">
        <v>58</v>
      </c>
      <c r="E90" s="4"/>
      <c r="F90" s="4" t="s">
        <v>59</v>
      </c>
    </row>
    <row r="91" customFormat="false" ht="15" hidden="false" customHeight="false" outlineLevel="0" collapsed="false">
      <c r="A91" s="4" t="n">
        <v>87</v>
      </c>
      <c r="B91" s="4" t="s">
        <v>117</v>
      </c>
      <c r="C91" s="7" t="s">
        <v>129</v>
      </c>
      <c r="D91" s="4" t="s">
        <v>58</v>
      </c>
      <c r="E91" s="4"/>
      <c r="F91" s="4" t="s">
        <v>59</v>
      </c>
    </row>
    <row r="92" customFormat="false" ht="15" hidden="false" customHeight="false" outlineLevel="0" collapsed="false">
      <c r="A92" s="4" t="n">
        <v>88</v>
      </c>
      <c r="B92" s="4" t="s">
        <v>117</v>
      </c>
      <c r="C92" s="7" t="s">
        <v>130</v>
      </c>
      <c r="D92" s="4" t="s">
        <v>44</v>
      </c>
      <c r="E92" s="4" t="n">
        <v>12</v>
      </c>
      <c r="F92" s="4" t="s">
        <v>45</v>
      </c>
    </row>
    <row r="93" customFormat="false" ht="15" hidden="false" customHeight="false" outlineLevel="0" collapsed="false">
      <c r="A93" s="4" t="n">
        <v>89</v>
      </c>
      <c r="B93" s="4" t="s">
        <v>117</v>
      </c>
      <c r="C93" s="7" t="s">
        <v>131</v>
      </c>
      <c r="D93" s="4" t="s">
        <v>44</v>
      </c>
      <c r="E93" s="4" t="n">
        <v>12</v>
      </c>
      <c r="F93" s="4" t="s">
        <v>45</v>
      </c>
    </row>
    <row r="94" customFormat="false" ht="15" hidden="false" customHeight="false" outlineLevel="0" collapsed="false">
      <c r="A94" s="4" t="n">
        <v>90</v>
      </c>
      <c r="B94" s="4" t="s">
        <v>117</v>
      </c>
      <c r="C94" s="7" t="s">
        <v>132</v>
      </c>
      <c r="D94" s="4" t="s">
        <v>44</v>
      </c>
      <c r="E94" s="4" t="n">
        <v>12</v>
      </c>
      <c r="F94" s="4" t="s">
        <v>45</v>
      </c>
    </row>
    <row r="95" customFormat="false" ht="15" hidden="false" customHeight="false" outlineLevel="0" collapsed="false">
      <c r="A95" s="4" t="n">
        <v>91</v>
      </c>
      <c r="B95" s="4" t="s">
        <v>117</v>
      </c>
      <c r="C95" s="7" t="s">
        <v>133</v>
      </c>
      <c r="D95" s="4" t="s">
        <v>44</v>
      </c>
      <c r="E95" s="4" t="n">
        <v>12</v>
      </c>
      <c r="F95" s="4" t="s">
        <v>45</v>
      </c>
    </row>
    <row r="96" customFormat="false" ht="15" hidden="false" customHeight="false" outlineLevel="0" collapsed="false">
      <c r="A96" s="4" t="n">
        <v>92</v>
      </c>
      <c r="B96" s="4" t="s">
        <v>117</v>
      </c>
      <c r="C96" s="7" t="s">
        <v>134</v>
      </c>
      <c r="D96" s="4" t="s">
        <v>44</v>
      </c>
      <c r="E96" s="4" t="n">
        <v>12</v>
      </c>
      <c r="F96" s="4" t="s">
        <v>45</v>
      </c>
    </row>
    <row r="97" customFormat="false" ht="15" hidden="false" customHeight="false" outlineLevel="0" collapsed="false">
      <c r="A97" s="4" t="n">
        <v>93</v>
      </c>
      <c r="B97" s="4" t="s">
        <v>117</v>
      </c>
      <c r="C97" s="7" t="s">
        <v>135</v>
      </c>
      <c r="D97" s="4" t="s">
        <v>44</v>
      </c>
      <c r="E97" s="4" t="n">
        <v>12</v>
      </c>
      <c r="F97" s="4" t="s">
        <v>45</v>
      </c>
    </row>
    <row r="98" customFormat="false" ht="15" hidden="false" customHeight="false" outlineLevel="0" collapsed="false">
      <c r="A98" s="4" t="n">
        <v>94</v>
      </c>
      <c r="B98" s="4" t="s">
        <v>136</v>
      </c>
      <c r="C98" s="7" t="s">
        <v>137</v>
      </c>
      <c r="D98" s="4" t="s">
        <v>44</v>
      </c>
      <c r="E98" s="4" t="n">
        <v>12</v>
      </c>
      <c r="F98" s="4" t="s">
        <v>45</v>
      </c>
    </row>
    <row r="99" customFormat="false" ht="15" hidden="false" customHeight="false" outlineLevel="0" collapsed="false">
      <c r="A99" s="4" t="n">
        <v>95</v>
      </c>
      <c r="B99" s="4" t="s">
        <v>136</v>
      </c>
      <c r="C99" s="7" t="s">
        <v>138</v>
      </c>
      <c r="D99" s="4" t="s">
        <v>44</v>
      </c>
      <c r="E99" s="4" t="n">
        <v>12</v>
      </c>
      <c r="F99" s="4" t="s">
        <v>45</v>
      </c>
    </row>
    <row r="100" customFormat="false" ht="15" hidden="false" customHeight="false" outlineLevel="0" collapsed="false">
      <c r="A100" s="4" t="n">
        <v>96</v>
      </c>
      <c r="B100" s="4" t="s">
        <v>136</v>
      </c>
      <c r="C100" s="7" t="s">
        <v>139</v>
      </c>
      <c r="D100" s="4" t="s">
        <v>140</v>
      </c>
      <c r="E100" s="4" t="n">
        <v>12</v>
      </c>
      <c r="F100" s="4" t="s">
        <v>45</v>
      </c>
    </row>
    <row r="101" customFormat="false" ht="15" hidden="false" customHeight="false" outlineLevel="0" collapsed="false">
      <c r="A101" s="4" t="n">
        <v>97</v>
      </c>
      <c r="B101" s="4" t="s">
        <v>136</v>
      </c>
      <c r="C101" s="7" t="s">
        <v>141</v>
      </c>
      <c r="D101" s="4" t="s">
        <v>44</v>
      </c>
      <c r="E101" s="4" t="n">
        <v>12</v>
      </c>
      <c r="F101" s="4" t="s">
        <v>45</v>
      </c>
    </row>
    <row r="102" customFormat="false" ht="15" hidden="false" customHeight="false" outlineLevel="0" collapsed="false">
      <c r="A102" s="4" t="n">
        <v>98</v>
      </c>
      <c r="B102" s="4" t="s">
        <v>136</v>
      </c>
      <c r="C102" s="7" t="s">
        <v>142</v>
      </c>
      <c r="D102" s="4" t="s">
        <v>143</v>
      </c>
      <c r="E102" s="4"/>
      <c r="F102" s="4" t="s">
        <v>115</v>
      </c>
    </row>
    <row r="103" customFormat="false" ht="15" hidden="false" customHeight="false" outlineLevel="0" collapsed="false">
      <c r="A103" s="4" t="n">
        <v>99</v>
      </c>
      <c r="B103" s="4" t="s">
        <v>136</v>
      </c>
      <c r="C103" s="7" t="s">
        <v>144</v>
      </c>
      <c r="D103" s="4" t="s">
        <v>44</v>
      </c>
      <c r="E103" s="4" t="n">
        <v>12</v>
      </c>
      <c r="F103" s="4" t="s">
        <v>45</v>
      </c>
    </row>
    <row r="104" customFormat="false" ht="15" hidden="false" customHeight="false" outlineLevel="0" collapsed="false">
      <c r="A104" s="4" t="n">
        <v>100</v>
      </c>
      <c r="B104" s="4" t="s">
        <v>136</v>
      </c>
      <c r="C104" s="7" t="s">
        <v>145</v>
      </c>
      <c r="D104" s="4" t="s">
        <v>44</v>
      </c>
      <c r="E104" s="4" t="n">
        <v>12</v>
      </c>
      <c r="F104" s="4" t="s">
        <v>45</v>
      </c>
    </row>
    <row r="105" customFormat="false" ht="15" hidden="false" customHeight="false" outlineLevel="0" collapsed="false">
      <c r="A105" s="4" t="n">
        <v>101</v>
      </c>
      <c r="B105" s="4" t="s">
        <v>136</v>
      </c>
      <c r="C105" s="7" t="s">
        <v>146</v>
      </c>
      <c r="D105" s="4" t="s">
        <v>44</v>
      </c>
      <c r="E105" s="4" t="n">
        <v>12</v>
      </c>
      <c r="F105" s="4" t="s">
        <v>45</v>
      </c>
    </row>
    <row r="106" customFormat="false" ht="15" hidden="false" customHeight="false" outlineLevel="0" collapsed="false">
      <c r="A106" s="4" t="n">
        <v>102</v>
      </c>
      <c r="B106" s="4" t="s">
        <v>136</v>
      </c>
      <c r="C106" s="7" t="s">
        <v>147</v>
      </c>
      <c r="D106" s="4" t="s">
        <v>44</v>
      </c>
      <c r="E106" s="4" t="n">
        <v>12</v>
      </c>
      <c r="F106" s="4" t="s">
        <v>45</v>
      </c>
    </row>
    <row r="107" customFormat="false" ht="15" hidden="false" customHeight="false" outlineLevel="0" collapsed="false">
      <c r="A107" s="4" t="n">
        <v>103</v>
      </c>
      <c r="B107" s="4" t="s">
        <v>136</v>
      </c>
      <c r="C107" s="7" t="s">
        <v>148</v>
      </c>
      <c r="D107" s="4" t="s">
        <v>44</v>
      </c>
      <c r="E107" s="4" t="n">
        <v>12</v>
      </c>
      <c r="F107" s="4" t="s">
        <v>45</v>
      </c>
    </row>
    <row r="108" customFormat="false" ht="15" hidden="false" customHeight="false" outlineLevel="0" collapsed="false">
      <c r="A108" s="4" t="n">
        <v>104</v>
      </c>
      <c r="B108" s="4" t="s">
        <v>136</v>
      </c>
      <c r="C108" s="7" t="s">
        <v>149</v>
      </c>
      <c r="D108" s="4" t="s">
        <v>44</v>
      </c>
      <c r="E108" s="4" t="n">
        <v>12</v>
      </c>
      <c r="F108" s="4" t="s">
        <v>45</v>
      </c>
    </row>
    <row r="109" customFormat="false" ht="15" hidden="false" customHeight="false" outlineLevel="0" collapsed="false">
      <c r="A109" s="4" t="n">
        <v>105</v>
      </c>
      <c r="B109" s="4" t="s">
        <v>136</v>
      </c>
      <c r="C109" s="7" t="s">
        <v>150</v>
      </c>
      <c r="D109" s="4" t="s">
        <v>44</v>
      </c>
      <c r="E109" s="4" t="n">
        <v>12</v>
      </c>
      <c r="F109" s="4" t="s">
        <v>45</v>
      </c>
    </row>
    <row r="110" customFormat="false" ht="15" hidden="false" customHeight="false" outlineLevel="0" collapsed="false">
      <c r="A110" s="4" t="n">
        <v>106</v>
      </c>
      <c r="B110" s="4" t="s">
        <v>136</v>
      </c>
      <c r="C110" s="7" t="s">
        <v>151</v>
      </c>
      <c r="D110" s="4" t="s">
        <v>44</v>
      </c>
      <c r="E110" s="4" t="n">
        <v>12</v>
      </c>
      <c r="F110" s="4" t="s">
        <v>45</v>
      </c>
    </row>
    <row r="111" customFormat="false" ht="15" hidden="false" customHeight="false" outlineLevel="0" collapsed="false">
      <c r="A111" s="4" t="n">
        <v>107</v>
      </c>
      <c r="B111" s="4" t="s">
        <v>136</v>
      </c>
      <c r="C111" s="7" t="s">
        <v>152</v>
      </c>
      <c r="D111" s="4" t="s">
        <v>44</v>
      </c>
      <c r="E111" s="4" t="n">
        <v>12</v>
      </c>
      <c r="F111" s="4" t="s">
        <v>45</v>
      </c>
    </row>
    <row r="112" customFormat="false" ht="15" hidden="false" customHeight="false" outlineLevel="0" collapsed="false">
      <c r="A112" s="4" t="n">
        <v>108</v>
      </c>
      <c r="B112" s="4" t="s">
        <v>136</v>
      </c>
      <c r="C112" s="7" t="s">
        <v>153</v>
      </c>
      <c r="D112" s="4" t="s">
        <v>44</v>
      </c>
      <c r="E112" s="4" t="n">
        <v>12</v>
      </c>
      <c r="F112" s="4" t="s">
        <v>45</v>
      </c>
    </row>
    <row r="113" customFormat="false" ht="15" hidden="false" customHeight="false" outlineLevel="0" collapsed="false">
      <c r="A113" s="4" t="n">
        <v>109</v>
      </c>
      <c r="B113" s="4" t="s">
        <v>136</v>
      </c>
      <c r="C113" s="7" t="s">
        <v>154</v>
      </c>
      <c r="D113" s="4" t="s">
        <v>44</v>
      </c>
      <c r="E113" s="4" t="n">
        <v>12</v>
      </c>
      <c r="F113" s="4" t="s">
        <v>45</v>
      </c>
    </row>
    <row r="114" customFormat="false" ht="15" hidden="false" customHeight="false" outlineLevel="0" collapsed="false">
      <c r="A114" s="4" t="n">
        <v>110</v>
      </c>
      <c r="B114" s="4" t="s">
        <v>136</v>
      </c>
      <c r="C114" s="7" t="s">
        <v>155</v>
      </c>
      <c r="D114" s="4" t="s">
        <v>44</v>
      </c>
      <c r="E114" s="4" t="n">
        <v>12</v>
      </c>
      <c r="F114" s="4" t="s">
        <v>45</v>
      </c>
    </row>
    <row r="115" customFormat="false" ht="15" hidden="false" customHeight="false" outlineLevel="0" collapsed="false">
      <c r="A115" s="4" t="n">
        <v>111</v>
      </c>
      <c r="B115" s="4" t="s">
        <v>136</v>
      </c>
      <c r="C115" s="7" t="s">
        <v>156</v>
      </c>
      <c r="D115" s="4" t="s">
        <v>44</v>
      </c>
      <c r="E115" s="4" t="n">
        <v>12</v>
      </c>
      <c r="F115" s="4" t="s">
        <v>45</v>
      </c>
    </row>
    <row r="116" customFormat="false" ht="15" hidden="false" customHeight="false" outlineLevel="0" collapsed="false">
      <c r="A116" s="4" t="n">
        <v>112</v>
      </c>
      <c r="B116" s="4" t="s">
        <v>136</v>
      </c>
      <c r="C116" s="7" t="s">
        <v>157</v>
      </c>
      <c r="D116" s="4" t="s">
        <v>44</v>
      </c>
      <c r="E116" s="4" t="n">
        <v>12</v>
      </c>
      <c r="F116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0" hidden="false" customHeight="true" outlineLevel="0" collapsed="false">
      <c r="A4" s="8" t="s">
        <v>160</v>
      </c>
      <c r="B4" s="8" t="s">
        <v>37</v>
      </c>
      <c r="C4" s="8" t="s">
        <v>38</v>
      </c>
      <c r="D4" s="8" t="s">
        <v>41</v>
      </c>
      <c r="E4" s="8" t="s">
        <v>39</v>
      </c>
      <c r="F4" s="8" t="s">
        <v>40</v>
      </c>
      <c r="G4" s="8" t="s">
        <v>161</v>
      </c>
      <c r="H4" s="8" t="s">
        <v>162</v>
      </c>
      <c r="I4" s="8" t="s">
        <v>163</v>
      </c>
      <c r="J4" s="8" t="s">
        <v>164</v>
      </c>
      <c r="K4" s="8" t="s">
        <v>165</v>
      </c>
    </row>
    <row r="5" customFormat="false" ht="15" hidden="false" customHeight="false" outlineLevel="0" collapsed="false">
      <c r="A5" s="9" t="str">
        <f aca="false">Vessels!B5</f>
        <v>Vessel 01</v>
      </c>
      <c r="B5" s="9" t="s">
        <v>42</v>
      </c>
      <c r="C5" s="7" t="s">
        <v>43</v>
      </c>
      <c r="D5" s="9" t="s">
        <v>45</v>
      </c>
      <c r="E5" s="9" t="s">
        <v>44</v>
      </c>
      <c r="F5" s="5" t="n">
        <v>12</v>
      </c>
      <c r="G5" s="10" t="n">
        <v>46009</v>
      </c>
      <c r="H5" s="11" t="n">
        <f aca="false">IFERROR(IF($D5="Manual Review","",IF($G5="","",IF($D5="Direct Expiry",$G5,EDATE($G5,$F5)))),"Check Date")</f>
        <v>46374</v>
      </c>
      <c r="I5" s="12" t="n">
        <f aca="true">IF($H5="","",IF(ISNUMBER($H5),$H5-TODAY(),""))</f>
        <v>156</v>
      </c>
      <c r="J5" s="4" t="str">
        <f aca="true">IF($D5="Manual Review","Manual Review",IF($G5="","No Data",IF(NOT(ISNUMBER($H5)),"N/A",IF($H5&lt;TODAY(),"Overdue",IF($H5&lt;=TODAY()+30,"Due within 1 Month",IF($H5&lt;=TODAY()+60,"Due within 2 Months","OK"))))))</f>
        <v>OK</v>
      </c>
      <c r="K5" s="13"/>
    </row>
    <row r="6" customFormat="false" ht="15" hidden="false" customHeight="false" outlineLevel="0" collapsed="false">
      <c r="A6" s="9" t="str">
        <f aca="false">Vessels!B5</f>
        <v>Vessel 01</v>
      </c>
      <c r="B6" s="9" t="s">
        <v>42</v>
      </c>
      <c r="C6" s="7" t="s">
        <v>43</v>
      </c>
      <c r="D6" s="9" t="s">
        <v>45</v>
      </c>
      <c r="E6" s="9" t="s">
        <v>46</v>
      </c>
      <c r="F6" s="5" t="n">
        <v>60</v>
      </c>
      <c r="G6" s="10"/>
      <c r="H6" s="11" t="str">
        <f aca="false">IFERROR(IF($D6="Manual Review","",IF($G6="","",IF($D6="Direct Expiry",$G6,EDATE($G6,$F6)))),"Check Date")</f>
        <v/>
      </c>
      <c r="I6" s="12" t="str">
        <f aca="true">IF($H6="","",IF(ISNUMBER($H6),$H6-TODAY(),""))</f>
        <v/>
      </c>
      <c r="J6" s="4" t="str">
        <f aca="true">IF($D6="Manual Review","Manual Review",IF($G6="","No Data",IF(NOT(ISNUMBER($H6)),"N/A",IF($H6&lt;TODAY(),"Overdue",IF($H6&lt;=TODAY()+30,"Due within 1 Month",IF($H6&lt;=TODAY()+60,"Due within 2 Months","OK"))))))</f>
        <v>No Data</v>
      </c>
      <c r="K6" s="13"/>
    </row>
    <row r="7" customFormat="false" ht="15" hidden="false" customHeight="false" outlineLevel="0" collapsed="false">
      <c r="A7" s="9" t="str">
        <f aca="false">Vessels!B5</f>
        <v>Vessel 01</v>
      </c>
      <c r="B7" s="9" t="s">
        <v>42</v>
      </c>
      <c r="C7" s="7" t="s">
        <v>47</v>
      </c>
      <c r="D7" s="9" t="s">
        <v>45</v>
      </c>
      <c r="E7" s="9" t="s">
        <v>44</v>
      </c>
      <c r="F7" s="5" t="n">
        <v>12</v>
      </c>
      <c r="G7" s="10" t="n">
        <v>46009</v>
      </c>
      <c r="H7" s="11" t="n">
        <f aca="false">IFERROR(IF($D7="Manual Review","",IF($G7="","",IF($D7="Direct Expiry",$G7,EDATE($G7,$F7)))),"Check Date")</f>
        <v>46374</v>
      </c>
      <c r="I7" s="12" t="n">
        <f aca="true">IF($H7="","",IF(ISNUMBER($H7),$H7-TODAY(),""))</f>
        <v>156</v>
      </c>
      <c r="J7" s="4" t="str">
        <f aca="true">IF($D7="Manual Review","Manual Review",IF($G7="","No Data",IF(NOT(ISNUMBER($H7)),"N/A",IF($H7&lt;TODAY(),"Overdue",IF($H7&lt;=TODAY()+30,"Due within 1 Month",IF($H7&lt;=TODAY()+60,"Due within 2 Months","OK"))))))</f>
        <v>OK</v>
      </c>
      <c r="K7" s="13"/>
    </row>
    <row r="8" customFormat="false" ht="15" hidden="false" customHeight="false" outlineLevel="0" collapsed="false">
      <c r="A8" s="9" t="str">
        <f aca="false">Vessels!B5</f>
        <v>Vessel 01</v>
      </c>
      <c r="B8" s="9" t="s">
        <v>42</v>
      </c>
      <c r="C8" s="7" t="s">
        <v>47</v>
      </c>
      <c r="D8" s="9" t="s">
        <v>45</v>
      </c>
      <c r="E8" s="9" t="s">
        <v>46</v>
      </c>
      <c r="F8" s="5" t="n">
        <v>60</v>
      </c>
      <c r="G8" s="10"/>
      <c r="H8" s="11" t="str">
        <f aca="false">IFERROR(IF($D8="Manual Review","",IF($G8="","",IF($D8="Direct Expiry",$G8,EDATE($G8,$F8)))),"Check Date")</f>
        <v/>
      </c>
      <c r="I8" s="12" t="str">
        <f aca="true">IF($H8="","",IF(ISNUMBER($H8),$H8-TODAY(),""))</f>
        <v/>
      </c>
      <c r="J8" s="4" t="str">
        <f aca="true">IF($D8="Manual Review","Manual Review",IF($G8="","No Data",IF(NOT(ISNUMBER($H8)),"N/A",IF($H8&lt;TODAY(),"Overdue",IF($H8&lt;=TODAY()+30,"Due within 1 Month",IF($H8&lt;=TODAY()+60,"Due within 2 Months","OK"))))))</f>
        <v>No Data</v>
      </c>
      <c r="K8" s="13"/>
    </row>
    <row r="9" customFormat="false" ht="15" hidden="false" customHeight="false" outlineLevel="0" collapsed="false">
      <c r="A9" s="9" t="str">
        <f aca="false">Vessels!B5</f>
        <v>Vessel 01</v>
      </c>
      <c r="B9" s="9" t="s">
        <v>42</v>
      </c>
      <c r="C9" s="7" t="s">
        <v>48</v>
      </c>
      <c r="D9" s="9" t="s">
        <v>45</v>
      </c>
      <c r="E9" s="9" t="s">
        <v>44</v>
      </c>
      <c r="F9" s="5" t="n">
        <v>12</v>
      </c>
      <c r="G9" s="10"/>
      <c r="H9" s="11" t="str">
        <f aca="false">IFERROR(IF($D9="Manual Review","",IF($G9="","",IF($D9="Direct Expiry",$G9,EDATE($G9,$F9)))),"Check Date")</f>
        <v/>
      </c>
      <c r="I9" s="12" t="str">
        <f aca="true">IF($H9="","",IF(ISNUMBER($H9),$H9-TODAY(),""))</f>
        <v/>
      </c>
      <c r="J9" s="4" t="str">
        <f aca="true">IF($D9="Manual Review","Manual Review",IF($G9="","No Data",IF(NOT(ISNUMBER($H9)),"N/A",IF($H9&lt;TODAY(),"Overdue",IF($H9&lt;=TODAY()+30,"Due within 1 Month",IF($H9&lt;=TODAY()+60,"Due within 2 Months","OK"))))))</f>
        <v>No Data</v>
      </c>
      <c r="K9" s="13"/>
    </row>
    <row r="10" customFormat="false" ht="15" hidden="false" customHeight="false" outlineLevel="0" collapsed="false">
      <c r="A10" s="9" t="str">
        <f aca="false">Vessels!B5</f>
        <v>Vessel 01</v>
      </c>
      <c r="B10" s="9" t="s">
        <v>42</v>
      </c>
      <c r="C10" s="7" t="s">
        <v>48</v>
      </c>
      <c r="D10" s="9" t="s">
        <v>45</v>
      </c>
      <c r="E10" s="9" t="s">
        <v>49</v>
      </c>
      <c r="F10" s="5" t="n">
        <v>60</v>
      </c>
      <c r="G10" s="10"/>
      <c r="H10" s="11" t="str">
        <f aca="false">IFERROR(IF($D10="Manual Review","",IF($G10="","",IF($D10="Direct Expiry",$G10,EDATE($G10,$F10)))),"Check Date")</f>
        <v/>
      </c>
      <c r="I10" s="12" t="str">
        <f aca="true">IF($H10="","",IF(ISNUMBER($H10),$H10-TODAY(),""))</f>
        <v/>
      </c>
      <c r="J10" s="4" t="str">
        <f aca="true">IF($D10="Manual Review","Manual Review",IF($G10="","No Data",IF(NOT(ISNUMBER($H10)),"N/A",IF($H10&lt;TODAY(),"Overdue",IF($H10&lt;=TODAY()+30,"Due within 1 Month",IF($H10&lt;=TODAY()+60,"Due within 2 Months","OK"))))))</f>
        <v>No Data</v>
      </c>
      <c r="K10" s="13"/>
    </row>
    <row r="11" customFormat="false" ht="15" hidden="false" customHeight="false" outlineLevel="0" collapsed="false">
      <c r="A11" s="9" t="str">
        <f aca="false">Vessels!B5</f>
        <v>Vessel 01</v>
      </c>
      <c r="B11" s="9" t="s">
        <v>42</v>
      </c>
      <c r="C11" s="7" t="s">
        <v>50</v>
      </c>
      <c r="D11" s="9" t="s">
        <v>45</v>
      </c>
      <c r="E11" s="9" t="s">
        <v>44</v>
      </c>
      <c r="F11" s="5" t="n">
        <v>12</v>
      </c>
      <c r="G11" s="10" t="n">
        <v>45922</v>
      </c>
      <c r="H11" s="11" t="n">
        <f aca="false">IFERROR(IF($D11="Manual Review","",IF($G11="","",IF($D11="Direct Expiry",$G11,EDATE($G11,$F11)))),"Check Date")</f>
        <v>46287</v>
      </c>
      <c r="I11" s="12" t="n">
        <f aca="true">IF($H11="","",IF(ISNUMBER($H11),$H11-TODAY(),""))</f>
        <v>69</v>
      </c>
      <c r="J11" s="4" t="str">
        <f aca="true">IF($D11="Manual Review","Manual Review",IF($G11="","No Data",IF(NOT(ISNUMBER($H11)),"N/A",IF($H11&lt;TODAY(),"Overdue",IF($H11&lt;=TODAY()+30,"Due within 1 Month",IF($H11&lt;=TODAY()+60,"Due within 2 Months","OK"))))))</f>
        <v>OK</v>
      </c>
      <c r="K11" s="13"/>
    </row>
    <row r="12" customFormat="false" ht="15" hidden="false" customHeight="false" outlineLevel="0" collapsed="false">
      <c r="A12" s="9" t="str">
        <f aca="false">Vessels!B5</f>
        <v>Vessel 01</v>
      </c>
      <c r="B12" s="9" t="s">
        <v>42</v>
      </c>
      <c r="C12" s="7" t="s">
        <v>50</v>
      </c>
      <c r="D12" s="9" t="s">
        <v>45</v>
      </c>
      <c r="E12" s="9" t="s">
        <v>49</v>
      </c>
      <c r="F12" s="5" t="n">
        <v>60</v>
      </c>
      <c r="G12" s="10"/>
      <c r="H12" s="11" t="str">
        <f aca="false">IFERROR(IF($D12="Manual Review","",IF($G12="","",IF($D12="Direct Expiry",$G12,EDATE($G12,$F12)))),"Check Date")</f>
        <v/>
      </c>
      <c r="I12" s="12" t="str">
        <f aca="true">IF($H12="","",IF(ISNUMBER($H12),$H12-TODAY(),""))</f>
        <v/>
      </c>
      <c r="J12" s="4" t="str">
        <f aca="true">IF($D12="Manual Review","Manual Review",IF($G12="","No Data",IF(NOT(ISNUMBER($H12)),"N/A",IF($H12&lt;TODAY(),"Overdue",IF($H12&lt;=TODAY()+30,"Due within 1 Month",IF($H12&lt;=TODAY()+60,"Due within 2 Months","OK"))))))</f>
        <v>No Data</v>
      </c>
      <c r="K12" s="13"/>
    </row>
    <row r="13" customFormat="false" ht="15" hidden="false" customHeight="false" outlineLevel="0" collapsed="false">
      <c r="A13" s="9" t="str">
        <f aca="false">Vessels!B5</f>
        <v>Vessel 01</v>
      </c>
      <c r="B13" s="9" t="s">
        <v>42</v>
      </c>
      <c r="C13" s="7" t="s">
        <v>51</v>
      </c>
      <c r="D13" s="9" t="s">
        <v>45</v>
      </c>
      <c r="E13" s="9" t="s">
        <v>46</v>
      </c>
      <c r="F13" s="5" t="n">
        <v>60</v>
      </c>
      <c r="G13" s="10"/>
      <c r="H13" s="11" t="str">
        <f aca="false">IFERROR(IF($D13="Manual Review","",IF($G13="","",IF($D13="Direct Expiry",$G13,EDATE($G13,$F13)))),"Check Date")</f>
        <v/>
      </c>
      <c r="I13" s="12" t="str">
        <f aca="true">IF($H13="","",IF(ISNUMBER($H13),$H13-TODAY(),""))</f>
        <v/>
      </c>
      <c r="J13" s="4" t="str">
        <f aca="true">IF($D13="Manual Review","Manual Review",IF($G13="","No Data",IF(NOT(ISNUMBER($H13)),"N/A",IF($H13&lt;TODAY(),"Overdue",IF($H13&lt;=TODAY()+30,"Due within 1 Month",IF($H13&lt;=TODAY()+60,"Due within 2 Months","OK"))))))</f>
        <v>No Data</v>
      </c>
      <c r="K13" s="13"/>
    </row>
    <row r="14" customFormat="false" ht="15" hidden="false" customHeight="false" outlineLevel="0" collapsed="false">
      <c r="A14" s="9" t="str">
        <f aca="false">Vessels!B5</f>
        <v>Vessel 01</v>
      </c>
      <c r="B14" s="9" t="s">
        <v>42</v>
      </c>
      <c r="C14" s="7" t="s">
        <v>52</v>
      </c>
      <c r="D14" s="9" t="s">
        <v>45</v>
      </c>
      <c r="E14" s="9" t="s">
        <v>46</v>
      </c>
      <c r="F14" s="5" t="n">
        <v>60</v>
      </c>
      <c r="G14" s="10" t="n">
        <v>46296</v>
      </c>
      <c r="H14" s="11" t="n">
        <f aca="false">IFERROR(IF($D14="Manual Review","",IF($G14="","",IF($D14="Direct Expiry",$G14,EDATE($G14,$F14)))),"Check Date")</f>
        <v>48122</v>
      </c>
      <c r="I14" s="12" t="n">
        <f aca="true">IF($H14="","",IF(ISNUMBER($H14),$H14-TODAY(),""))</f>
        <v>1904</v>
      </c>
      <c r="J14" s="4" t="str">
        <f aca="true">IF($D14="Manual Review","Manual Review",IF($G14="","No Data",IF(NOT(ISNUMBER($H14)),"N/A",IF($H14&lt;TODAY(),"Overdue",IF($H14&lt;=TODAY()+30,"Due within 1 Month",IF($H14&lt;=TODAY()+60,"Due within 2 Months","OK"))))))</f>
        <v>OK</v>
      </c>
      <c r="K14" s="13"/>
    </row>
    <row r="15" customFormat="false" ht="15" hidden="false" customHeight="false" outlineLevel="0" collapsed="false">
      <c r="A15" s="9" t="str">
        <f aca="false">Vessels!B5</f>
        <v>Vessel 01</v>
      </c>
      <c r="B15" s="9" t="s">
        <v>42</v>
      </c>
      <c r="C15" s="7" t="s">
        <v>53</v>
      </c>
      <c r="D15" s="9" t="s">
        <v>45</v>
      </c>
      <c r="E15" s="9" t="s">
        <v>46</v>
      </c>
      <c r="F15" s="5" t="n">
        <v>60</v>
      </c>
      <c r="G15" s="10" t="n">
        <v>46235</v>
      </c>
      <c r="H15" s="11" t="n">
        <f aca="false">IFERROR(IF($D15="Manual Review","",IF($G15="","",IF($D15="Direct Expiry",$G15,EDATE($G15,$F15)))),"Check Date")</f>
        <v>48061</v>
      </c>
      <c r="I15" s="12" t="n">
        <f aca="true">IF($H15="","",IF(ISNUMBER($H15),$H15-TODAY(),""))</f>
        <v>1843</v>
      </c>
      <c r="J15" s="4" t="str">
        <f aca="true">IF($D15="Manual Review","Manual Review",IF($G15="","No Data",IF(NOT(ISNUMBER($H15)),"N/A",IF($H15&lt;TODAY(),"Overdue",IF($H15&lt;=TODAY()+30,"Due within 1 Month",IF($H15&lt;=TODAY()+60,"Due within 2 Months","OK"))))))</f>
        <v>OK</v>
      </c>
      <c r="K15" s="13"/>
    </row>
    <row r="16" customFormat="false" ht="15" hidden="false" customHeight="false" outlineLevel="0" collapsed="false">
      <c r="A16" s="9" t="str">
        <f aca="false">Vessels!B5</f>
        <v>Vessel 01</v>
      </c>
      <c r="B16" s="9" t="s">
        <v>42</v>
      </c>
      <c r="C16" s="7" t="s">
        <v>54</v>
      </c>
      <c r="D16" s="9" t="s">
        <v>45</v>
      </c>
      <c r="E16" s="9" t="s">
        <v>46</v>
      </c>
      <c r="F16" s="5" t="n">
        <v>60</v>
      </c>
      <c r="G16" s="10" t="n">
        <v>47119</v>
      </c>
      <c r="H16" s="11" t="n">
        <f aca="false">IFERROR(IF($D16="Manual Review","",IF($G16="","",IF($D16="Direct Expiry",$G16,EDATE($G16,$F16)))),"Check Date")</f>
        <v>48945</v>
      </c>
      <c r="I16" s="12" t="n">
        <f aca="true">IF($H16="","",IF(ISNUMBER($H16),$H16-TODAY(),""))</f>
        <v>2727</v>
      </c>
      <c r="J16" s="4" t="str">
        <f aca="true">IF($D16="Manual Review","Manual Review",IF($G16="","No Data",IF(NOT(ISNUMBER($H16)),"N/A",IF($H16&lt;TODAY(),"Overdue",IF($H16&lt;=TODAY()+30,"Due within 1 Month",IF($H16&lt;=TODAY()+60,"Due within 2 Months","OK"))))))</f>
        <v>OK</v>
      </c>
      <c r="K16" s="13"/>
    </row>
    <row r="17" customFormat="false" ht="15" hidden="false" customHeight="false" outlineLevel="0" collapsed="false">
      <c r="A17" s="9" t="str">
        <f aca="false">Vessels!B5</f>
        <v>Vessel 01</v>
      </c>
      <c r="B17" s="9" t="s">
        <v>42</v>
      </c>
      <c r="C17" s="7" t="s">
        <v>55</v>
      </c>
      <c r="D17" s="9" t="s">
        <v>45</v>
      </c>
      <c r="E17" s="9" t="s">
        <v>46</v>
      </c>
      <c r="F17" s="5" t="n">
        <v>60</v>
      </c>
      <c r="G17" s="10" t="n">
        <v>46357</v>
      </c>
      <c r="H17" s="11" t="n">
        <f aca="false">IFERROR(IF($D17="Manual Review","",IF($G17="","",IF($D17="Direct Expiry",$G17,EDATE($G17,$F17)))),"Check Date")</f>
        <v>48183</v>
      </c>
      <c r="I17" s="12" t="n">
        <f aca="true">IF($H17="","",IF(ISNUMBER($H17),$H17-TODAY(),""))</f>
        <v>1965</v>
      </c>
      <c r="J17" s="4" t="str">
        <f aca="true">IF($D17="Manual Review","Manual Review",IF($G17="","No Data",IF(NOT(ISNUMBER($H17)),"N/A",IF($H17&lt;TODAY(),"Overdue",IF($H17&lt;=TODAY()+30,"Due within 1 Month",IF($H17&lt;=TODAY()+60,"Due within 2 Months","OK"))))))</f>
        <v>OK</v>
      </c>
      <c r="K17" s="13"/>
    </row>
    <row r="18" customFormat="false" ht="15" hidden="false" customHeight="false" outlineLevel="0" collapsed="false">
      <c r="A18" s="9" t="str">
        <f aca="false">Vessels!B5</f>
        <v>Vessel 01</v>
      </c>
      <c r="B18" s="9" t="s">
        <v>42</v>
      </c>
      <c r="C18" s="7" t="s">
        <v>56</v>
      </c>
      <c r="D18" s="9" t="s">
        <v>45</v>
      </c>
      <c r="E18" s="9" t="s">
        <v>46</v>
      </c>
      <c r="F18" s="5" t="n">
        <v>60</v>
      </c>
      <c r="G18" s="10"/>
      <c r="H18" s="11" t="str">
        <f aca="false">IFERROR(IF($D18="Manual Review","",IF($G18="","",IF($D18="Direct Expiry",$G18,EDATE($G18,$F18)))),"Check Date")</f>
        <v/>
      </c>
      <c r="I18" s="12" t="str">
        <f aca="true">IF($H18="","",IF(ISNUMBER($H18),$H18-TODAY(),""))</f>
        <v/>
      </c>
      <c r="J18" s="4" t="str">
        <f aca="true">IF($D18="Manual Review","Manual Review",IF($G18="","No Data",IF(NOT(ISNUMBER($H18)),"N/A",IF($H18&lt;TODAY(),"Overdue",IF($H18&lt;=TODAY()+30,"Due within 1 Month",IF($H18&lt;=TODAY()+60,"Due within 2 Months","OK"))))))</f>
        <v>No Data</v>
      </c>
      <c r="K18" s="13"/>
    </row>
    <row r="19" customFormat="false" ht="15" hidden="false" customHeight="false" outlineLevel="0" collapsed="false">
      <c r="A19" s="9" t="str">
        <f aca="false">Vessels!B5</f>
        <v>Vessel 01</v>
      </c>
      <c r="B19" s="9" t="s">
        <v>42</v>
      </c>
      <c r="C19" s="7" t="s">
        <v>57</v>
      </c>
      <c r="D19" s="9" t="s">
        <v>59</v>
      </c>
      <c r="E19" s="9" t="s">
        <v>58</v>
      </c>
      <c r="F19" s="5"/>
      <c r="G19" s="10" t="n">
        <v>46966</v>
      </c>
      <c r="H19" s="11" t="n">
        <f aca="false">IFERROR(IF($D19="Manual Review","",IF($G19="","",IF($D19="Direct Expiry",$G19,EDATE($G19,$F19)))),"Check Date")</f>
        <v>46966</v>
      </c>
      <c r="I19" s="12" t="n">
        <f aca="true">IF($H19="","",IF(ISNUMBER($H19),$H19-TODAY(),""))</f>
        <v>748</v>
      </c>
      <c r="J19" s="4" t="str">
        <f aca="true">IF($D19="Manual Review","Manual Review",IF($G19="","No Data",IF(NOT(ISNUMBER($H19)),"N/A",IF($H19&lt;TODAY(),"Overdue",IF($H19&lt;=TODAY()+30,"Due within 1 Month",IF($H19&lt;=TODAY()+60,"Due within 2 Months","OK"))))))</f>
        <v>OK</v>
      </c>
      <c r="K19" s="13"/>
    </row>
    <row r="20" customFormat="false" ht="15" hidden="false" customHeight="false" outlineLevel="0" collapsed="false">
      <c r="A20" s="9" t="str">
        <f aca="false">Vessels!B5</f>
        <v>Vessel 01</v>
      </c>
      <c r="B20" s="9" t="s">
        <v>42</v>
      </c>
      <c r="C20" s="7" t="s">
        <v>60</v>
      </c>
      <c r="D20" s="9" t="s">
        <v>45</v>
      </c>
      <c r="E20" s="9" t="s">
        <v>44</v>
      </c>
      <c r="F20" s="5" t="n">
        <v>12</v>
      </c>
      <c r="G20" s="10" t="n">
        <v>46009</v>
      </c>
      <c r="H20" s="11" t="n">
        <f aca="false">IFERROR(IF($D20="Manual Review","",IF($G20="","",IF($D20="Direct Expiry",$G20,EDATE($G20,$F20)))),"Check Date")</f>
        <v>46374</v>
      </c>
      <c r="I20" s="12" t="n">
        <f aca="true">IF($H20="","",IF(ISNUMBER($H20),$H20-TODAY(),""))</f>
        <v>156</v>
      </c>
      <c r="J20" s="4" t="str">
        <f aca="true">IF($D20="Manual Review","Manual Review",IF($G20="","No Data",IF(NOT(ISNUMBER($H20)),"N/A",IF($H20&lt;TODAY(),"Overdue",IF($H20&lt;=TODAY()+30,"Due within 1 Month",IF($H20&lt;=TODAY()+60,"Due within 2 Months","OK"))))))</f>
        <v>OK</v>
      </c>
      <c r="K20" s="13"/>
    </row>
    <row r="21" customFormat="false" ht="15" hidden="false" customHeight="false" outlineLevel="0" collapsed="false">
      <c r="A21" s="9" t="str">
        <f aca="false">Vessels!B5</f>
        <v>Vessel 01</v>
      </c>
      <c r="B21" s="9" t="s">
        <v>42</v>
      </c>
      <c r="C21" s="7" t="s">
        <v>60</v>
      </c>
      <c r="D21" s="9" t="s">
        <v>45</v>
      </c>
      <c r="E21" s="9" t="s">
        <v>46</v>
      </c>
      <c r="F21" s="5" t="n">
        <v>60</v>
      </c>
      <c r="G21" s="10"/>
      <c r="H21" s="11" t="str">
        <f aca="false">IFERROR(IF($D21="Manual Review","",IF($G21="","",IF($D21="Direct Expiry",$G21,EDATE($G21,$F21)))),"Check Date")</f>
        <v/>
      </c>
      <c r="I21" s="12" t="str">
        <f aca="true">IF($H21="","",IF(ISNUMBER($H21),$H21-TODAY(),""))</f>
        <v/>
      </c>
      <c r="J21" s="4" t="str">
        <f aca="true">IF($D21="Manual Review","Manual Review",IF($G21="","No Data",IF(NOT(ISNUMBER($H21)),"N/A",IF($H21&lt;TODAY(),"Overdue",IF($H21&lt;=TODAY()+30,"Due within 1 Month",IF($H21&lt;=TODAY()+60,"Due within 2 Months","OK"))))))</f>
        <v>No Data</v>
      </c>
      <c r="K21" s="13"/>
    </row>
    <row r="22" customFormat="false" ht="15" hidden="false" customHeight="false" outlineLevel="0" collapsed="false">
      <c r="A22" s="9" t="str">
        <f aca="false">Vessels!B5</f>
        <v>Vessel 01</v>
      </c>
      <c r="B22" s="9" t="s">
        <v>42</v>
      </c>
      <c r="C22" s="7" t="s">
        <v>61</v>
      </c>
      <c r="D22" s="9" t="s">
        <v>45</v>
      </c>
      <c r="E22" s="9" t="s">
        <v>44</v>
      </c>
      <c r="F22" s="5" t="n">
        <v>12</v>
      </c>
      <c r="G22" s="10" t="n">
        <v>46009</v>
      </c>
      <c r="H22" s="11" t="n">
        <f aca="false">IFERROR(IF($D22="Manual Review","",IF($G22="","",IF($D22="Direct Expiry",$G22,EDATE($G22,$F22)))),"Check Date")</f>
        <v>46374</v>
      </c>
      <c r="I22" s="12" t="n">
        <f aca="true">IF($H22="","",IF(ISNUMBER($H22),$H22-TODAY(),""))</f>
        <v>156</v>
      </c>
      <c r="J22" s="4" t="str">
        <f aca="true">IF($D22="Manual Review","Manual Review",IF($G22="","No Data",IF(NOT(ISNUMBER($H22)),"N/A",IF($H22&lt;TODAY(),"Overdue",IF($H22&lt;=TODAY()+30,"Due within 1 Month",IF($H22&lt;=TODAY()+60,"Due within 2 Months","OK"))))))</f>
        <v>OK</v>
      </c>
      <c r="K22" s="13"/>
    </row>
    <row r="23" customFormat="false" ht="15" hidden="false" customHeight="false" outlineLevel="0" collapsed="false">
      <c r="A23" s="9" t="str">
        <f aca="false">Vessels!B5</f>
        <v>Vessel 01</v>
      </c>
      <c r="B23" s="9" t="s">
        <v>42</v>
      </c>
      <c r="C23" s="7" t="s">
        <v>61</v>
      </c>
      <c r="D23" s="9" t="s">
        <v>45</v>
      </c>
      <c r="E23" s="9" t="s">
        <v>46</v>
      </c>
      <c r="F23" s="5" t="n">
        <v>60</v>
      </c>
      <c r="G23" s="10"/>
      <c r="H23" s="11" t="str">
        <f aca="false">IFERROR(IF($D23="Manual Review","",IF($G23="","",IF($D23="Direct Expiry",$G23,EDATE($G23,$F23)))),"Check Date")</f>
        <v/>
      </c>
      <c r="I23" s="12" t="str">
        <f aca="true">IF($H23="","",IF(ISNUMBER($H23),$H23-TODAY(),""))</f>
        <v/>
      </c>
      <c r="J23" s="4" t="str">
        <f aca="true">IF($D23="Manual Review","Manual Review",IF($G23="","No Data",IF(NOT(ISNUMBER($H23)),"N/A",IF($H23&lt;TODAY(),"Overdue",IF($H23&lt;=TODAY()+30,"Due within 1 Month",IF($H23&lt;=TODAY()+60,"Due within 2 Months","OK"))))))</f>
        <v>No Data</v>
      </c>
      <c r="K23" s="13"/>
    </row>
    <row r="24" customFormat="false" ht="15" hidden="false" customHeight="false" outlineLevel="0" collapsed="false">
      <c r="A24" s="9" t="str">
        <f aca="false">Vessels!B5</f>
        <v>Vessel 01</v>
      </c>
      <c r="B24" s="9" t="s">
        <v>42</v>
      </c>
      <c r="C24" s="7" t="s">
        <v>62</v>
      </c>
      <c r="D24" s="9" t="s">
        <v>45</v>
      </c>
      <c r="E24" s="9" t="s">
        <v>44</v>
      </c>
      <c r="F24" s="5" t="n">
        <v>12</v>
      </c>
      <c r="G24" s="10"/>
      <c r="H24" s="11" t="str">
        <f aca="false">IFERROR(IF($D24="Manual Review","",IF($G24="","",IF($D24="Direct Expiry",$G24,EDATE($G24,$F24)))),"Check Date")</f>
        <v/>
      </c>
      <c r="I24" s="12" t="str">
        <f aca="true">IF($H24="","",IF(ISNUMBER($H24),$H24-TODAY(),""))</f>
        <v/>
      </c>
      <c r="J24" s="4" t="str">
        <f aca="true">IF($D24="Manual Review","Manual Review",IF($G24="","No Data",IF(NOT(ISNUMBER($H24)),"N/A",IF($H24&lt;TODAY(),"Overdue",IF($H24&lt;=TODAY()+30,"Due within 1 Month",IF($H24&lt;=TODAY()+60,"Due within 2 Months","OK"))))))</f>
        <v>No Data</v>
      </c>
      <c r="K24" s="13"/>
    </row>
    <row r="25" customFormat="false" ht="15" hidden="false" customHeight="false" outlineLevel="0" collapsed="false">
      <c r="A25" s="9" t="str">
        <f aca="false">Vessels!B5</f>
        <v>Vessel 01</v>
      </c>
      <c r="B25" s="9" t="s">
        <v>42</v>
      </c>
      <c r="C25" s="7" t="s">
        <v>62</v>
      </c>
      <c r="D25" s="9" t="s">
        <v>45</v>
      </c>
      <c r="E25" s="9" t="s">
        <v>49</v>
      </c>
      <c r="F25" s="5" t="n">
        <v>60</v>
      </c>
      <c r="G25" s="10"/>
      <c r="H25" s="11" t="str">
        <f aca="false">IFERROR(IF($D25="Manual Review","",IF($G25="","",IF($D25="Direct Expiry",$G25,EDATE($G25,$F25)))),"Check Date")</f>
        <v/>
      </c>
      <c r="I25" s="12" t="str">
        <f aca="true">IF($H25="","",IF(ISNUMBER($H25),$H25-TODAY(),""))</f>
        <v/>
      </c>
      <c r="J25" s="4" t="str">
        <f aca="true">IF($D25="Manual Review","Manual Review",IF($G25="","No Data",IF(NOT(ISNUMBER($H25)),"N/A",IF($H25&lt;TODAY(),"Overdue",IF($H25&lt;=TODAY()+30,"Due within 1 Month",IF($H25&lt;=TODAY()+60,"Due within 2 Months","OK"))))))</f>
        <v>No Data</v>
      </c>
      <c r="K25" s="13"/>
    </row>
    <row r="26" customFormat="false" ht="15" hidden="false" customHeight="false" outlineLevel="0" collapsed="false">
      <c r="A26" s="9" t="str">
        <f aca="false">Vessels!B5</f>
        <v>Vessel 01</v>
      </c>
      <c r="B26" s="9" t="s">
        <v>42</v>
      </c>
      <c r="C26" s="7" t="s">
        <v>63</v>
      </c>
      <c r="D26" s="9" t="s">
        <v>45</v>
      </c>
      <c r="E26" s="9" t="s">
        <v>44</v>
      </c>
      <c r="F26" s="5" t="n">
        <v>12</v>
      </c>
      <c r="G26" s="10" t="n">
        <v>45922</v>
      </c>
      <c r="H26" s="11" t="n">
        <f aca="false">IFERROR(IF($D26="Manual Review","",IF($G26="","",IF($D26="Direct Expiry",$G26,EDATE($G26,$F26)))),"Check Date")</f>
        <v>46287</v>
      </c>
      <c r="I26" s="12" t="n">
        <f aca="true">IF($H26="","",IF(ISNUMBER($H26),$H26-TODAY(),""))</f>
        <v>69</v>
      </c>
      <c r="J26" s="4" t="str">
        <f aca="true">IF($D26="Manual Review","Manual Review",IF($G26="","No Data",IF(NOT(ISNUMBER($H26)),"N/A",IF($H26&lt;TODAY(),"Overdue",IF($H26&lt;=TODAY()+30,"Due within 1 Month",IF($H26&lt;=TODAY()+60,"Due within 2 Months","OK"))))))</f>
        <v>OK</v>
      </c>
      <c r="K26" s="13"/>
    </row>
    <row r="27" customFormat="false" ht="15" hidden="false" customHeight="false" outlineLevel="0" collapsed="false">
      <c r="A27" s="9" t="str">
        <f aca="false">Vessels!B5</f>
        <v>Vessel 01</v>
      </c>
      <c r="B27" s="9" t="s">
        <v>42</v>
      </c>
      <c r="C27" s="7" t="s">
        <v>63</v>
      </c>
      <c r="D27" s="9" t="s">
        <v>45</v>
      </c>
      <c r="E27" s="9" t="s">
        <v>49</v>
      </c>
      <c r="F27" s="5" t="n">
        <v>60</v>
      </c>
      <c r="G27" s="10"/>
      <c r="H27" s="11" t="str">
        <f aca="false">IFERROR(IF($D27="Manual Review","",IF($G27="","",IF($D27="Direct Expiry",$G27,EDATE($G27,$F27)))),"Check Date")</f>
        <v/>
      </c>
      <c r="I27" s="12" t="str">
        <f aca="true">IF($H27="","",IF(ISNUMBER($H27),$H27-TODAY(),""))</f>
        <v/>
      </c>
      <c r="J27" s="4" t="str">
        <f aca="true">IF($D27="Manual Review","Manual Review",IF($G27="","No Data",IF(NOT(ISNUMBER($H27)),"N/A",IF($H27&lt;TODAY(),"Overdue",IF($H27&lt;=TODAY()+30,"Due within 1 Month",IF($H27&lt;=TODAY()+60,"Due within 2 Months","OK"))))))</f>
        <v>No Data</v>
      </c>
      <c r="K27" s="13"/>
    </row>
    <row r="28" customFormat="false" ht="15" hidden="false" customHeight="false" outlineLevel="0" collapsed="false">
      <c r="A28" s="9" t="str">
        <f aca="false">Vessels!B5</f>
        <v>Vessel 01</v>
      </c>
      <c r="B28" s="9" t="s">
        <v>42</v>
      </c>
      <c r="C28" s="7" t="s">
        <v>64</v>
      </c>
      <c r="D28" s="9" t="s">
        <v>45</v>
      </c>
      <c r="E28" s="9" t="s">
        <v>46</v>
      </c>
      <c r="F28" s="5" t="n">
        <v>60</v>
      </c>
      <c r="G28" s="10"/>
      <c r="H28" s="11" t="str">
        <f aca="false">IFERROR(IF($D28="Manual Review","",IF($G28="","",IF($D28="Direct Expiry",$G28,EDATE($G28,$F28)))),"Check Date")</f>
        <v/>
      </c>
      <c r="I28" s="12" t="str">
        <f aca="true">IF($H28="","",IF(ISNUMBER($H28),$H28-TODAY(),""))</f>
        <v/>
      </c>
      <c r="J28" s="4" t="str">
        <f aca="true">IF($D28="Manual Review","Manual Review",IF($G28="","No Data",IF(NOT(ISNUMBER($H28)),"N/A",IF($H28&lt;TODAY(),"Overdue",IF($H28&lt;=TODAY()+30,"Due within 1 Month",IF($H28&lt;=TODAY()+60,"Due within 2 Months","OK"))))))</f>
        <v>No Data</v>
      </c>
      <c r="K28" s="13"/>
    </row>
    <row r="29" customFormat="false" ht="15" hidden="false" customHeight="false" outlineLevel="0" collapsed="false">
      <c r="A29" s="9" t="str">
        <f aca="false">Vessels!B5</f>
        <v>Vessel 01</v>
      </c>
      <c r="B29" s="9" t="s">
        <v>42</v>
      </c>
      <c r="C29" s="7" t="s">
        <v>65</v>
      </c>
      <c r="D29" s="9" t="s">
        <v>45</v>
      </c>
      <c r="E29" s="9" t="s">
        <v>46</v>
      </c>
      <c r="F29" s="5" t="n">
        <v>60</v>
      </c>
      <c r="G29" s="10"/>
      <c r="H29" s="11" t="str">
        <f aca="false">IFERROR(IF($D29="Manual Review","",IF($G29="","",IF($D29="Direct Expiry",$G29,EDATE($G29,$F29)))),"Check Date")</f>
        <v/>
      </c>
      <c r="I29" s="12" t="str">
        <f aca="true">IF($H29="","",IF(ISNUMBER($H29),$H29-TODAY(),""))</f>
        <v/>
      </c>
      <c r="J29" s="4" t="str">
        <f aca="true">IF($D29="Manual Review","Manual Review",IF($G29="","No Data",IF(NOT(ISNUMBER($H29)),"N/A",IF($H29&lt;TODAY(),"Overdue",IF($H29&lt;=TODAY()+30,"Due within 1 Month",IF($H29&lt;=TODAY()+60,"Due within 2 Months","OK"))))))</f>
        <v>No Data</v>
      </c>
      <c r="K29" s="13"/>
    </row>
    <row r="30" customFormat="false" ht="15" hidden="false" customHeight="false" outlineLevel="0" collapsed="false">
      <c r="A30" s="9" t="str">
        <f aca="false">Vessels!B5</f>
        <v>Vessel 01</v>
      </c>
      <c r="B30" s="9" t="s">
        <v>42</v>
      </c>
      <c r="C30" s="7" t="s">
        <v>66</v>
      </c>
      <c r="D30" s="9" t="s">
        <v>45</v>
      </c>
      <c r="E30" s="9" t="s">
        <v>46</v>
      </c>
      <c r="F30" s="5" t="n">
        <v>60</v>
      </c>
      <c r="G30" s="10"/>
      <c r="H30" s="11" t="str">
        <f aca="false">IFERROR(IF($D30="Manual Review","",IF($G30="","",IF($D30="Direct Expiry",$G30,EDATE($G30,$F30)))),"Check Date")</f>
        <v/>
      </c>
      <c r="I30" s="12" t="str">
        <f aca="true">IF($H30="","",IF(ISNUMBER($H30),$H30-TODAY(),""))</f>
        <v/>
      </c>
      <c r="J30" s="4" t="str">
        <f aca="true">IF($D30="Manual Review","Manual Review",IF($G30="","No Data",IF(NOT(ISNUMBER($H30)),"N/A",IF($H30&lt;TODAY(),"Overdue",IF($H30&lt;=TODAY()+30,"Due within 1 Month",IF($H30&lt;=TODAY()+60,"Due within 2 Months","OK"))))))</f>
        <v>No Data</v>
      </c>
      <c r="K30" s="13"/>
    </row>
    <row r="31" customFormat="false" ht="15" hidden="false" customHeight="false" outlineLevel="0" collapsed="false">
      <c r="A31" s="9" t="str">
        <f aca="false">Vessels!B5</f>
        <v>Vessel 01</v>
      </c>
      <c r="B31" s="9" t="s">
        <v>42</v>
      </c>
      <c r="C31" s="7" t="s">
        <v>67</v>
      </c>
      <c r="D31" s="9" t="s">
        <v>45</v>
      </c>
      <c r="E31" s="9" t="s">
        <v>46</v>
      </c>
      <c r="F31" s="5" t="n">
        <v>60</v>
      </c>
      <c r="G31" s="10" t="n">
        <v>47119</v>
      </c>
      <c r="H31" s="11" t="n">
        <f aca="false">IFERROR(IF($D31="Manual Review","",IF($G31="","",IF($D31="Direct Expiry",$G31,EDATE($G31,$F31)))),"Check Date")</f>
        <v>48945</v>
      </c>
      <c r="I31" s="12" t="n">
        <f aca="true">IF($H31="","",IF(ISNUMBER($H31),$H31-TODAY(),""))</f>
        <v>2727</v>
      </c>
      <c r="J31" s="4" t="str">
        <f aca="true">IF($D31="Manual Review","Manual Review",IF($G31="","No Data",IF(NOT(ISNUMBER($H31)),"N/A",IF($H31&lt;TODAY(),"Overdue",IF($H31&lt;=TODAY()+30,"Due within 1 Month",IF($H31&lt;=TODAY()+60,"Due within 2 Months","OK"))))))</f>
        <v>OK</v>
      </c>
      <c r="K31" s="13"/>
    </row>
    <row r="32" customFormat="false" ht="15" hidden="false" customHeight="false" outlineLevel="0" collapsed="false">
      <c r="A32" s="9" t="str">
        <f aca="false">Vessels!B5</f>
        <v>Vessel 01</v>
      </c>
      <c r="B32" s="9" t="s">
        <v>42</v>
      </c>
      <c r="C32" s="7" t="s">
        <v>68</v>
      </c>
      <c r="D32" s="9" t="s">
        <v>45</v>
      </c>
      <c r="E32" s="9" t="s">
        <v>46</v>
      </c>
      <c r="F32" s="5" t="n">
        <v>60</v>
      </c>
      <c r="G32" s="10"/>
      <c r="H32" s="11" t="str">
        <f aca="false">IFERROR(IF($D32="Manual Review","",IF($G32="","",IF($D32="Direct Expiry",$G32,EDATE($G32,$F32)))),"Check Date")</f>
        <v/>
      </c>
      <c r="I32" s="12" t="str">
        <f aca="true">IF($H32="","",IF(ISNUMBER($H32),$H32-TODAY(),""))</f>
        <v/>
      </c>
      <c r="J32" s="4" t="str">
        <f aca="true">IF($D32="Manual Review","Manual Review",IF($G32="","No Data",IF(NOT(ISNUMBER($H32)),"N/A",IF($H32&lt;TODAY(),"Overdue",IF($H32&lt;=TODAY()+30,"Due within 1 Month",IF($H32&lt;=TODAY()+60,"Due within 2 Months","OK"))))))</f>
        <v>No Data</v>
      </c>
      <c r="K32" s="13"/>
    </row>
    <row r="33" customFormat="false" ht="15" hidden="false" customHeight="false" outlineLevel="0" collapsed="false">
      <c r="A33" s="9" t="str">
        <f aca="false">Vessels!B5</f>
        <v>Vessel 01</v>
      </c>
      <c r="B33" s="9" t="s">
        <v>42</v>
      </c>
      <c r="C33" s="7" t="s">
        <v>69</v>
      </c>
      <c r="D33" s="9" t="s">
        <v>45</v>
      </c>
      <c r="E33" s="9" t="s">
        <v>46</v>
      </c>
      <c r="F33" s="5" t="n">
        <v>60</v>
      </c>
      <c r="G33" s="10"/>
      <c r="H33" s="11" t="str">
        <f aca="false">IFERROR(IF($D33="Manual Review","",IF($G33="","",IF($D33="Direct Expiry",$G33,EDATE($G33,$F33)))),"Check Date")</f>
        <v/>
      </c>
      <c r="I33" s="12" t="str">
        <f aca="true">IF($H33="","",IF(ISNUMBER($H33),$H33-TODAY(),""))</f>
        <v/>
      </c>
      <c r="J33" s="4" t="str">
        <f aca="true">IF($D33="Manual Review","Manual Review",IF($G33="","No Data",IF(NOT(ISNUMBER($H33)),"N/A",IF($H33&lt;TODAY(),"Overdue",IF($H33&lt;=TODAY()+30,"Due within 1 Month",IF($H33&lt;=TODAY()+60,"Due within 2 Months","OK"))))))</f>
        <v>No Data</v>
      </c>
      <c r="K33" s="13"/>
    </row>
    <row r="34" customFormat="false" ht="15" hidden="false" customHeight="false" outlineLevel="0" collapsed="false">
      <c r="A34" s="9" t="str">
        <f aca="false">Vessels!B5</f>
        <v>Vessel 01</v>
      </c>
      <c r="B34" s="9" t="s">
        <v>42</v>
      </c>
      <c r="C34" s="7" t="s">
        <v>70</v>
      </c>
      <c r="D34" s="9" t="s">
        <v>59</v>
      </c>
      <c r="E34" s="9" t="s">
        <v>58</v>
      </c>
      <c r="F34" s="5"/>
      <c r="G34" s="10"/>
      <c r="H34" s="11" t="str">
        <f aca="false">IFERROR(IF($D34="Manual Review","",IF($G34="","",IF($D34="Direct Expiry",$G34,EDATE($G34,$F34)))),"Check Date")</f>
        <v/>
      </c>
      <c r="I34" s="12" t="str">
        <f aca="true">IF($H34="","",IF(ISNUMBER($H34),$H34-TODAY(),""))</f>
        <v/>
      </c>
      <c r="J34" s="4" t="str">
        <f aca="true">IF($D34="Manual Review","Manual Review",IF($G34="","No Data",IF(NOT(ISNUMBER($H34)),"N/A",IF($H34&lt;TODAY(),"Overdue",IF($H34&lt;=TODAY()+30,"Due within 1 Month",IF($H34&lt;=TODAY()+60,"Due within 2 Months","OK"))))))</f>
        <v>No Data</v>
      </c>
      <c r="K34" s="13"/>
    </row>
    <row r="35" customFormat="false" ht="15" hidden="false" customHeight="false" outlineLevel="0" collapsed="false">
      <c r="A35" s="9" t="str">
        <f aca="false">Vessels!B5</f>
        <v>Vessel 01</v>
      </c>
      <c r="B35" s="9" t="s">
        <v>42</v>
      </c>
      <c r="C35" s="7" t="s">
        <v>71</v>
      </c>
      <c r="D35" s="9" t="s">
        <v>45</v>
      </c>
      <c r="E35" s="9" t="s">
        <v>44</v>
      </c>
      <c r="F35" s="5" t="n">
        <v>12</v>
      </c>
      <c r="G35" s="10" t="n">
        <v>45812</v>
      </c>
      <c r="H35" s="11" t="n">
        <f aca="false">IFERROR(IF($D35="Manual Review","",IF($G35="","",IF($D35="Direct Expiry",$G35,EDATE($G35,$F35)))),"Check Date")</f>
        <v>46177</v>
      </c>
      <c r="I35" s="12" t="n">
        <f aca="true">IF($H35="","",IF(ISNUMBER($H35),$H35-TODAY(),""))</f>
        <v>-41</v>
      </c>
      <c r="J35" s="4" t="str">
        <f aca="true">IF($D35="Manual Review","Manual Review",IF($G35="","No Data",IF(NOT(ISNUMBER($H35)),"N/A",IF($H35&lt;TODAY(),"Overdue",IF($H35&lt;=TODAY()+30,"Due within 1 Month",IF($H35&lt;=TODAY()+60,"Due within 2 Months","OK"))))))</f>
        <v>Overdue</v>
      </c>
      <c r="K35" s="13"/>
    </row>
    <row r="36" customFormat="false" ht="15" hidden="false" customHeight="false" outlineLevel="0" collapsed="false">
      <c r="A36" s="9" t="str">
        <f aca="false">Vessels!B5</f>
        <v>Vessel 01</v>
      </c>
      <c r="B36" s="9" t="s">
        <v>42</v>
      </c>
      <c r="C36" s="7" t="s">
        <v>72</v>
      </c>
      <c r="D36" s="9" t="s">
        <v>59</v>
      </c>
      <c r="E36" s="9" t="s">
        <v>58</v>
      </c>
      <c r="F36" s="5"/>
      <c r="G36" s="10" t="n">
        <v>46174</v>
      </c>
      <c r="H36" s="11" t="n">
        <f aca="false">IFERROR(IF($D36="Manual Review","",IF($G36="","",IF($D36="Direct Expiry",$G36,EDATE($G36,$F36)))),"Check Date")</f>
        <v>46174</v>
      </c>
      <c r="I36" s="12" t="n">
        <f aca="true">IF($H36="","",IF(ISNUMBER($H36),$H36-TODAY(),""))</f>
        <v>-44</v>
      </c>
      <c r="J36" s="4" t="str">
        <f aca="true">IF($D36="Manual Review","Manual Review",IF($G36="","No Data",IF(NOT(ISNUMBER($H36)),"N/A",IF($H36&lt;TODAY(),"Overdue",IF($H36&lt;=TODAY()+30,"Due within 1 Month",IF($H36&lt;=TODAY()+60,"Due within 2 Months","OK"))))))</f>
        <v>Overdue</v>
      </c>
      <c r="K36" s="13"/>
    </row>
    <row r="37" customFormat="false" ht="15" hidden="false" customHeight="false" outlineLevel="0" collapsed="false">
      <c r="A37" s="9" t="str">
        <f aca="false">Vessels!B5</f>
        <v>Vessel 01</v>
      </c>
      <c r="B37" s="9" t="s">
        <v>42</v>
      </c>
      <c r="C37" s="7" t="s">
        <v>73</v>
      </c>
      <c r="D37" s="9" t="s">
        <v>45</v>
      </c>
      <c r="E37" s="9" t="s">
        <v>44</v>
      </c>
      <c r="F37" s="5" t="n">
        <v>12</v>
      </c>
      <c r="G37" s="10" t="n">
        <v>45812</v>
      </c>
      <c r="H37" s="11" t="n">
        <f aca="false">IFERROR(IF($D37="Manual Review","",IF($G37="","",IF($D37="Direct Expiry",$G37,EDATE($G37,$F37)))),"Check Date")</f>
        <v>46177</v>
      </c>
      <c r="I37" s="12" t="n">
        <f aca="true">IF($H37="","",IF(ISNUMBER($H37),$H37-TODAY(),""))</f>
        <v>-41</v>
      </c>
      <c r="J37" s="4" t="str">
        <f aca="true">IF($D37="Manual Review","Manual Review",IF($G37="","No Data",IF(NOT(ISNUMBER($H37)),"N/A",IF($H37&lt;TODAY(),"Overdue",IF($H37&lt;=TODAY()+30,"Due within 1 Month",IF($H37&lt;=TODAY()+60,"Due within 2 Months","OK"))))))</f>
        <v>Overdue</v>
      </c>
      <c r="K37" s="13"/>
    </row>
    <row r="38" customFormat="false" ht="15" hidden="false" customHeight="false" outlineLevel="0" collapsed="false">
      <c r="A38" s="9" t="str">
        <f aca="false">Vessels!B5</f>
        <v>Vessel 01</v>
      </c>
      <c r="B38" s="9" t="s">
        <v>42</v>
      </c>
      <c r="C38" s="7" t="s">
        <v>74</v>
      </c>
      <c r="D38" s="9" t="s">
        <v>59</v>
      </c>
      <c r="E38" s="9" t="s">
        <v>58</v>
      </c>
      <c r="F38" s="5"/>
      <c r="G38" s="10" t="n">
        <v>46174</v>
      </c>
      <c r="H38" s="11" t="n">
        <f aca="false">IFERROR(IF($D38="Manual Review","",IF($G38="","",IF($D38="Direct Expiry",$G38,EDATE($G38,$F38)))),"Check Date")</f>
        <v>46174</v>
      </c>
      <c r="I38" s="12" t="n">
        <f aca="true">IF($H38="","",IF(ISNUMBER($H38),$H38-TODAY(),""))</f>
        <v>-44</v>
      </c>
      <c r="J38" s="4" t="str">
        <f aca="true">IF($D38="Manual Review","Manual Review",IF($G38="","No Data",IF(NOT(ISNUMBER($H38)),"N/A",IF($H38&lt;TODAY(),"Overdue",IF($H38&lt;=TODAY()+30,"Due within 1 Month",IF($H38&lt;=TODAY()+60,"Due within 2 Months","OK"))))))</f>
        <v>Overdue</v>
      </c>
      <c r="K38" s="13"/>
    </row>
    <row r="39" customFormat="false" ht="15" hidden="false" customHeight="false" outlineLevel="0" collapsed="false">
      <c r="A39" s="9" t="str">
        <f aca="false">Vessels!B5</f>
        <v>Vessel 01</v>
      </c>
      <c r="B39" s="9" t="s">
        <v>42</v>
      </c>
      <c r="C39" s="7" t="s">
        <v>75</v>
      </c>
      <c r="D39" s="9" t="s">
        <v>45</v>
      </c>
      <c r="E39" s="9" t="s">
        <v>44</v>
      </c>
      <c r="F39" s="5" t="n">
        <v>12</v>
      </c>
      <c r="G39" s="10" t="n">
        <v>45812</v>
      </c>
      <c r="H39" s="11" t="n">
        <f aca="false">IFERROR(IF($D39="Manual Review","",IF($G39="","",IF($D39="Direct Expiry",$G39,EDATE($G39,$F39)))),"Check Date")</f>
        <v>46177</v>
      </c>
      <c r="I39" s="12" t="n">
        <f aca="true">IF($H39="","",IF(ISNUMBER($H39),$H39-TODAY(),""))</f>
        <v>-41</v>
      </c>
      <c r="J39" s="4" t="str">
        <f aca="true">IF($D39="Manual Review","Manual Review",IF($G39="","No Data",IF(NOT(ISNUMBER($H39)),"N/A",IF($H39&lt;TODAY(),"Overdue",IF($H39&lt;=TODAY()+30,"Due within 1 Month",IF($H39&lt;=TODAY()+60,"Due within 2 Months","OK"))))))</f>
        <v>Overdue</v>
      </c>
      <c r="K39" s="13"/>
    </row>
    <row r="40" customFormat="false" ht="15" hidden="false" customHeight="false" outlineLevel="0" collapsed="false">
      <c r="A40" s="9" t="str">
        <f aca="false">Vessels!B5</f>
        <v>Vessel 01</v>
      </c>
      <c r="B40" s="9" t="s">
        <v>42</v>
      </c>
      <c r="C40" s="7" t="s">
        <v>76</v>
      </c>
      <c r="D40" s="9" t="s">
        <v>59</v>
      </c>
      <c r="E40" s="9" t="s">
        <v>58</v>
      </c>
      <c r="F40" s="5"/>
      <c r="G40" s="10"/>
      <c r="H40" s="11" t="str">
        <f aca="false">IFERROR(IF($D40="Manual Review","",IF($G40="","",IF($D40="Direct Expiry",$G40,EDATE($G40,$F40)))),"Check Date")</f>
        <v/>
      </c>
      <c r="I40" s="12" t="str">
        <f aca="true">IF($H40="","",IF(ISNUMBER($H40),$H40-TODAY(),""))</f>
        <v/>
      </c>
      <c r="J40" s="4" t="str">
        <f aca="true">IF($D40="Manual Review","Manual Review",IF($G40="","No Data",IF(NOT(ISNUMBER($H40)),"N/A",IF($H40&lt;TODAY(),"Overdue",IF($H40&lt;=TODAY()+30,"Due within 1 Month",IF($H40&lt;=TODAY()+60,"Due within 2 Months","OK"))))))</f>
        <v>No Data</v>
      </c>
      <c r="K40" s="13"/>
    </row>
    <row r="41" customFormat="false" ht="15" hidden="false" customHeight="false" outlineLevel="0" collapsed="false">
      <c r="A41" s="9" t="str">
        <f aca="false">Vessels!B5</f>
        <v>Vessel 01</v>
      </c>
      <c r="B41" s="9" t="s">
        <v>42</v>
      </c>
      <c r="C41" s="7" t="s">
        <v>77</v>
      </c>
      <c r="D41" s="9" t="s">
        <v>59</v>
      </c>
      <c r="E41" s="9" t="s">
        <v>58</v>
      </c>
      <c r="F41" s="5"/>
      <c r="G41" s="10"/>
      <c r="H41" s="11" t="str">
        <f aca="false">IFERROR(IF($D41="Manual Review","",IF($G41="","",IF($D41="Direct Expiry",$G41,EDATE($G41,$F41)))),"Check Date")</f>
        <v/>
      </c>
      <c r="I41" s="12" t="str">
        <f aca="true">IF($H41="","",IF(ISNUMBER($H41),$H41-TODAY(),""))</f>
        <v/>
      </c>
      <c r="J41" s="4" t="str">
        <f aca="true">IF($D41="Manual Review","Manual Review",IF($G41="","No Data",IF(NOT(ISNUMBER($H41)),"N/A",IF($H41&lt;TODAY(),"Overdue",IF($H41&lt;=TODAY()+30,"Due within 1 Month",IF($H41&lt;=TODAY()+60,"Due within 2 Months","OK"))))))</f>
        <v>No Data</v>
      </c>
      <c r="K41" s="13"/>
    </row>
    <row r="42" customFormat="false" ht="15" hidden="false" customHeight="false" outlineLevel="0" collapsed="false">
      <c r="A42" s="9" t="str">
        <f aca="false">Vessels!B5</f>
        <v>Vessel 01</v>
      </c>
      <c r="B42" s="9" t="s">
        <v>42</v>
      </c>
      <c r="C42" s="7" t="s">
        <v>78</v>
      </c>
      <c r="D42" s="9" t="s">
        <v>59</v>
      </c>
      <c r="E42" s="9" t="s">
        <v>58</v>
      </c>
      <c r="F42" s="5"/>
      <c r="G42" s="10"/>
      <c r="H42" s="11" t="str">
        <f aca="false">IFERROR(IF($D42="Manual Review","",IF($G42="","",IF($D42="Direct Expiry",$G42,EDATE($G42,$F42)))),"Check Date")</f>
        <v/>
      </c>
      <c r="I42" s="12" t="str">
        <f aca="true">IF($H42="","",IF(ISNUMBER($H42),$H42-TODAY(),""))</f>
        <v/>
      </c>
      <c r="J42" s="4" t="str">
        <f aca="true">IF($D42="Manual Review","Manual Review",IF($G42="","No Data",IF(NOT(ISNUMBER($H42)),"N/A",IF($H42&lt;TODAY(),"Overdue",IF($H42&lt;=TODAY()+30,"Due within 1 Month",IF($H42&lt;=TODAY()+60,"Due within 2 Months","OK"))))))</f>
        <v>No Data</v>
      </c>
      <c r="K42" s="13"/>
    </row>
    <row r="43" customFormat="false" ht="15" hidden="false" customHeight="false" outlineLevel="0" collapsed="false">
      <c r="A43" s="9" t="str">
        <f aca="false">Vessels!B5</f>
        <v>Vessel 01</v>
      </c>
      <c r="B43" s="9" t="s">
        <v>42</v>
      </c>
      <c r="C43" s="7" t="s">
        <v>79</v>
      </c>
      <c r="D43" s="9" t="s">
        <v>45</v>
      </c>
      <c r="E43" s="9" t="s">
        <v>44</v>
      </c>
      <c r="F43" s="5" t="n">
        <v>12</v>
      </c>
      <c r="G43" s="10" t="n">
        <v>45922</v>
      </c>
      <c r="H43" s="11" t="n">
        <f aca="false">IFERROR(IF($D43="Manual Review","",IF($G43="","",IF($D43="Direct Expiry",$G43,EDATE($G43,$F43)))),"Check Date")</f>
        <v>46287</v>
      </c>
      <c r="I43" s="12" t="n">
        <f aca="true">IF($H43="","",IF(ISNUMBER($H43),$H43-TODAY(),""))</f>
        <v>69</v>
      </c>
      <c r="J43" s="4" t="str">
        <f aca="true">IF($D43="Manual Review","Manual Review",IF($G43="","No Data",IF(NOT(ISNUMBER($H43)),"N/A",IF($H43&lt;TODAY(),"Overdue",IF($H43&lt;=TODAY()+30,"Due within 1 Month",IF($H43&lt;=TODAY()+60,"Due within 2 Months","OK"))))))</f>
        <v>OK</v>
      </c>
      <c r="K43" s="13"/>
    </row>
    <row r="44" customFormat="false" ht="15" hidden="false" customHeight="false" outlineLevel="0" collapsed="false">
      <c r="A44" s="9" t="str">
        <f aca="false">Vessels!B5</f>
        <v>Vessel 01</v>
      </c>
      <c r="B44" s="9" t="s">
        <v>42</v>
      </c>
      <c r="C44" s="7" t="s">
        <v>80</v>
      </c>
      <c r="D44" s="9" t="s">
        <v>45</v>
      </c>
      <c r="E44" s="9" t="s">
        <v>81</v>
      </c>
      <c r="F44" s="5" t="n">
        <v>36</v>
      </c>
      <c r="G44" s="10"/>
      <c r="H44" s="11" t="str">
        <f aca="false">IFERROR(IF($D44="Manual Review","",IF($G44="","",IF($D44="Direct Expiry",$G44,EDATE($G44,$F44)))),"Check Date")</f>
        <v/>
      </c>
      <c r="I44" s="12" t="str">
        <f aca="true">IF($H44="","",IF(ISNUMBER($H44),$H44-TODAY(),""))</f>
        <v/>
      </c>
      <c r="J44" s="4" t="str">
        <f aca="true">IF($D44="Manual Review","Manual Review",IF($G44="","No Data",IF(NOT(ISNUMBER($H44)),"N/A",IF($H44&lt;TODAY(),"Overdue",IF($H44&lt;=TODAY()+30,"Due within 1 Month",IF($H44&lt;=TODAY()+60,"Due within 2 Months","OK"))))))</f>
        <v>No Data</v>
      </c>
      <c r="K44" s="13"/>
    </row>
    <row r="45" customFormat="false" ht="15" hidden="false" customHeight="false" outlineLevel="0" collapsed="false">
      <c r="A45" s="9" t="str">
        <f aca="false">Vessels!B5</f>
        <v>Vessel 01</v>
      </c>
      <c r="B45" s="9" t="s">
        <v>42</v>
      </c>
      <c r="C45" s="7" t="s">
        <v>80</v>
      </c>
      <c r="D45" s="9" t="s">
        <v>45</v>
      </c>
      <c r="E45" s="9" t="s">
        <v>82</v>
      </c>
      <c r="F45" s="5" t="n">
        <v>24</v>
      </c>
      <c r="G45" s="10" t="n">
        <v>46043</v>
      </c>
      <c r="H45" s="11" t="n">
        <f aca="false">IFERROR(IF($D45="Manual Review","",IF($G45="","",IF($D45="Direct Expiry",$G45,EDATE($G45,$F45)))),"Check Date")</f>
        <v>46773</v>
      </c>
      <c r="I45" s="12" t="n">
        <f aca="true">IF($H45="","",IF(ISNUMBER($H45),$H45-TODAY(),""))</f>
        <v>555</v>
      </c>
      <c r="J45" s="4" t="str">
        <f aca="true">IF($D45="Manual Review","Manual Review",IF($G45="","No Data",IF(NOT(ISNUMBER($H45)),"N/A",IF($H45&lt;TODAY(),"Overdue",IF($H45&lt;=TODAY()+30,"Due within 1 Month",IF($H45&lt;=TODAY()+60,"Due within 2 Months","OK"))))))</f>
        <v>OK</v>
      </c>
      <c r="K45" s="13"/>
    </row>
    <row r="46" customFormat="false" ht="15" hidden="false" customHeight="false" outlineLevel="0" collapsed="false">
      <c r="A46" s="9" t="str">
        <f aca="false">Vessels!B5</f>
        <v>Vessel 01</v>
      </c>
      <c r="B46" s="9" t="s">
        <v>42</v>
      </c>
      <c r="C46" s="7" t="s">
        <v>83</v>
      </c>
      <c r="D46" s="9" t="s">
        <v>45</v>
      </c>
      <c r="E46" s="9" t="s">
        <v>44</v>
      </c>
      <c r="F46" s="5" t="n">
        <v>12</v>
      </c>
      <c r="G46" s="10" t="n">
        <v>45922</v>
      </c>
      <c r="H46" s="11" t="n">
        <f aca="false">IFERROR(IF($D46="Manual Review","",IF($G46="","",IF($D46="Direct Expiry",$G46,EDATE($G46,$F46)))),"Check Date")</f>
        <v>46287</v>
      </c>
      <c r="I46" s="12" t="n">
        <f aca="true">IF($H46="","",IF(ISNUMBER($H46),$H46-TODAY(),""))</f>
        <v>69</v>
      </c>
      <c r="J46" s="4" t="str">
        <f aca="true">IF($D46="Manual Review","Manual Review",IF($G46="","No Data",IF(NOT(ISNUMBER($H46)),"N/A",IF($H46&lt;TODAY(),"Overdue",IF($H46&lt;=TODAY()+30,"Due within 1 Month",IF($H46&lt;=TODAY()+60,"Due within 2 Months","OK"))))))</f>
        <v>OK</v>
      </c>
      <c r="K46" s="13"/>
    </row>
    <row r="47" customFormat="false" ht="15" hidden="false" customHeight="false" outlineLevel="0" collapsed="false">
      <c r="A47" s="9" t="str">
        <f aca="false">Vessels!B5</f>
        <v>Vessel 01</v>
      </c>
      <c r="B47" s="9" t="s">
        <v>42</v>
      </c>
      <c r="C47" s="7" t="s">
        <v>83</v>
      </c>
      <c r="D47" s="9" t="s">
        <v>45</v>
      </c>
      <c r="E47" s="9" t="s">
        <v>84</v>
      </c>
      <c r="F47" s="5" t="n">
        <v>60</v>
      </c>
      <c r="G47" s="10"/>
      <c r="H47" s="11" t="str">
        <f aca="false">IFERROR(IF($D47="Manual Review","",IF($G47="","",IF($D47="Direct Expiry",$G47,EDATE($G47,$F47)))),"Check Date")</f>
        <v/>
      </c>
      <c r="I47" s="12" t="str">
        <f aca="true">IF($H47="","",IF(ISNUMBER($H47),$H47-TODAY(),""))</f>
        <v/>
      </c>
      <c r="J47" s="4" t="str">
        <f aca="true">IF($D47="Manual Review","Manual Review",IF($G47="","No Data",IF(NOT(ISNUMBER($H47)),"N/A",IF($H47&lt;TODAY(),"Overdue",IF($H47&lt;=TODAY()+30,"Due within 1 Month",IF($H47&lt;=TODAY()+60,"Due within 2 Months","OK"))))))</f>
        <v>No Data</v>
      </c>
      <c r="K47" s="13"/>
    </row>
    <row r="48" customFormat="false" ht="15" hidden="false" customHeight="false" outlineLevel="0" collapsed="false">
      <c r="A48" s="9" t="str">
        <f aca="false">Vessels!B5</f>
        <v>Vessel 01</v>
      </c>
      <c r="B48" s="9" t="s">
        <v>42</v>
      </c>
      <c r="C48" s="7" t="s">
        <v>85</v>
      </c>
      <c r="D48" s="9" t="s">
        <v>45</v>
      </c>
      <c r="E48" s="9" t="s">
        <v>44</v>
      </c>
      <c r="F48" s="5" t="n">
        <v>12</v>
      </c>
      <c r="G48" s="10"/>
      <c r="H48" s="11" t="str">
        <f aca="false">IFERROR(IF($D48="Manual Review","",IF($G48="","",IF($D48="Direct Expiry",$G48,EDATE($G48,$F48)))),"Check Date")</f>
        <v/>
      </c>
      <c r="I48" s="12" t="str">
        <f aca="true">IF($H48="","",IF(ISNUMBER($H48),$H48-TODAY(),""))</f>
        <v/>
      </c>
      <c r="J48" s="4" t="str">
        <f aca="true">IF($D48="Manual Review","Manual Review",IF($G48="","No Data",IF(NOT(ISNUMBER($H48)),"N/A",IF($H48&lt;TODAY(),"Overdue",IF($H48&lt;=TODAY()+30,"Due within 1 Month",IF($H48&lt;=TODAY()+60,"Due within 2 Months","OK"))))))</f>
        <v>No Data</v>
      </c>
      <c r="K48" s="13"/>
    </row>
    <row r="49" customFormat="false" ht="15" hidden="false" customHeight="false" outlineLevel="0" collapsed="false">
      <c r="A49" s="9" t="str">
        <f aca="false">Vessels!B5</f>
        <v>Vessel 01</v>
      </c>
      <c r="B49" s="9" t="s">
        <v>42</v>
      </c>
      <c r="C49" s="7" t="s">
        <v>85</v>
      </c>
      <c r="D49" s="9" t="s">
        <v>45</v>
      </c>
      <c r="E49" s="9" t="s">
        <v>84</v>
      </c>
      <c r="F49" s="5" t="n">
        <v>60</v>
      </c>
      <c r="G49" s="10"/>
      <c r="H49" s="11" t="str">
        <f aca="false">IFERROR(IF($D49="Manual Review","",IF($G49="","",IF($D49="Direct Expiry",$G49,EDATE($G49,$F49)))),"Check Date")</f>
        <v/>
      </c>
      <c r="I49" s="12" t="str">
        <f aca="true">IF($H49="","",IF(ISNUMBER($H49),$H49-TODAY(),""))</f>
        <v/>
      </c>
      <c r="J49" s="4" t="str">
        <f aca="true">IF($D49="Manual Review","Manual Review",IF($G49="","No Data",IF(NOT(ISNUMBER($H49)),"N/A",IF($H49&lt;TODAY(),"Overdue",IF($H49&lt;=TODAY()+30,"Due within 1 Month",IF($H49&lt;=TODAY()+60,"Due within 2 Months","OK"))))))</f>
        <v>No Data</v>
      </c>
      <c r="K49" s="13"/>
    </row>
    <row r="50" customFormat="false" ht="15" hidden="false" customHeight="false" outlineLevel="0" collapsed="false">
      <c r="A50" s="9" t="str">
        <f aca="false">Vessels!B5</f>
        <v>Vessel 01</v>
      </c>
      <c r="B50" s="9" t="s">
        <v>42</v>
      </c>
      <c r="C50" s="7" t="s">
        <v>86</v>
      </c>
      <c r="D50" s="9" t="s">
        <v>45</v>
      </c>
      <c r="E50" s="9" t="s">
        <v>44</v>
      </c>
      <c r="F50" s="5" t="n">
        <v>12</v>
      </c>
      <c r="G50" s="10" t="n">
        <v>46043</v>
      </c>
      <c r="H50" s="11" t="n">
        <f aca="false">IFERROR(IF($D50="Manual Review","",IF($G50="","",IF($D50="Direct Expiry",$G50,EDATE($G50,$F50)))),"Check Date")</f>
        <v>46408</v>
      </c>
      <c r="I50" s="12" t="n">
        <f aca="true">IF($H50="","",IF(ISNUMBER($H50),$H50-TODAY(),""))</f>
        <v>190</v>
      </c>
      <c r="J50" s="4" t="str">
        <f aca="true">IF($D50="Manual Review","Manual Review",IF($G50="","No Data",IF(NOT(ISNUMBER($H50)),"N/A",IF($H50&lt;TODAY(),"Overdue",IF($H50&lt;=TODAY()+30,"Due within 1 Month",IF($H50&lt;=TODAY()+60,"Due within 2 Months","OK"))))))</f>
        <v>OK</v>
      </c>
      <c r="K50" s="13"/>
    </row>
    <row r="51" customFormat="false" ht="15" hidden="false" customHeight="false" outlineLevel="0" collapsed="false">
      <c r="A51" s="9" t="str">
        <f aca="false">Vessels!B5</f>
        <v>Vessel 01</v>
      </c>
      <c r="B51" s="9" t="s">
        <v>42</v>
      </c>
      <c r="C51" s="7" t="s">
        <v>87</v>
      </c>
      <c r="D51" s="9" t="s">
        <v>45</v>
      </c>
      <c r="E51" s="9" t="s">
        <v>44</v>
      </c>
      <c r="F51" s="5" t="n">
        <v>12</v>
      </c>
      <c r="G51" s="10"/>
      <c r="H51" s="11" t="str">
        <f aca="false">IFERROR(IF($D51="Manual Review","",IF($G51="","",IF($D51="Direct Expiry",$G51,EDATE($G51,$F51)))),"Check Date")</f>
        <v/>
      </c>
      <c r="I51" s="12" t="str">
        <f aca="true">IF($H51="","",IF(ISNUMBER($H51),$H51-TODAY(),""))</f>
        <v/>
      </c>
      <c r="J51" s="4" t="str">
        <f aca="true">IF($D51="Manual Review","Manual Review",IF($G51="","No Data",IF(NOT(ISNUMBER($H51)),"N/A",IF($H51&lt;TODAY(),"Overdue",IF($H51&lt;=TODAY()+30,"Due within 1 Month",IF($H51&lt;=TODAY()+60,"Due within 2 Months","OK"))))))</f>
        <v>No Data</v>
      </c>
      <c r="K51" s="13"/>
    </row>
    <row r="52" customFormat="false" ht="15" hidden="false" customHeight="false" outlineLevel="0" collapsed="false">
      <c r="A52" s="9" t="str">
        <f aca="false">Vessels!B5</f>
        <v>Vessel 01</v>
      </c>
      <c r="B52" s="9" t="s">
        <v>88</v>
      </c>
      <c r="C52" s="7" t="s">
        <v>89</v>
      </c>
      <c r="D52" s="9" t="s">
        <v>45</v>
      </c>
      <c r="E52" s="9" t="s">
        <v>90</v>
      </c>
      <c r="F52" s="5" t="n">
        <v>36</v>
      </c>
      <c r="G52" s="10"/>
      <c r="H52" s="11" t="str">
        <f aca="false">IFERROR(IF($D52="Manual Review","",IF($G52="","",IF($D52="Direct Expiry",$G52,EDATE($G52,$F52)))),"Check Date")</f>
        <v/>
      </c>
      <c r="I52" s="12" t="str">
        <f aca="true">IF($H52="","",IF(ISNUMBER($H52),$H52-TODAY(),""))</f>
        <v/>
      </c>
      <c r="J52" s="4" t="str">
        <f aca="true">IF($D52="Manual Review","Manual Review",IF($G52="","No Data",IF(NOT(ISNUMBER($H52)),"N/A",IF($H52&lt;TODAY(),"Overdue",IF($H52&lt;=TODAY()+30,"Due within 1 Month",IF($H52&lt;=TODAY()+60,"Due within 2 Months","OK"))))))</f>
        <v>No Data</v>
      </c>
      <c r="K52" s="13"/>
    </row>
    <row r="53" customFormat="false" ht="15" hidden="false" customHeight="false" outlineLevel="0" collapsed="false">
      <c r="A53" s="9" t="str">
        <f aca="false">Vessels!B5</f>
        <v>Vessel 01</v>
      </c>
      <c r="B53" s="9" t="s">
        <v>88</v>
      </c>
      <c r="C53" s="7" t="s">
        <v>91</v>
      </c>
      <c r="D53" s="9" t="s">
        <v>45</v>
      </c>
      <c r="E53" s="9" t="s">
        <v>44</v>
      </c>
      <c r="F53" s="5" t="n">
        <v>12</v>
      </c>
      <c r="G53" s="10" t="n">
        <v>45922</v>
      </c>
      <c r="H53" s="11" t="n">
        <f aca="false">IFERROR(IF($D53="Manual Review","",IF($G53="","",IF($D53="Direct Expiry",$G53,EDATE($G53,$F53)))),"Check Date")</f>
        <v>46287</v>
      </c>
      <c r="I53" s="12" t="n">
        <f aca="true">IF($H53="","",IF(ISNUMBER($H53),$H53-TODAY(),""))</f>
        <v>69</v>
      </c>
      <c r="J53" s="4" t="str">
        <f aca="true">IF($D53="Manual Review","Manual Review",IF($G53="","No Data",IF(NOT(ISNUMBER($H53)),"N/A",IF($H53&lt;TODAY(),"Overdue",IF($H53&lt;=TODAY()+30,"Due within 1 Month",IF($H53&lt;=TODAY()+60,"Due within 2 Months","OK"))))))</f>
        <v>OK</v>
      </c>
      <c r="K53" s="13"/>
    </row>
    <row r="54" customFormat="false" ht="15" hidden="false" customHeight="false" outlineLevel="0" collapsed="false">
      <c r="A54" s="9" t="str">
        <f aca="false">Vessels!B5</f>
        <v>Vessel 01</v>
      </c>
      <c r="B54" s="9" t="s">
        <v>88</v>
      </c>
      <c r="C54" s="7" t="s">
        <v>91</v>
      </c>
      <c r="D54" s="9" t="s">
        <v>45</v>
      </c>
      <c r="E54" s="9" t="s">
        <v>92</v>
      </c>
      <c r="F54" s="5" t="n">
        <v>120</v>
      </c>
      <c r="G54" s="10" t="n">
        <v>42704</v>
      </c>
      <c r="H54" s="11" t="n">
        <f aca="false">IFERROR(IF($D54="Manual Review","",IF($G54="","",IF($D54="Direct Expiry",$G54,EDATE($G54,$F54)))),"Check Date")</f>
        <v>46356</v>
      </c>
      <c r="I54" s="12" t="n">
        <f aca="true">IF($H54="","",IF(ISNUMBER($H54),$H54-TODAY(),""))</f>
        <v>138</v>
      </c>
      <c r="J54" s="4" t="str">
        <f aca="true">IF($D54="Manual Review","Manual Review",IF($G54="","No Data",IF(NOT(ISNUMBER($H54)),"N/A",IF($H54&lt;TODAY(),"Overdue",IF($H54&lt;=TODAY()+30,"Due within 1 Month",IF($H54&lt;=TODAY()+60,"Due within 2 Months","OK"))))))</f>
        <v>OK</v>
      </c>
      <c r="K54" s="13"/>
    </row>
    <row r="55" customFormat="false" ht="15" hidden="false" customHeight="false" outlineLevel="0" collapsed="false">
      <c r="A55" s="9" t="str">
        <f aca="false">Vessels!B5</f>
        <v>Vessel 01</v>
      </c>
      <c r="B55" s="9" t="s">
        <v>88</v>
      </c>
      <c r="C55" s="7" t="s">
        <v>93</v>
      </c>
      <c r="D55" s="9" t="s">
        <v>45</v>
      </c>
      <c r="E55" s="9" t="s">
        <v>44</v>
      </c>
      <c r="F55" s="5" t="n">
        <v>12</v>
      </c>
      <c r="G55" s="10" t="n">
        <v>45922</v>
      </c>
      <c r="H55" s="11" t="n">
        <f aca="false">IFERROR(IF($D55="Manual Review","",IF($G55="","",IF($D55="Direct Expiry",$G55,EDATE($G55,$F55)))),"Check Date")</f>
        <v>46287</v>
      </c>
      <c r="I55" s="12" t="n">
        <f aca="true">IF($H55="","",IF(ISNUMBER($H55),$H55-TODAY(),""))</f>
        <v>69</v>
      </c>
      <c r="J55" s="4" t="str">
        <f aca="true">IF($D55="Manual Review","Manual Review",IF($G55="","No Data",IF(NOT(ISNUMBER($H55)),"N/A",IF($H55&lt;TODAY(),"Overdue",IF($H55&lt;=TODAY()+30,"Due within 1 Month",IF($H55&lt;=TODAY()+60,"Due within 2 Months","OK"))))))</f>
        <v>OK</v>
      </c>
      <c r="K55" s="13"/>
    </row>
    <row r="56" customFormat="false" ht="15" hidden="false" customHeight="false" outlineLevel="0" collapsed="false">
      <c r="A56" s="9" t="str">
        <f aca="false">Vessels!B5</f>
        <v>Vessel 01</v>
      </c>
      <c r="B56" s="9" t="s">
        <v>88</v>
      </c>
      <c r="C56" s="7" t="s">
        <v>93</v>
      </c>
      <c r="D56" s="9" t="s">
        <v>45</v>
      </c>
      <c r="E56" s="9" t="s">
        <v>92</v>
      </c>
      <c r="F56" s="5" t="n">
        <v>120</v>
      </c>
      <c r="G56" s="10" t="n">
        <v>42705</v>
      </c>
      <c r="H56" s="11" t="n">
        <f aca="false">IFERROR(IF($D56="Manual Review","",IF($G56="","",IF($D56="Direct Expiry",$G56,EDATE($G56,$F56)))),"Check Date")</f>
        <v>46357</v>
      </c>
      <c r="I56" s="12" t="n">
        <f aca="true">IF($H56="","",IF(ISNUMBER($H56),$H56-TODAY(),""))</f>
        <v>139</v>
      </c>
      <c r="J56" s="4" t="str">
        <f aca="true">IF($D56="Manual Review","Manual Review",IF($G56="","No Data",IF(NOT(ISNUMBER($H56)),"N/A",IF($H56&lt;TODAY(),"Overdue",IF($H56&lt;=TODAY()+30,"Due within 1 Month",IF($H56&lt;=TODAY()+60,"Due within 2 Months","OK"))))))</f>
        <v>OK</v>
      </c>
      <c r="K56" s="13"/>
    </row>
    <row r="57" customFormat="false" ht="15" hidden="false" customHeight="false" outlineLevel="0" collapsed="false">
      <c r="A57" s="9" t="str">
        <f aca="false">Vessels!B5</f>
        <v>Vessel 01</v>
      </c>
      <c r="B57" s="9" t="s">
        <v>88</v>
      </c>
      <c r="C57" s="7" t="s">
        <v>94</v>
      </c>
      <c r="D57" s="9" t="s">
        <v>45</v>
      </c>
      <c r="E57" s="9" t="s">
        <v>44</v>
      </c>
      <c r="F57" s="5" t="n">
        <v>12</v>
      </c>
      <c r="G57" s="10" t="n">
        <v>45922</v>
      </c>
      <c r="H57" s="11" t="n">
        <f aca="false">IFERROR(IF($D57="Manual Review","",IF($G57="","",IF($D57="Direct Expiry",$G57,EDATE($G57,$F57)))),"Check Date")</f>
        <v>46287</v>
      </c>
      <c r="I57" s="12" t="n">
        <f aca="true">IF($H57="","",IF(ISNUMBER($H57),$H57-TODAY(),""))</f>
        <v>69</v>
      </c>
      <c r="J57" s="4" t="str">
        <f aca="true">IF($D57="Manual Review","Manual Review",IF($G57="","No Data",IF(NOT(ISNUMBER($H57)),"N/A",IF($H57&lt;TODAY(),"Overdue",IF($H57&lt;=TODAY()+30,"Due within 1 Month",IF($H57&lt;=TODAY()+60,"Due within 2 Months","OK"))))))</f>
        <v>OK</v>
      </c>
      <c r="K57" s="13"/>
    </row>
    <row r="58" customFormat="false" ht="15" hidden="false" customHeight="false" outlineLevel="0" collapsed="false">
      <c r="A58" s="9" t="str">
        <f aca="false">Vessels!B5</f>
        <v>Vessel 01</v>
      </c>
      <c r="B58" s="9" t="s">
        <v>88</v>
      </c>
      <c r="C58" s="7" t="s">
        <v>94</v>
      </c>
      <c r="D58" s="9" t="s">
        <v>45</v>
      </c>
      <c r="E58" s="9" t="s">
        <v>92</v>
      </c>
      <c r="F58" s="5" t="n">
        <v>120</v>
      </c>
      <c r="G58" s="10" t="n">
        <v>42552</v>
      </c>
      <c r="H58" s="11" t="n">
        <f aca="false">IFERROR(IF($D58="Manual Review","",IF($G58="","",IF($D58="Direct Expiry",$G58,EDATE($G58,$F58)))),"Check Date")</f>
        <v>46204</v>
      </c>
      <c r="I58" s="12" t="n">
        <f aca="true">IF($H58="","",IF(ISNUMBER($H58),$H58-TODAY(),""))</f>
        <v>-14</v>
      </c>
      <c r="J58" s="4" t="str">
        <f aca="true">IF($D58="Manual Review","Manual Review",IF($G58="","No Data",IF(NOT(ISNUMBER($H58)),"N/A",IF($H58&lt;TODAY(),"Overdue",IF($H58&lt;=TODAY()+30,"Due within 1 Month",IF($H58&lt;=TODAY()+60,"Due within 2 Months","OK"))))))</f>
        <v>Overdue</v>
      </c>
      <c r="K58" s="13"/>
    </row>
    <row r="59" customFormat="false" ht="15" hidden="false" customHeight="false" outlineLevel="0" collapsed="false">
      <c r="A59" s="9" t="str">
        <f aca="false">Vessels!B5</f>
        <v>Vessel 01</v>
      </c>
      <c r="B59" s="9" t="s">
        <v>88</v>
      </c>
      <c r="C59" s="7" t="s">
        <v>95</v>
      </c>
      <c r="D59" s="9" t="s">
        <v>45</v>
      </c>
      <c r="E59" s="9" t="s">
        <v>44</v>
      </c>
      <c r="F59" s="5" t="n">
        <v>12</v>
      </c>
      <c r="G59" s="10" t="n">
        <v>46287</v>
      </c>
      <c r="H59" s="11" t="n">
        <f aca="false">IFERROR(IF($D59="Manual Review","",IF($G59="","",IF($D59="Direct Expiry",$G59,EDATE($G59,$F59)))),"Check Date")</f>
        <v>46652</v>
      </c>
      <c r="I59" s="12" t="n">
        <f aca="true">IF($H59="","",IF(ISNUMBER($H59),$H59-TODAY(),""))</f>
        <v>434</v>
      </c>
      <c r="J59" s="4" t="str">
        <f aca="true">IF($D59="Manual Review","Manual Review",IF($G59="","No Data",IF(NOT(ISNUMBER($H59)),"N/A",IF($H59&lt;TODAY(),"Overdue",IF($H59&lt;=TODAY()+30,"Due within 1 Month",IF($H59&lt;=TODAY()+60,"Due within 2 Months","OK"))))))</f>
        <v>OK</v>
      </c>
      <c r="K59" s="13"/>
    </row>
    <row r="60" customFormat="false" ht="15" hidden="false" customHeight="false" outlineLevel="0" collapsed="false">
      <c r="A60" s="9" t="str">
        <f aca="false">Vessels!B5</f>
        <v>Vessel 01</v>
      </c>
      <c r="B60" s="9" t="s">
        <v>88</v>
      </c>
      <c r="C60" s="7" t="s">
        <v>95</v>
      </c>
      <c r="D60" s="9" t="s">
        <v>45</v>
      </c>
      <c r="E60" s="9" t="s">
        <v>92</v>
      </c>
      <c r="F60" s="5" t="n">
        <v>120</v>
      </c>
      <c r="G60" s="10" t="n">
        <v>42552</v>
      </c>
      <c r="H60" s="11" t="n">
        <f aca="false">IFERROR(IF($D60="Manual Review","",IF($G60="","",IF($D60="Direct Expiry",$G60,EDATE($G60,$F60)))),"Check Date")</f>
        <v>46204</v>
      </c>
      <c r="I60" s="12" t="n">
        <f aca="true">IF($H60="","",IF(ISNUMBER($H60),$H60-TODAY(),""))</f>
        <v>-14</v>
      </c>
      <c r="J60" s="4" t="str">
        <f aca="true">IF($D60="Manual Review","Manual Review",IF($G60="","No Data",IF(NOT(ISNUMBER($H60)),"N/A",IF($H60&lt;TODAY(),"Overdue",IF($H60&lt;=TODAY()+30,"Due within 1 Month",IF($H60&lt;=TODAY()+60,"Due within 2 Months","OK"))))))</f>
        <v>Overdue</v>
      </c>
      <c r="K60" s="13"/>
    </row>
    <row r="61" customFormat="false" ht="15" hidden="false" customHeight="false" outlineLevel="0" collapsed="false">
      <c r="A61" s="9" t="str">
        <f aca="false">Vessels!B5</f>
        <v>Vessel 01</v>
      </c>
      <c r="B61" s="9" t="s">
        <v>88</v>
      </c>
      <c r="C61" s="7" t="s">
        <v>96</v>
      </c>
      <c r="D61" s="9" t="s">
        <v>45</v>
      </c>
      <c r="E61" s="9" t="s">
        <v>44</v>
      </c>
      <c r="F61" s="5" t="n">
        <v>12</v>
      </c>
      <c r="G61" s="10" t="n">
        <v>45922</v>
      </c>
      <c r="H61" s="11" t="n">
        <f aca="false">IFERROR(IF($D61="Manual Review","",IF($G61="","",IF($D61="Direct Expiry",$G61,EDATE($G61,$F61)))),"Check Date")</f>
        <v>46287</v>
      </c>
      <c r="I61" s="12" t="n">
        <f aca="true">IF($H61="","",IF(ISNUMBER($H61),$H61-TODAY(),""))</f>
        <v>69</v>
      </c>
      <c r="J61" s="4" t="str">
        <f aca="true">IF($D61="Manual Review","Manual Review",IF($G61="","No Data",IF(NOT(ISNUMBER($H61)),"N/A",IF($H61&lt;TODAY(),"Overdue",IF($H61&lt;=TODAY()+30,"Due within 1 Month",IF($H61&lt;=TODAY()+60,"Due within 2 Months","OK"))))))</f>
        <v>OK</v>
      </c>
      <c r="K61" s="13"/>
    </row>
    <row r="62" customFormat="false" ht="15" hidden="false" customHeight="false" outlineLevel="0" collapsed="false">
      <c r="A62" s="9" t="str">
        <f aca="false">Vessels!B5</f>
        <v>Vessel 01</v>
      </c>
      <c r="B62" s="9" t="s">
        <v>88</v>
      </c>
      <c r="C62" s="7" t="s">
        <v>96</v>
      </c>
      <c r="D62" s="9" t="s">
        <v>45</v>
      </c>
      <c r="E62" s="9" t="s">
        <v>97</v>
      </c>
      <c r="F62" s="5" t="n">
        <v>120</v>
      </c>
      <c r="G62" s="10" t="n">
        <v>42675</v>
      </c>
      <c r="H62" s="11" t="n">
        <f aca="false">IFERROR(IF($D62="Manual Review","",IF($G62="","",IF($D62="Direct Expiry",$G62,EDATE($G62,$F62)))),"Check Date")</f>
        <v>46327</v>
      </c>
      <c r="I62" s="12" t="n">
        <f aca="true">IF($H62="","",IF(ISNUMBER($H62),$H62-TODAY(),""))</f>
        <v>109</v>
      </c>
      <c r="J62" s="4" t="str">
        <f aca="true">IF($D62="Manual Review","Manual Review",IF($G62="","No Data",IF(NOT(ISNUMBER($H62)),"N/A",IF($H62&lt;TODAY(),"Overdue",IF($H62&lt;=TODAY()+30,"Due within 1 Month",IF($H62&lt;=TODAY()+60,"Due within 2 Months","OK"))))))</f>
        <v>OK</v>
      </c>
      <c r="K62" s="13"/>
    </row>
    <row r="63" customFormat="false" ht="15" hidden="false" customHeight="false" outlineLevel="0" collapsed="false">
      <c r="A63" s="9" t="str">
        <f aca="false">Vessels!B5</f>
        <v>Vessel 01</v>
      </c>
      <c r="B63" s="9" t="s">
        <v>88</v>
      </c>
      <c r="C63" s="7" t="s">
        <v>98</v>
      </c>
      <c r="D63" s="9" t="s">
        <v>45</v>
      </c>
      <c r="E63" s="9" t="s">
        <v>44</v>
      </c>
      <c r="F63" s="5" t="n">
        <v>12</v>
      </c>
      <c r="G63" s="10" t="n">
        <v>45922</v>
      </c>
      <c r="H63" s="11" t="n">
        <f aca="false">IFERROR(IF($D63="Manual Review","",IF($G63="","",IF($D63="Direct Expiry",$G63,EDATE($G63,$F63)))),"Check Date")</f>
        <v>46287</v>
      </c>
      <c r="I63" s="12" t="n">
        <f aca="true">IF($H63="","",IF(ISNUMBER($H63),$H63-TODAY(),""))</f>
        <v>69</v>
      </c>
      <c r="J63" s="4" t="str">
        <f aca="true">IF($D63="Manual Review","Manual Review",IF($G63="","No Data",IF(NOT(ISNUMBER($H63)),"N/A",IF($H63&lt;TODAY(),"Overdue",IF($H63&lt;=TODAY()+30,"Due within 1 Month",IF($H63&lt;=TODAY()+60,"Due within 2 Months","OK"))))))</f>
        <v>OK</v>
      </c>
      <c r="K63" s="13"/>
    </row>
    <row r="64" customFormat="false" ht="15" hidden="false" customHeight="false" outlineLevel="0" collapsed="false">
      <c r="A64" s="9" t="str">
        <f aca="false">Vessels!B5</f>
        <v>Vessel 01</v>
      </c>
      <c r="B64" s="9" t="s">
        <v>88</v>
      </c>
      <c r="C64" s="7" t="s">
        <v>98</v>
      </c>
      <c r="D64" s="9" t="s">
        <v>45</v>
      </c>
      <c r="E64" s="9" t="s">
        <v>99</v>
      </c>
      <c r="F64" s="5" t="n">
        <v>60</v>
      </c>
      <c r="G64" s="10" t="n">
        <v>44227</v>
      </c>
      <c r="H64" s="11" t="n">
        <f aca="false">IFERROR(IF($D64="Manual Review","",IF($G64="","",IF($D64="Direct Expiry",$G64,EDATE($G64,$F64)))),"Check Date")</f>
        <v>46053</v>
      </c>
      <c r="I64" s="12" t="n">
        <f aca="true">IF($H64="","",IF(ISNUMBER($H64),$H64-TODAY(),""))</f>
        <v>-165</v>
      </c>
      <c r="J64" s="4" t="str">
        <f aca="true">IF($D64="Manual Review","Manual Review",IF($G64="","No Data",IF(NOT(ISNUMBER($H64)),"N/A",IF($H64&lt;TODAY(),"Overdue",IF($H64&lt;=TODAY()+30,"Due within 1 Month",IF($H64&lt;=TODAY()+60,"Due within 2 Months","OK"))))))</f>
        <v>Overdue</v>
      </c>
      <c r="K64" s="13"/>
    </row>
    <row r="65" customFormat="false" ht="15" hidden="false" customHeight="false" outlineLevel="0" collapsed="false">
      <c r="A65" s="9" t="str">
        <f aca="false">Vessels!B5</f>
        <v>Vessel 01</v>
      </c>
      <c r="B65" s="9" t="s">
        <v>88</v>
      </c>
      <c r="C65" s="7" t="s">
        <v>100</v>
      </c>
      <c r="D65" s="9" t="s">
        <v>45</v>
      </c>
      <c r="E65" s="9" t="s">
        <v>44</v>
      </c>
      <c r="F65" s="5" t="n">
        <v>12</v>
      </c>
      <c r="G65" s="10"/>
      <c r="H65" s="11" t="str">
        <f aca="false">IFERROR(IF($D65="Manual Review","",IF($G65="","",IF($D65="Direct Expiry",$G65,EDATE($G65,$F65)))),"Check Date")</f>
        <v/>
      </c>
      <c r="I65" s="12" t="str">
        <f aca="true">IF($H65="","",IF(ISNUMBER($H65),$H65-TODAY(),""))</f>
        <v/>
      </c>
      <c r="J65" s="4" t="str">
        <f aca="true">IF($D65="Manual Review","Manual Review",IF($G65="","No Data",IF(NOT(ISNUMBER($H65)),"N/A",IF($H65&lt;TODAY(),"Overdue",IF($H65&lt;=TODAY()+30,"Due within 1 Month",IF($H65&lt;=TODAY()+60,"Due within 2 Months","OK"))))))</f>
        <v>No Data</v>
      </c>
      <c r="K65" s="13"/>
    </row>
    <row r="66" customFormat="false" ht="15" hidden="false" customHeight="false" outlineLevel="0" collapsed="false">
      <c r="A66" s="9" t="str">
        <f aca="false">Vessels!B5</f>
        <v>Vessel 01</v>
      </c>
      <c r="B66" s="9" t="s">
        <v>88</v>
      </c>
      <c r="C66" s="7" t="s">
        <v>100</v>
      </c>
      <c r="D66" s="9" t="s">
        <v>45</v>
      </c>
      <c r="E66" s="9" t="s">
        <v>99</v>
      </c>
      <c r="F66" s="5" t="n">
        <v>60</v>
      </c>
      <c r="G66" s="10"/>
      <c r="H66" s="11" t="str">
        <f aca="false">IFERROR(IF($D66="Manual Review","",IF($G66="","",IF($D66="Direct Expiry",$G66,EDATE($G66,$F66)))),"Check Date")</f>
        <v/>
      </c>
      <c r="I66" s="12" t="str">
        <f aca="true">IF($H66="","",IF(ISNUMBER($H66),$H66-TODAY(),""))</f>
        <v/>
      </c>
      <c r="J66" s="4" t="str">
        <f aca="true">IF($D66="Manual Review","Manual Review",IF($G66="","No Data",IF(NOT(ISNUMBER($H66)),"N/A",IF($H66&lt;TODAY(),"Overdue",IF($H66&lt;=TODAY()+30,"Due within 1 Month",IF($H66&lt;=TODAY()+60,"Due within 2 Months","OK"))))))</f>
        <v>No Data</v>
      </c>
      <c r="K66" s="13"/>
    </row>
    <row r="67" customFormat="false" ht="15" hidden="false" customHeight="false" outlineLevel="0" collapsed="false">
      <c r="A67" s="9" t="str">
        <f aca="false">Vessels!B5</f>
        <v>Vessel 01</v>
      </c>
      <c r="B67" s="9" t="s">
        <v>88</v>
      </c>
      <c r="C67" s="7" t="s">
        <v>101</v>
      </c>
      <c r="D67" s="9" t="s">
        <v>45</v>
      </c>
      <c r="E67" s="9" t="s">
        <v>44</v>
      </c>
      <c r="F67" s="5" t="n">
        <v>12</v>
      </c>
      <c r="G67" s="10" t="n">
        <v>45922</v>
      </c>
      <c r="H67" s="11" t="n">
        <f aca="false">IFERROR(IF($D67="Manual Review","",IF($G67="","",IF($D67="Direct Expiry",$G67,EDATE($G67,$F67)))),"Check Date")</f>
        <v>46287</v>
      </c>
      <c r="I67" s="12" t="n">
        <f aca="true">IF($H67="","",IF(ISNUMBER($H67),$H67-TODAY(),""))</f>
        <v>69</v>
      </c>
      <c r="J67" s="4" t="str">
        <f aca="true">IF($D67="Manual Review","Manual Review",IF($G67="","No Data",IF(NOT(ISNUMBER($H67)),"N/A",IF($H67&lt;TODAY(),"Overdue",IF($H67&lt;=TODAY()+30,"Due within 1 Month",IF($H67&lt;=TODAY()+60,"Due within 2 Months","OK"))))))</f>
        <v>OK</v>
      </c>
      <c r="K67" s="13"/>
    </row>
    <row r="68" customFormat="false" ht="23.85" hidden="false" customHeight="false" outlineLevel="0" collapsed="false">
      <c r="A68" s="9" t="str">
        <f aca="false">Vessels!B5</f>
        <v>Vessel 01</v>
      </c>
      <c r="B68" s="9" t="s">
        <v>88</v>
      </c>
      <c r="C68" s="7" t="s">
        <v>102</v>
      </c>
      <c r="D68" s="9" t="s">
        <v>45</v>
      </c>
      <c r="E68" s="9" t="s">
        <v>44</v>
      </c>
      <c r="F68" s="5" t="n">
        <v>12</v>
      </c>
      <c r="G68" s="10" t="n">
        <v>45922</v>
      </c>
      <c r="H68" s="11" t="n">
        <f aca="false">IFERROR(IF($D68="Manual Review","",IF($G68="","",IF($D68="Direct Expiry",$G68,EDATE($G68,$F68)))),"Check Date")</f>
        <v>46287</v>
      </c>
      <c r="I68" s="12" t="n">
        <f aca="true">IF($H68="","",IF(ISNUMBER($H68),$H68-TODAY(),""))</f>
        <v>69</v>
      </c>
      <c r="J68" s="4" t="str">
        <f aca="true">IF($D68="Manual Review","Manual Review",IF($G68="","No Data",IF(NOT(ISNUMBER($H68)),"N/A",IF($H68&lt;TODAY(),"Overdue",IF($H68&lt;=TODAY()+30,"Due within 1 Month",IF($H68&lt;=TODAY()+60,"Due within 2 Months","OK"))))))</f>
        <v>OK</v>
      </c>
      <c r="K68" s="13"/>
    </row>
    <row r="69" customFormat="false" ht="23.85" hidden="false" customHeight="false" outlineLevel="0" collapsed="false">
      <c r="A69" s="9" t="str">
        <f aca="false">Vessels!B5</f>
        <v>Vessel 01</v>
      </c>
      <c r="B69" s="9" t="s">
        <v>88</v>
      </c>
      <c r="C69" s="7" t="s">
        <v>102</v>
      </c>
      <c r="D69" s="9" t="s">
        <v>45</v>
      </c>
      <c r="E69" s="9" t="s">
        <v>97</v>
      </c>
      <c r="F69" s="5" t="n">
        <v>120</v>
      </c>
      <c r="G69" s="10" t="n">
        <v>46265</v>
      </c>
      <c r="H69" s="11" t="n">
        <f aca="false">IFERROR(IF($D69="Manual Review","",IF($G69="","",IF($D69="Direct Expiry",$G69,EDATE($G69,$F69)))),"Check Date")</f>
        <v>49918</v>
      </c>
      <c r="I69" s="12" t="n">
        <f aca="true">IF($H69="","",IF(ISNUMBER($H69),$H69-TODAY(),""))</f>
        <v>3700</v>
      </c>
      <c r="J69" s="4" t="str">
        <f aca="true">IF($D69="Manual Review","Manual Review",IF($G69="","No Data",IF(NOT(ISNUMBER($H69)),"N/A",IF($H69&lt;TODAY(),"Overdue",IF($H69&lt;=TODAY()+30,"Due within 1 Month",IF($H69&lt;=TODAY()+60,"Due within 2 Months","OK"))))))</f>
        <v>OK</v>
      </c>
      <c r="K69" s="13"/>
    </row>
    <row r="70" customFormat="false" ht="15" hidden="false" customHeight="false" outlineLevel="0" collapsed="false">
      <c r="A70" s="9" t="str">
        <f aca="false">Vessels!B5</f>
        <v>Vessel 01</v>
      </c>
      <c r="B70" s="9" t="s">
        <v>88</v>
      </c>
      <c r="C70" s="7" t="s">
        <v>103</v>
      </c>
      <c r="D70" s="9" t="s">
        <v>45</v>
      </c>
      <c r="E70" s="9" t="s">
        <v>44</v>
      </c>
      <c r="F70" s="5" t="n">
        <v>12</v>
      </c>
      <c r="G70" s="10" t="n">
        <v>45922</v>
      </c>
      <c r="H70" s="11" t="n">
        <f aca="false">IFERROR(IF($D70="Manual Review","",IF($G70="","",IF($D70="Direct Expiry",$G70,EDATE($G70,$F70)))),"Check Date")</f>
        <v>46287</v>
      </c>
      <c r="I70" s="12" t="n">
        <f aca="true">IF($H70="","",IF(ISNUMBER($H70),$H70-TODAY(),""))</f>
        <v>69</v>
      </c>
      <c r="J70" s="4" t="str">
        <f aca="true">IF($D70="Manual Review","Manual Review",IF($G70="","No Data",IF(NOT(ISNUMBER($H70)),"N/A",IF($H70&lt;TODAY(),"Overdue",IF($H70&lt;=TODAY()+30,"Due within 1 Month",IF($H70&lt;=TODAY()+60,"Due within 2 Months","OK"))))))</f>
        <v>OK</v>
      </c>
      <c r="K70" s="13"/>
    </row>
    <row r="71" customFormat="false" ht="15" hidden="false" customHeight="false" outlineLevel="0" collapsed="false">
      <c r="A71" s="9" t="str">
        <f aca="false">Vessels!B5</f>
        <v>Vessel 01</v>
      </c>
      <c r="B71" s="9" t="s">
        <v>88</v>
      </c>
      <c r="C71" s="7" t="s">
        <v>103</v>
      </c>
      <c r="D71" s="9" t="s">
        <v>45</v>
      </c>
      <c r="E71" s="9" t="s">
        <v>97</v>
      </c>
      <c r="F71" s="5" t="n">
        <v>120</v>
      </c>
      <c r="G71" s="10"/>
      <c r="H71" s="11" t="str">
        <f aca="false">IFERROR(IF($D71="Manual Review","",IF($G71="","",IF($D71="Direct Expiry",$G71,EDATE($G71,$F71)))),"Check Date")</f>
        <v/>
      </c>
      <c r="I71" s="12" t="str">
        <f aca="true">IF($H71="","",IF(ISNUMBER($H71),$H71-TODAY(),""))</f>
        <v/>
      </c>
      <c r="J71" s="4" t="str">
        <f aca="true">IF($D71="Manual Review","Manual Review",IF($G71="","No Data",IF(NOT(ISNUMBER($H71)),"N/A",IF($H71&lt;TODAY(),"Overdue",IF($H71&lt;=TODAY()+30,"Due within 1 Month",IF($H71&lt;=TODAY()+60,"Due within 2 Months","OK"))))))</f>
        <v>No Data</v>
      </c>
      <c r="K71" s="13"/>
    </row>
    <row r="72" customFormat="false" ht="15" hidden="false" customHeight="false" outlineLevel="0" collapsed="false">
      <c r="A72" s="9" t="str">
        <f aca="false">Vessels!B5</f>
        <v>Vessel 01</v>
      </c>
      <c r="B72" s="9" t="s">
        <v>88</v>
      </c>
      <c r="C72" s="7" t="s">
        <v>104</v>
      </c>
      <c r="D72" s="9" t="s">
        <v>45</v>
      </c>
      <c r="E72" s="9" t="s">
        <v>44</v>
      </c>
      <c r="F72" s="5" t="n">
        <v>12</v>
      </c>
      <c r="G72" s="10"/>
      <c r="H72" s="11" t="str">
        <f aca="false">IFERROR(IF($D72="Manual Review","",IF($G72="","",IF($D72="Direct Expiry",$G72,EDATE($G72,$F72)))),"Check Date")</f>
        <v/>
      </c>
      <c r="I72" s="12" t="str">
        <f aca="true">IF($H72="","",IF(ISNUMBER($H72),$H72-TODAY(),""))</f>
        <v/>
      </c>
      <c r="J72" s="4" t="str">
        <f aca="true">IF($D72="Manual Review","Manual Review",IF($G72="","No Data",IF(NOT(ISNUMBER($H72)),"N/A",IF($H72&lt;TODAY(),"Overdue",IF($H72&lt;=TODAY()+30,"Due within 1 Month",IF($H72&lt;=TODAY()+60,"Due within 2 Months","OK"))))))</f>
        <v>No Data</v>
      </c>
      <c r="K72" s="13"/>
    </row>
    <row r="73" customFormat="false" ht="15" hidden="false" customHeight="false" outlineLevel="0" collapsed="false">
      <c r="A73" s="9" t="str">
        <f aca="false">Vessels!B5</f>
        <v>Vessel 01</v>
      </c>
      <c r="B73" s="9" t="s">
        <v>88</v>
      </c>
      <c r="C73" s="7" t="s">
        <v>105</v>
      </c>
      <c r="D73" s="9" t="s">
        <v>45</v>
      </c>
      <c r="E73" s="9" t="s">
        <v>44</v>
      </c>
      <c r="F73" s="5" t="n">
        <v>12</v>
      </c>
      <c r="G73" s="10" t="n">
        <v>45922</v>
      </c>
      <c r="H73" s="11" t="n">
        <f aca="false">IFERROR(IF($D73="Manual Review","",IF($G73="","",IF($D73="Direct Expiry",$G73,EDATE($G73,$F73)))),"Check Date")</f>
        <v>46287</v>
      </c>
      <c r="I73" s="12" t="n">
        <f aca="true">IF($H73="","",IF(ISNUMBER($H73),$H73-TODAY(),""))</f>
        <v>69</v>
      </c>
      <c r="J73" s="4" t="str">
        <f aca="true">IF($D73="Manual Review","Manual Review",IF($G73="","No Data",IF(NOT(ISNUMBER($H73)),"N/A",IF($H73&lt;TODAY(),"Overdue",IF($H73&lt;=TODAY()+30,"Due within 1 Month",IF($H73&lt;=TODAY()+60,"Due within 2 Months","OK"))))))</f>
        <v>OK</v>
      </c>
      <c r="K73" s="13"/>
    </row>
    <row r="74" customFormat="false" ht="15" hidden="false" customHeight="false" outlineLevel="0" collapsed="false">
      <c r="A74" s="9" t="str">
        <f aca="false">Vessels!B5</f>
        <v>Vessel 01</v>
      </c>
      <c r="B74" s="9" t="s">
        <v>88</v>
      </c>
      <c r="C74" s="7" t="s">
        <v>106</v>
      </c>
      <c r="D74" s="9" t="s">
        <v>45</v>
      </c>
      <c r="E74" s="9" t="s">
        <v>44</v>
      </c>
      <c r="F74" s="5" t="n">
        <v>12</v>
      </c>
      <c r="G74" s="10"/>
      <c r="H74" s="11" t="str">
        <f aca="false">IFERROR(IF($D74="Manual Review","",IF($G74="","",IF($D74="Direct Expiry",$G74,EDATE($G74,$F74)))),"Check Date")</f>
        <v/>
      </c>
      <c r="I74" s="12" t="str">
        <f aca="true">IF($H74="","",IF(ISNUMBER($H74),$H74-TODAY(),""))</f>
        <v/>
      </c>
      <c r="J74" s="4" t="str">
        <f aca="true">IF($D74="Manual Review","Manual Review",IF($G74="","No Data",IF(NOT(ISNUMBER($H74)),"N/A",IF($H74&lt;TODAY(),"Overdue",IF($H74&lt;=TODAY()+30,"Due within 1 Month",IF($H74&lt;=TODAY()+60,"Due within 2 Months","OK"))))))</f>
        <v>No Data</v>
      </c>
      <c r="K74" s="13"/>
    </row>
    <row r="75" customFormat="false" ht="15" hidden="false" customHeight="false" outlineLevel="0" collapsed="false">
      <c r="A75" s="9" t="str">
        <f aca="false">Vessels!B5</f>
        <v>Vessel 01</v>
      </c>
      <c r="B75" s="9" t="s">
        <v>88</v>
      </c>
      <c r="C75" s="7" t="s">
        <v>107</v>
      </c>
      <c r="D75" s="9" t="s">
        <v>45</v>
      </c>
      <c r="E75" s="9" t="s">
        <v>44</v>
      </c>
      <c r="F75" s="5" t="n">
        <v>12</v>
      </c>
      <c r="G75" s="10" t="n">
        <v>45922</v>
      </c>
      <c r="H75" s="11" t="n">
        <f aca="false">IFERROR(IF($D75="Manual Review","",IF($G75="","",IF($D75="Direct Expiry",$G75,EDATE($G75,$F75)))),"Check Date")</f>
        <v>46287</v>
      </c>
      <c r="I75" s="12" t="n">
        <f aca="true">IF($H75="","",IF(ISNUMBER($H75),$H75-TODAY(),""))</f>
        <v>69</v>
      </c>
      <c r="J75" s="4" t="str">
        <f aca="true">IF($D75="Manual Review","Manual Review",IF($G75="","No Data",IF(NOT(ISNUMBER($H75)),"N/A",IF($H75&lt;TODAY(),"Overdue",IF($H75&lt;=TODAY()+30,"Due within 1 Month",IF($H75&lt;=TODAY()+60,"Due within 2 Months","OK"))))))</f>
        <v>OK</v>
      </c>
      <c r="K75" s="13"/>
    </row>
    <row r="76" customFormat="false" ht="15" hidden="false" customHeight="false" outlineLevel="0" collapsed="false">
      <c r="A76" s="9" t="str">
        <f aca="false">Vessels!B5</f>
        <v>Vessel 01</v>
      </c>
      <c r="B76" s="9" t="s">
        <v>88</v>
      </c>
      <c r="C76" s="7" t="s">
        <v>108</v>
      </c>
      <c r="D76" s="9" t="s">
        <v>45</v>
      </c>
      <c r="E76" s="9" t="s">
        <v>109</v>
      </c>
      <c r="F76" s="5" t="n">
        <v>12</v>
      </c>
      <c r="G76" s="10" t="n">
        <v>45922</v>
      </c>
      <c r="H76" s="11" t="n">
        <f aca="false">IFERROR(IF($D76="Manual Review","",IF($G76="","",IF($D76="Direct Expiry",$G76,EDATE($G76,$F76)))),"Check Date")</f>
        <v>46287</v>
      </c>
      <c r="I76" s="12" t="n">
        <f aca="true">IF($H76="","",IF(ISNUMBER($H76),$H76-TODAY(),""))</f>
        <v>69</v>
      </c>
      <c r="J76" s="4" t="str">
        <f aca="true">IF($D76="Manual Review","Manual Review",IF($G76="","No Data",IF(NOT(ISNUMBER($H76)),"N/A",IF($H76&lt;TODAY(),"Overdue",IF($H76&lt;=TODAY()+30,"Due within 1 Month",IF($H76&lt;=TODAY()+60,"Due within 2 Months","OK"))))))</f>
        <v>OK</v>
      </c>
      <c r="K76" s="13"/>
    </row>
    <row r="77" customFormat="false" ht="15" hidden="false" customHeight="false" outlineLevel="0" collapsed="false">
      <c r="A77" s="9" t="str">
        <f aca="false">Vessels!B5</f>
        <v>Vessel 01</v>
      </c>
      <c r="B77" s="9" t="s">
        <v>88</v>
      </c>
      <c r="C77" s="7" t="s">
        <v>108</v>
      </c>
      <c r="D77" s="9" t="s">
        <v>45</v>
      </c>
      <c r="E77" s="9" t="s">
        <v>110</v>
      </c>
      <c r="F77" s="5" t="n">
        <v>60</v>
      </c>
      <c r="G77" s="10" t="n">
        <v>44197</v>
      </c>
      <c r="H77" s="11" t="n">
        <f aca="false">IFERROR(IF($D77="Manual Review","",IF($G77="","",IF($D77="Direct Expiry",$G77,EDATE($G77,$F77)))),"Check Date")</f>
        <v>46023</v>
      </c>
      <c r="I77" s="12" t="n">
        <f aca="true">IF($H77="","",IF(ISNUMBER($H77),$H77-TODAY(),""))</f>
        <v>-195</v>
      </c>
      <c r="J77" s="4" t="str">
        <f aca="true">IF($D77="Manual Review","Manual Review",IF($G77="","No Data",IF(NOT(ISNUMBER($H77)),"N/A",IF($H77&lt;TODAY(),"Overdue",IF($H77&lt;=TODAY()+30,"Due within 1 Month",IF($H77&lt;=TODAY()+60,"Due within 2 Months","OK"))))))</f>
        <v>Overdue</v>
      </c>
      <c r="K77" s="13"/>
    </row>
    <row r="78" customFormat="false" ht="15" hidden="false" customHeight="false" outlineLevel="0" collapsed="false">
      <c r="A78" s="9" t="str">
        <f aca="false">Vessels!B5</f>
        <v>Vessel 01</v>
      </c>
      <c r="B78" s="9" t="s">
        <v>88</v>
      </c>
      <c r="C78" s="7" t="s">
        <v>111</v>
      </c>
      <c r="D78" s="9" t="s">
        <v>45</v>
      </c>
      <c r="E78" s="9" t="s">
        <v>44</v>
      </c>
      <c r="F78" s="5" t="n">
        <v>12</v>
      </c>
      <c r="G78" s="10" t="n">
        <v>45922</v>
      </c>
      <c r="H78" s="11" t="n">
        <f aca="false">IFERROR(IF($D78="Manual Review","",IF($G78="","",IF($D78="Direct Expiry",$G78,EDATE($G78,$F78)))),"Check Date")</f>
        <v>46287</v>
      </c>
      <c r="I78" s="12" t="n">
        <f aca="true">IF($H78="","",IF(ISNUMBER($H78),$H78-TODAY(),""))</f>
        <v>69</v>
      </c>
      <c r="J78" s="4" t="str">
        <f aca="true">IF($D78="Manual Review","Manual Review",IF($G78="","No Data",IF(NOT(ISNUMBER($H78)),"N/A",IF($H78&lt;TODAY(),"Overdue",IF($H78&lt;=TODAY()+30,"Due within 1 Month",IF($H78&lt;=TODAY()+60,"Due within 2 Months","OK"))))))</f>
        <v>OK</v>
      </c>
      <c r="K78" s="13"/>
    </row>
    <row r="79" customFormat="false" ht="15" hidden="false" customHeight="false" outlineLevel="0" collapsed="false">
      <c r="A79" s="9" t="str">
        <f aca="false">Vessels!B5</f>
        <v>Vessel 01</v>
      </c>
      <c r="B79" s="9" t="s">
        <v>88</v>
      </c>
      <c r="C79" s="7" t="s">
        <v>112</v>
      </c>
      <c r="D79" s="9" t="s">
        <v>45</v>
      </c>
      <c r="E79" s="9" t="s">
        <v>44</v>
      </c>
      <c r="F79" s="5" t="n">
        <v>12</v>
      </c>
      <c r="G79" s="10"/>
      <c r="H79" s="11" t="str">
        <f aca="false">IFERROR(IF($D79="Manual Review","",IF($G79="","",IF($D79="Direct Expiry",$G79,EDATE($G79,$F79)))),"Check Date")</f>
        <v/>
      </c>
      <c r="I79" s="12" t="str">
        <f aca="true">IF($H79="","",IF(ISNUMBER($H79),$H79-TODAY(),""))</f>
        <v/>
      </c>
      <c r="J79" s="4" t="str">
        <f aca="true">IF($D79="Manual Review","Manual Review",IF($G79="","No Data",IF(NOT(ISNUMBER($H79)),"N/A",IF($H79&lt;TODAY(),"Overdue",IF($H79&lt;=TODAY()+30,"Due within 1 Month",IF($H79&lt;=TODAY()+60,"Due within 2 Months","OK"))))))</f>
        <v>No Data</v>
      </c>
      <c r="K79" s="13"/>
    </row>
    <row r="80" customFormat="false" ht="15" hidden="false" customHeight="false" outlineLevel="0" collapsed="false">
      <c r="A80" s="9" t="str">
        <f aca="false">Vessels!B5</f>
        <v>Vessel 01</v>
      </c>
      <c r="B80" s="9" t="s">
        <v>88</v>
      </c>
      <c r="C80" s="7" t="s">
        <v>113</v>
      </c>
      <c r="D80" s="9" t="s">
        <v>115</v>
      </c>
      <c r="E80" s="9" t="s">
        <v>114</v>
      </c>
      <c r="F80" s="5"/>
      <c r="G80" s="10"/>
      <c r="H80" s="11" t="str">
        <f aca="false">IFERROR(IF($D80="Manual Review","",IF($G80="","",IF($D80="Direct Expiry",$G80,EDATE($G80,$F80)))),"Check Date")</f>
        <v/>
      </c>
      <c r="I80" s="12" t="str">
        <f aca="true">IF($H80="","",IF(ISNUMBER($H80),$H80-TODAY(),""))</f>
        <v/>
      </c>
      <c r="J80" s="4" t="str">
        <f aca="true">IF($D80="Manual Review","Manual Review",IF($G80="","No Data",IF(NOT(ISNUMBER($H80)),"N/A",IF($H80&lt;TODAY(),"Overdue",IF($H80&lt;=TODAY()+30,"Due within 1 Month",IF($H80&lt;=TODAY()+60,"Due within 2 Months","OK"))))))</f>
        <v>Manual Review</v>
      </c>
      <c r="K80" s="13"/>
    </row>
    <row r="81" customFormat="false" ht="15" hidden="false" customHeight="false" outlineLevel="0" collapsed="false">
      <c r="A81" s="9" t="str">
        <f aca="false">Vessels!B5</f>
        <v>Vessel 01</v>
      </c>
      <c r="B81" s="9" t="s">
        <v>88</v>
      </c>
      <c r="C81" s="7" t="s">
        <v>116</v>
      </c>
      <c r="D81" s="9" t="s">
        <v>115</v>
      </c>
      <c r="E81" s="9" t="s">
        <v>114</v>
      </c>
      <c r="F81" s="5"/>
      <c r="G81" s="10"/>
      <c r="H81" s="11" t="str">
        <f aca="false">IFERROR(IF($D81="Manual Review","",IF($G81="","",IF($D81="Direct Expiry",$G81,EDATE($G81,$F81)))),"Check Date")</f>
        <v/>
      </c>
      <c r="I81" s="12" t="str">
        <f aca="true">IF($H81="","",IF(ISNUMBER($H81),$H81-TODAY(),""))</f>
        <v/>
      </c>
      <c r="J81" s="4" t="str">
        <f aca="true">IF($D81="Manual Review","Manual Review",IF($G81="","No Data",IF(NOT(ISNUMBER($H81)),"N/A",IF($H81&lt;TODAY(),"Overdue",IF($H81&lt;=TODAY()+30,"Due within 1 Month",IF($H81&lt;=TODAY()+60,"Due within 2 Months","OK"))))))</f>
        <v>Manual Review</v>
      </c>
      <c r="K81" s="13"/>
    </row>
    <row r="82" customFormat="false" ht="15" hidden="false" customHeight="false" outlineLevel="0" collapsed="false">
      <c r="A82" s="9" t="str">
        <f aca="false">Vessels!B5</f>
        <v>Vessel 01</v>
      </c>
      <c r="B82" s="9" t="s">
        <v>117</v>
      </c>
      <c r="C82" s="7" t="s">
        <v>118</v>
      </c>
      <c r="D82" s="9" t="s">
        <v>59</v>
      </c>
      <c r="E82" s="9" t="s">
        <v>119</v>
      </c>
      <c r="F82" s="5"/>
      <c r="G82" s="10" t="n">
        <v>46419</v>
      </c>
      <c r="H82" s="11" t="n">
        <f aca="false">IFERROR(IF($D82="Manual Review","",IF($G82="","",IF($D82="Direct Expiry",$G82,EDATE($G82,$F82)))),"Check Date")</f>
        <v>46419</v>
      </c>
      <c r="I82" s="12" t="n">
        <f aca="true">IF($H82="","",IF(ISNUMBER($H82),$H82-TODAY(),""))</f>
        <v>201</v>
      </c>
      <c r="J82" s="4" t="str">
        <f aca="true">IF($D82="Manual Review","Manual Review",IF($G82="","No Data",IF(NOT(ISNUMBER($H82)),"N/A",IF($H82&lt;TODAY(),"Overdue",IF($H82&lt;=TODAY()+30,"Due within 1 Month",IF($H82&lt;=TODAY()+60,"Due within 2 Months","OK"))))))</f>
        <v>OK</v>
      </c>
      <c r="K82" s="13"/>
    </row>
    <row r="83" customFormat="false" ht="15" hidden="false" customHeight="false" outlineLevel="0" collapsed="false">
      <c r="A83" s="9" t="str">
        <f aca="false">Vessels!B5</f>
        <v>Vessel 01</v>
      </c>
      <c r="B83" s="9" t="s">
        <v>117</v>
      </c>
      <c r="C83" s="7" t="s">
        <v>120</v>
      </c>
      <c r="D83" s="9" t="s">
        <v>45</v>
      </c>
      <c r="E83" s="9" t="s">
        <v>44</v>
      </c>
      <c r="F83" s="5" t="n">
        <v>12</v>
      </c>
      <c r="G83" s="10" t="n">
        <v>46054</v>
      </c>
      <c r="H83" s="11" t="n">
        <f aca="false">IFERROR(IF($D83="Manual Review","",IF($G83="","",IF($D83="Direct Expiry",$G83,EDATE($G83,$F83)))),"Check Date")</f>
        <v>46419</v>
      </c>
      <c r="I83" s="12" t="n">
        <f aca="true">IF($H83="","",IF(ISNUMBER($H83),$H83-TODAY(),""))</f>
        <v>201</v>
      </c>
      <c r="J83" s="4" t="str">
        <f aca="true">IF($D83="Manual Review","Manual Review",IF($G83="","No Data",IF(NOT(ISNUMBER($H83)),"N/A",IF($H83&lt;TODAY(),"Overdue",IF($H83&lt;=TODAY()+30,"Due within 1 Month",IF($H83&lt;=TODAY()+60,"Due within 2 Months","OK"))))))</f>
        <v>OK</v>
      </c>
      <c r="K83" s="13"/>
    </row>
    <row r="84" customFormat="false" ht="15" hidden="false" customHeight="false" outlineLevel="0" collapsed="false">
      <c r="A84" s="9" t="str">
        <f aca="false">Vessels!B5</f>
        <v>Vessel 01</v>
      </c>
      <c r="B84" s="9" t="s">
        <v>117</v>
      </c>
      <c r="C84" s="7" t="s">
        <v>121</v>
      </c>
      <c r="D84" s="9" t="s">
        <v>45</v>
      </c>
      <c r="E84" s="9" t="s">
        <v>44</v>
      </c>
      <c r="F84" s="5" t="n">
        <v>12</v>
      </c>
      <c r="G84" s="10"/>
      <c r="H84" s="11" t="str">
        <f aca="false">IFERROR(IF($D84="Manual Review","",IF($G84="","",IF($D84="Direct Expiry",$G84,EDATE($G84,$F84)))),"Check Date")</f>
        <v/>
      </c>
      <c r="I84" s="12" t="str">
        <f aca="true">IF($H84="","",IF(ISNUMBER($H84),$H84-TODAY(),""))</f>
        <v/>
      </c>
      <c r="J84" s="4" t="str">
        <f aca="true">IF($D84="Manual Review","Manual Review",IF($G84="","No Data",IF(NOT(ISNUMBER($H84)),"N/A",IF($H84&lt;TODAY(),"Overdue",IF($H84&lt;=TODAY()+30,"Due within 1 Month",IF($H84&lt;=TODAY()+60,"Due within 2 Months","OK"))))))</f>
        <v>No Data</v>
      </c>
      <c r="K84" s="13"/>
    </row>
    <row r="85" customFormat="false" ht="15" hidden="false" customHeight="false" outlineLevel="0" collapsed="false">
      <c r="A85" s="9" t="str">
        <f aca="false">Vessels!B5</f>
        <v>Vessel 01</v>
      </c>
      <c r="B85" s="9" t="s">
        <v>117</v>
      </c>
      <c r="C85" s="7" t="s">
        <v>122</v>
      </c>
      <c r="D85" s="9" t="s">
        <v>45</v>
      </c>
      <c r="E85" s="9" t="s">
        <v>123</v>
      </c>
      <c r="F85" s="5" t="n">
        <v>24</v>
      </c>
      <c r="G85" s="10" t="n">
        <v>46068</v>
      </c>
      <c r="H85" s="11" t="n">
        <f aca="false">IFERROR(IF($D85="Manual Review","",IF($G85="","",IF($D85="Direct Expiry",$G85,EDATE($G85,$F85)))),"Check Date")</f>
        <v>46798</v>
      </c>
      <c r="I85" s="12" t="n">
        <f aca="true">IF($H85="","",IF(ISNUMBER($H85),$H85-TODAY(),""))</f>
        <v>580</v>
      </c>
      <c r="J85" s="4" t="str">
        <f aca="true">IF($D85="Manual Review","Manual Review",IF($G85="","No Data",IF(NOT(ISNUMBER($H85)),"N/A",IF($H85&lt;TODAY(),"Overdue",IF($H85&lt;=TODAY()+30,"Due within 1 Month",IF($H85&lt;=TODAY()+60,"Due within 2 Months","OK"))))))</f>
        <v>OK</v>
      </c>
      <c r="K85" s="13"/>
    </row>
    <row r="86" customFormat="false" ht="15" hidden="false" customHeight="false" outlineLevel="0" collapsed="false">
      <c r="A86" s="9" t="str">
        <f aca="false">Vessels!B5</f>
        <v>Vessel 01</v>
      </c>
      <c r="B86" s="9" t="s">
        <v>117</v>
      </c>
      <c r="C86" s="7" t="s">
        <v>124</v>
      </c>
      <c r="D86" s="9" t="s">
        <v>59</v>
      </c>
      <c r="E86" s="9" t="s">
        <v>58</v>
      </c>
      <c r="F86" s="5"/>
      <c r="G86" s="10" t="n">
        <v>47818</v>
      </c>
      <c r="H86" s="11" t="n">
        <f aca="false">IFERROR(IF($D86="Manual Review","",IF($G86="","",IF($D86="Direct Expiry",$G86,EDATE($G86,$F86)))),"Check Date")</f>
        <v>47818</v>
      </c>
      <c r="I86" s="12" t="n">
        <f aca="true">IF($H86="","",IF(ISNUMBER($H86),$H86-TODAY(),""))</f>
        <v>1600</v>
      </c>
      <c r="J86" s="4" t="str">
        <f aca="true">IF($D86="Manual Review","Manual Review",IF($G86="","No Data",IF(NOT(ISNUMBER($H86)),"N/A",IF($H86&lt;TODAY(),"Overdue",IF($H86&lt;=TODAY()+30,"Due within 1 Month",IF($H86&lt;=TODAY()+60,"Due within 2 Months","OK"))))))</f>
        <v>OK</v>
      </c>
      <c r="K86" s="13"/>
    </row>
    <row r="87" customFormat="false" ht="15" hidden="false" customHeight="false" outlineLevel="0" collapsed="false">
      <c r="A87" s="9" t="str">
        <f aca="false">Vessels!B5</f>
        <v>Vessel 01</v>
      </c>
      <c r="B87" s="9" t="s">
        <v>117</v>
      </c>
      <c r="C87" s="7" t="s">
        <v>125</v>
      </c>
      <c r="D87" s="9" t="s">
        <v>59</v>
      </c>
      <c r="E87" s="9" t="s">
        <v>58</v>
      </c>
      <c r="F87" s="5"/>
      <c r="G87" s="10" t="n">
        <v>47818</v>
      </c>
      <c r="H87" s="11" t="n">
        <f aca="false">IFERROR(IF($D87="Manual Review","",IF($G87="","",IF($D87="Direct Expiry",$G87,EDATE($G87,$F87)))),"Check Date")</f>
        <v>47818</v>
      </c>
      <c r="I87" s="12" t="n">
        <f aca="true">IF($H87="","",IF(ISNUMBER($H87),$H87-TODAY(),""))</f>
        <v>1600</v>
      </c>
      <c r="J87" s="4" t="str">
        <f aca="true">IF($D87="Manual Review","Manual Review",IF($G87="","No Data",IF(NOT(ISNUMBER($H87)),"N/A",IF($H87&lt;TODAY(),"Overdue",IF($H87&lt;=TODAY()+30,"Due within 1 Month",IF($H87&lt;=TODAY()+60,"Due within 2 Months","OK"))))))</f>
        <v>OK</v>
      </c>
      <c r="K87" s="13"/>
    </row>
    <row r="88" customFormat="false" ht="15" hidden="false" customHeight="false" outlineLevel="0" collapsed="false">
      <c r="A88" s="9" t="str">
        <f aca="false">Vessels!B5</f>
        <v>Vessel 01</v>
      </c>
      <c r="B88" s="9" t="s">
        <v>117</v>
      </c>
      <c r="C88" s="7" t="s">
        <v>126</v>
      </c>
      <c r="D88" s="9" t="s">
        <v>45</v>
      </c>
      <c r="E88" s="9" t="s">
        <v>44</v>
      </c>
      <c r="F88" s="5" t="n">
        <v>12</v>
      </c>
      <c r="G88" s="10" t="n">
        <v>46010</v>
      </c>
      <c r="H88" s="11" t="n">
        <f aca="false">IFERROR(IF($D88="Manual Review","",IF($G88="","",IF($D88="Direct Expiry",$G88,EDATE($G88,$F88)))),"Check Date")</f>
        <v>46375</v>
      </c>
      <c r="I88" s="12" t="n">
        <f aca="true">IF($H88="","",IF(ISNUMBER($H88),$H88-TODAY(),""))</f>
        <v>157</v>
      </c>
      <c r="J88" s="4" t="str">
        <f aca="true">IF($D88="Manual Review","Manual Review",IF($G88="","No Data",IF(NOT(ISNUMBER($H88)),"N/A",IF($H88&lt;TODAY(),"Overdue",IF($H88&lt;=TODAY()+30,"Due within 1 Month",IF($H88&lt;=TODAY()+60,"Due within 2 Months","OK"))))))</f>
        <v>OK</v>
      </c>
      <c r="K88" s="13"/>
    </row>
    <row r="89" customFormat="false" ht="15" hidden="false" customHeight="false" outlineLevel="0" collapsed="false">
      <c r="A89" s="9" t="str">
        <f aca="false">Vessels!B5</f>
        <v>Vessel 01</v>
      </c>
      <c r="B89" s="9" t="s">
        <v>117</v>
      </c>
      <c r="C89" s="7" t="s">
        <v>127</v>
      </c>
      <c r="D89" s="9" t="s">
        <v>59</v>
      </c>
      <c r="E89" s="9" t="s">
        <v>58</v>
      </c>
      <c r="F89" s="5"/>
      <c r="G89" s="10" t="n">
        <v>46813</v>
      </c>
      <c r="H89" s="11" t="n">
        <f aca="false">IFERROR(IF($D89="Manual Review","",IF($G89="","",IF($D89="Direct Expiry",$G89,EDATE($G89,$F89)))),"Check Date")</f>
        <v>46813</v>
      </c>
      <c r="I89" s="12" t="n">
        <f aca="true">IF($H89="","",IF(ISNUMBER($H89),$H89-TODAY(),""))</f>
        <v>595</v>
      </c>
      <c r="J89" s="4" t="str">
        <f aca="true">IF($D89="Manual Review","Manual Review",IF($G89="","No Data",IF(NOT(ISNUMBER($H89)),"N/A",IF($H89&lt;TODAY(),"Overdue",IF($H89&lt;=TODAY()+30,"Due within 1 Month",IF($H89&lt;=TODAY()+60,"Due within 2 Months","OK"))))))</f>
        <v>OK</v>
      </c>
      <c r="K89" s="13"/>
    </row>
    <row r="90" customFormat="false" ht="15" hidden="false" customHeight="false" outlineLevel="0" collapsed="false">
      <c r="A90" s="9" t="str">
        <f aca="false">Vessels!B5</f>
        <v>Vessel 01</v>
      </c>
      <c r="B90" s="9" t="s">
        <v>117</v>
      </c>
      <c r="C90" s="7" t="s">
        <v>128</v>
      </c>
      <c r="D90" s="9" t="s">
        <v>59</v>
      </c>
      <c r="E90" s="9" t="s">
        <v>58</v>
      </c>
      <c r="F90" s="5"/>
      <c r="G90" s="10" t="n">
        <v>46478</v>
      </c>
      <c r="H90" s="11" t="n">
        <f aca="false">IFERROR(IF($D90="Manual Review","",IF($G90="","",IF($D90="Direct Expiry",$G90,EDATE($G90,$F90)))),"Check Date")</f>
        <v>46478</v>
      </c>
      <c r="I90" s="12" t="n">
        <f aca="true">IF($H90="","",IF(ISNUMBER($H90),$H90-TODAY(),""))</f>
        <v>260</v>
      </c>
      <c r="J90" s="4" t="str">
        <f aca="true">IF($D90="Manual Review","Manual Review",IF($G90="","No Data",IF(NOT(ISNUMBER($H90)),"N/A",IF($H90&lt;TODAY(),"Overdue",IF($H90&lt;=TODAY()+30,"Due within 1 Month",IF($H90&lt;=TODAY()+60,"Due within 2 Months","OK"))))))</f>
        <v>OK</v>
      </c>
      <c r="K90" s="13"/>
    </row>
    <row r="91" customFormat="false" ht="15" hidden="false" customHeight="false" outlineLevel="0" collapsed="false">
      <c r="A91" s="9" t="str">
        <f aca="false">Vessels!B5</f>
        <v>Vessel 01</v>
      </c>
      <c r="B91" s="9" t="s">
        <v>117</v>
      </c>
      <c r="C91" s="7" t="s">
        <v>129</v>
      </c>
      <c r="D91" s="9" t="s">
        <v>59</v>
      </c>
      <c r="E91" s="9" t="s">
        <v>58</v>
      </c>
      <c r="F91" s="5"/>
      <c r="G91" s="10"/>
      <c r="H91" s="11" t="str">
        <f aca="false">IFERROR(IF($D91="Manual Review","",IF($G91="","",IF($D91="Direct Expiry",$G91,EDATE($G91,$F91)))),"Check Date")</f>
        <v/>
      </c>
      <c r="I91" s="12" t="str">
        <f aca="true">IF($H91="","",IF(ISNUMBER($H91),$H91-TODAY(),""))</f>
        <v/>
      </c>
      <c r="J91" s="4" t="str">
        <f aca="true">IF($D91="Manual Review","Manual Review",IF($G91="","No Data",IF(NOT(ISNUMBER($H91)),"N/A",IF($H91&lt;TODAY(),"Overdue",IF($H91&lt;=TODAY()+30,"Due within 1 Month",IF($H91&lt;=TODAY()+60,"Due within 2 Months","OK"))))))</f>
        <v>No Data</v>
      </c>
      <c r="K91" s="13" t="s">
        <v>166</v>
      </c>
    </row>
    <row r="92" customFormat="false" ht="15" hidden="false" customHeight="false" outlineLevel="0" collapsed="false">
      <c r="A92" s="9" t="str">
        <f aca="false">Vessels!B5</f>
        <v>Vessel 01</v>
      </c>
      <c r="B92" s="9" t="s">
        <v>117</v>
      </c>
      <c r="C92" s="7" t="s">
        <v>130</v>
      </c>
      <c r="D92" s="9" t="s">
        <v>45</v>
      </c>
      <c r="E92" s="9" t="s">
        <v>44</v>
      </c>
      <c r="F92" s="5" t="n">
        <v>12</v>
      </c>
      <c r="G92" s="10" t="n">
        <v>46010</v>
      </c>
      <c r="H92" s="11" t="n">
        <f aca="false">IFERROR(IF($D92="Manual Review","",IF($G92="","",IF($D92="Direct Expiry",$G92,EDATE($G92,$F92)))),"Check Date")</f>
        <v>46375</v>
      </c>
      <c r="I92" s="12" t="n">
        <f aca="true">IF($H92="","",IF(ISNUMBER($H92),$H92-TODAY(),""))</f>
        <v>157</v>
      </c>
      <c r="J92" s="4" t="str">
        <f aca="true">IF($D92="Manual Review","Manual Review",IF($G92="","No Data",IF(NOT(ISNUMBER($H92)),"N/A",IF($H92&lt;TODAY(),"Overdue",IF($H92&lt;=TODAY()+30,"Due within 1 Month",IF($H92&lt;=TODAY()+60,"Due within 2 Months","OK"))))))</f>
        <v>OK</v>
      </c>
      <c r="K92" s="13"/>
    </row>
    <row r="93" customFormat="false" ht="15" hidden="false" customHeight="false" outlineLevel="0" collapsed="false">
      <c r="A93" s="9" t="str">
        <f aca="false">Vessels!B5</f>
        <v>Vessel 01</v>
      </c>
      <c r="B93" s="9" t="s">
        <v>117</v>
      </c>
      <c r="C93" s="7" t="s">
        <v>131</v>
      </c>
      <c r="D93" s="9" t="s">
        <v>45</v>
      </c>
      <c r="E93" s="9" t="s">
        <v>44</v>
      </c>
      <c r="F93" s="5" t="n">
        <v>12</v>
      </c>
      <c r="G93" s="10" t="n">
        <v>46010</v>
      </c>
      <c r="H93" s="11" t="n">
        <f aca="false">IFERROR(IF($D93="Manual Review","",IF($G93="","",IF($D93="Direct Expiry",$G93,EDATE($G93,$F93)))),"Check Date")</f>
        <v>46375</v>
      </c>
      <c r="I93" s="12" t="n">
        <f aca="true">IF($H93="","",IF(ISNUMBER($H93),$H93-TODAY(),""))</f>
        <v>157</v>
      </c>
      <c r="J93" s="4" t="str">
        <f aca="true">IF($D93="Manual Review","Manual Review",IF($G93="","No Data",IF(NOT(ISNUMBER($H93)),"N/A",IF($H93&lt;TODAY(),"Overdue",IF($H93&lt;=TODAY()+30,"Due within 1 Month",IF($H93&lt;=TODAY()+60,"Due within 2 Months","OK"))))))</f>
        <v>OK</v>
      </c>
      <c r="K93" s="13"/>
    </row>
    <row r="94" customFormat="false" ht="15" hidden="false" customHeight="false" outlineLevel="0" collapsed="false">
      <c r="A94" s="9" t="str">
        <f aca="false">Vessels!B5</f>
        <v>Vessel 01</v>
      </c>
      <c r="B94" s="9" t="s">
        <v>117</v>
      </c>
      <c r="C94" s="7" t="s">
        <v>132</v>
      </c>
      <c r="D94" s="9" t="s">
        <v>45</v>
      </c>
      <c r="E94" s="9" t="s">
        <v>44</v>
      </c>
      <c r="F94" s="5" t="n">
        <v>12</v>
      </c>
      <c r="G94" s="10" t="n">
        <v>46010</v>
      </c>
      <c r="H94" s="11" t="n">
        <f aca="false">IFERROR(IF($D94="Manual Review","",IF($G94="","",IF($D94="Direct Expiry",$G94,EDATE($G94,$F94)))),"Check Date")</f>
        <v>46375</v>
      </c>
      <c r="I94" s="12" t="n">
        <f aca="true">IF($H94="","",IF(ISNUMBER($H94),$H94-TODAY(),""))</f>
        <v>157</v>
      </c>
      <c r="J94" s="4" t="str">
        <f aca="true">IF($D94="Manual Review","Manual Review",IF($G94="","No Data",IF(NOT(ISNUMBER($H94)),"N/A",IF($H94&lt;TODAY(),"Overdue",IF($H94&lt;=TODAY()+30,"Due within 1 Month",IF($H94&lt;=TODAY()+60,"Due within 2 Months","OK"))))))</f>
        <v>OK</v>
      </c>
      <c r="K94" s="13"/>
    </row>
    <row r="95" customFormat="false" ht="15" hidden="false" customHeight="false" outlineLevel="0" collapsed="false">
      <c r="A95" s="9" t="str">
        <f aca="false">Vessels!B5</f>
        <v>Vessel 01</v>
      </c>
      <c r="B95" s="9" t="s">
        <v>117</v>
      </c>
      <c r="C95" s="7" t="s">
        <v>133</v>
      </c>
      <c r="D95" s="9" t="s">
        <v>45</v>
      </c>
      <c r="E95" s="9" t="s">
        <v>44</v>
      </c>
      <c r="F95" s="5" t="n">
        <v>12</v>
      </c>
      <c r="G95" s="10" t="n">
        <v>46010</v>
      </c>
      <c r="H95" s="11" t="n">
        <f aca="false">IFERROR(IF($D95="Manual Review","",IF($G95="","",IF($D95="Direct Expiry",$G95,EDATE($G95,$F95)))),"Check Date")</f>
        <v>46375</v>
      </c>
      <c r="I95" s="12" t="n">
        <f aca="true">IF($H95="","",IF(ISNUMBER($H95),$H95-TODAY(),""))</f>
        <v>157</v>
      </c>
      <c r="J95" s="4" t="str">
        <f aca="true">IF($D95="Manual Review","Manual Review",IF($G95="","No Data",IF(NOT(ISNUMBER($H95)),"N/A",IF($H95&lt;TODAY(),"Overdue",IF($H95&lt;=TODAY()+30,"Due within 1 Month",IF($H95&lt;=TODAY()+60,"Due within 2 Months","OK"))))))</f>
        <v>OK</v>
      </c>
      <c r="K95" s="13"/>
    </row>
    <row r="96" customFormat="false" ht="15" hidden="false" customHeight="false" outlineLevel="0" collapsed="false">
      <c r="A96" s="9" t="str">
        <f aca="false">Vessels!B5</f>
        <v>Vessel 01</v>
      </c>
      <c r="B96" s="9" t="s">
        <v>117</v>
      </c>
      <c r="C96" s="7" t="s">
        <v>134</v>
      </c>
      <c r="D96" s="9" t="s">
        <v>45</v>
      </c>
      <c r="E96" s="9" t="s">
        <v>44</v>
      </c>
      <c r="F96" s="5" t="n">
        <v>12</v>
      </c>
      <c r="G96" s="10" t="n">
        <v>46010</v>
      </c>
      <c r="H96" s="11" t="n">
        <f aca="false">IFERROR(IF($D96="Manual Review","",IF($G96="","",IF($D96="Direct Expiry",$G96,EDATE($G96,$F96)))),"Check Date")</f>
        <v>46375</v>
      </c>
      <c r="I96" s="12" t="n">
        <f aca="true">IF($H96="","",IF(ISNUMBER($H96),$H96-TODAY(),""))</f>
        <v>157</v>
      </c>
      <c r="J96" s="4" t="str">
        <f aca="true">IF($D96="Manual Review","Manual Review",IF($G96="","No Data",IF(NOT(ISNUMBER($H96)),"N/A",IF($H96&lt;TODAY(),"Overdue",IF($H96&lt;=TODAY()+30,"Due within 1 Month",IF($H96&lt;=TODAY()+60,"Due within 2 Months","OK"))))))</f>
        <v>OK</v>
      </c>
      <c r="K96" s="13"/>
    </row>
    <row r="97" customFormat="false" ht="15" hidden="false" customHeight="false" outlineLevel="0" collapsed="false">
      <c r="A97" s="9" t="str">
        <f aca="false">Vessels!B5</f>
        <v>Vessel 01</v>
      </c>
      <c r="B97" s="9" t="s">
        <v>117</v>
      </c>
      <c r="C97" s="7" t="s">
        <v>135</v>
      </c>
      <c r="D97" s="9" t="s">
        <v>45</v>
      </c>
      <c r="E97" s="9" t="s">
        <v>44</v>
      </c>
      <c r="F97" s="5" t="n">
        <v>12</v>
      </c>
      <c r="G97" s="10" t="n">
        <v>46010</v>
      </c>
      <c r="H97" s="11" t="n">
        <f aca="false">IFERROR(IF($D97="Manual Review","",IF($G97="","",IF($D97="Direct Expiry",$G97,EDATE($G97,$F97)))),"Check Date")</f>
        <v>46375</v>
      </c>
      <c r="I97" s="12" t="n">
        <f aca="true">IF($H97="","",IF(ISNUMBER($H97),$H97-TODAY(),""))</f>
        <v>157</v>
      </c>
      <c r="J97" s="4" t="str">
        <f aca="true">IF($D97="Manual Review","Manual Review",IF($G97="","No Data",IF(NOT(ISNUMBER($H97)),"N/A",IF($H97&lt;TODAY(),"Overdue",IF($H97&lt;=TODAY()+30,"Due within 1 Month",IF($H97&lt;=TODAY()+60,"Due within 2 Months","OK"))))))</f>
        <v>OK</v>
      </c>
      <c r="K97" s="13"/>
    </row>
    <row r="98" customFormat="false" ht="15" hidden="false" customHeight="false" outlineLevel="0" collapsed="false">
      <c r="A98" s="9" t="str">
        <f aca="false">Vessels!B5</f>
        <v>Vessel 01</v>
      </c>
      <c r="B98" s="9" t="s">
        <v>136</v>
      </c>
      <c r="C98" s="7" t="s">
        <v>137</v>
      </c>
      <c r="D98" s="9" t="s">
        <v>45</v>
      </c>
      <c r="E98" s="9" t="s">
        <v>44</v>
      </c>
      <c r="F98" s="5" t="n">
        <v>12</v>
      </c>
      <c r="G98" s="10" t="n">
        <v>45816</v>
      </c>
      <c r="H98" s="11" t="n">
        <f aca="false">IFERROR(IF($D98="Manual Review","",IF($G98="","",IF($D98="Direct Expiry",$G98,EDATE($G98,$F98)))),"Check Date")</f>
        <v>46181</v>
      </c>
      <c r="I98" s="12" t="n">
        <f aca="true">IF($H98="","",IF(ISNUMBER($H98),$H98-TODAY(),""))</f>
        <v>-37</v>
      </c>
      <c r="J98" s="4" t="str">
        <f aca="true">IF($D98="Manual Review","Manual Review",IF($G98="","No Data",IF(NOT(ISNUMBER($H98)),"N/A",IF($H98&lt;TODAY(),"Overdue",IF($H98&lt;=TODAY()+30,"Due within 1 Month",IF($H98&lt;=TODAY()+60,"Due within 2 Months","OK"))))))</f>
        <v>Overdue</v>
      </c>
      <c r="K98" s="13"/>
    </row>
    <row r="99" customFormat="false" ht="15" hidden="false" customHeight="false" outlineLevel="0" collapsed="false">
      <c r="A99" s="9" t="str">
        <f aca="false">Vessels!B5</f>
        <v>Vessel 01</v>
      </c>
      <c r="B99" s="9" t="s">
        <v>136</v>
      </c>
      <c r="C99" s="7" t="s">
        <v>138</v>
      </c>
      <c r="D99" s="9" t="s">
        <v>45</v>
      </c>
      <c r="E99" s="9" t="s">
        <v>44</v>
      </c>
      <c r="F99" s="5" t="n">
        <v>12</v>
      </c>
      <c r="G99" s="10" t="n">
        <v>45816</v>
      </c>
      <c r="H99" s="11" t="n">
        <f aca="false">IFERROR(IF($D99="Manual Review","",IF($G99="","",IF($D99="Direct Expiry",$G99,EDATE($G99,$F99)))),"Check Date")</f>
        <v>46181</v>
      </c>
      <c r="I99" s="12" t="n">
        <f aca="true">IF($H99="","",IF(ISNUMBER($H99),$H99-TODAY(),""))</f>
        <v>-37</v>
      </c>
      <c r="J99" s="4" t="str">
        <f aca="true">IF($D99="Manual Review","Manual Review",IF($G99="","No Data",IF(NOT(ISNUMBER($H99)),"N/A",IF($H99&lt;TODAY(),"Overdue",IF($H99&lt;=TODAY()+30,"Due within 1 Month",IF($H99&lt;=TODAY()+60,"Due within 2 Months","OK"))))))</f>
        <v>Overdue</v>
      </c>
      <c r="K99" s="13"/>
    </row>
    <row r="100" customFormat="false" ht="15" hidden="false" customHeight="false" outlineLevel="0" collapsed="false">
      <c r="A100" s="9" t="str">
        <f aca="false">Vessels!B5</f>
        <v>Vessel 01</v>
      </c>
      <c r="B100" s="9" t="s">
        <v>136</v>
      </c>
      <c r="C100" s="7" t="s">
        <v>139</v>
      </c>
      <c r="D100" s="9" t="s">
        <v>45</v>
      </c>
      <c r="E100" s="9" t="s">
        <v>140</v>
      </c>
      <c r="F100" s="5" t="n">
        <v>12</v>
      </c>
      <c r="G100" s="10" t="n">
        <v>45939</v>
      </c>
      <c r="H100" s="11" t="n">
        <f aca="false">IFERROR(IF($D100="Manual Review","",IF($G100="","",IF($D100="Direct Expiry",$G100,EDATE($G100,$F100)))),"Check Date")</f>
        <v>46304</v>
      </c>
      <c r="I100" s="12" t="n">
        <f aca="true">IF($H100="","",IF(ISNUMBER($H100),$H100-TODAY(),""))</f>
        <v>86</v>
      </c>
      <c r="J100" s="4" t="str">
        <f aca="true">IF($D100="Manual Review","Manual Review",IF($G100="","No Data",IF(NOT(ISNUMBER($H100)),"N/A",IF($H100&lt;TODAY(),"Overdue",IF($H100&lt;=TODAY()+30,"Due within 1 Month",IF($H100&lt;=TODAY()+60,"Due within 2 Months","OK"))))))</f>
        <v>OK</v>
      </c>
      <c r="K100" s="13"/>
    </row>
    <row r="101" customFormat="false" ht="15" hidden="false" customHeight="false" outlineLevel="0" collapsed="false">
      <c r="A101" s="9" t="str">
        <f aca="false">Vessels!B5</f>
        <v>Vessel 01</v>
      </c>
      <c r="B101" s="9" t="s">
        <v>136</v>
      </c>
      <c r="C101" s="7" t="s">
        <v>141</v>
      </c>
      <c r="D101" s="9" t="s">
        <v>45</v>
      </c>
      <c r="E101" s="9" t="s">
        <v>44</v>
      </c>
      <c r="F101" s="5" t="n">
        <v>12</v>
      </c>
      <c r="G101" s="10" t="n">
        <v>45882</v>
      </c>
      <c r="H101" s="11" t="n">
        <f aca="false">IFERROR(IF($D101="Manual Review","",IF($G101="","",IF($D101="Direct Expiry",$G101,EDATE($G101,$F101)))),"Check Date")</f>
        <v>46247</v>
      </c>
      <c r="I101" s="12" t="n">
        <f aca="true">IF($H101="","",IF(ISNUMBER($H101),$H101-TODAY(),""))</f>
        <v>29</v>
      </c>
      <c r="J101" s="4" t="str">
        <f aca="true">IF($D101="Manual Review","Manual Review",IF($G101="","No Data",IF(NOT(ISNUMBER($H101)),"N/A",IF($H101&lt;TODAY(),"Overdue",IF($H101&lt;=TODAY()+30,"Due within 1 Month",IF($H101&lt;=TODAY()+60,"Due within 2 Months","OK"))))))</f>
        <v>Due within 1 Month</v>
      </c>
      <c r="K101" s="13"/>
    </row>
    <row r="102" customFormat="false" ht="15" hidden="false" customHeight="false" outlineLevel="0" collapsed="false">
      <c r="A102" s="9" t="str">
        <f aca="false">Vessels!B5</f>
        <v>Vessel 01</v>
      </c>
      <c r="B102" s="9" t="s">
        <v>136</v>
      </c>
      <c r="C102" s="7" t="s">
        <v>142</v>
      </c>
      <c r="D102" s="9" t="s">
        <v>115</v>
      </c>
      <c r="E102" s="9" t="s">
        <v>143</v>
      </c>
      <c r="F102" s="5"/>
      <c r="G102" s="10"/>
      <c r="H102" s="11" t="str">
        <f aca="false">IFERROR(IF($D102="Manual Review","",IF($G102="","",IF($D102="Direct Expiry",$G102,EDATE($G102,$F102)))),"Check Date")</f>
        <v/>
      </c>
      <c r="I102" s="12" t="str">
        <f aca="true">IF($H102="","",IF(ISNUMBER($H102),$H102-TODAY(),""))</f>
        <v/>
      </c>
      <c r="J102" s="4" t="str">
        <f aca="true">IF($D102="Manual Review","Manual Review",IF($G102="","No Data",IF(NOT(ISNUMBER($H102)),"N/A",IF($H102&lt;TODAY(),"Overdue",IF($H102&lt;=TODAY()+30,"Due within 1 Month",IF($H102&lt;=TODAY()+60,"Due within 2 Months","OK"))))))</f>
        <v>Manual Review</v>
      </c>
      <c r="K102" s="13"/>
    </row>
    <row r="103" customFormat="false" ht="15" hidden="false" customHeight="false" outlineLevel="0" collapsed="false">
      <c r="A103" s="9" t="str">
        <f aca="false">Vessels!B5</f>
        <v>Vessel 01</v>
      </c>
      <c r="B103" s="9" t="s">
        <v>136</v>
      </c>
      <c r="C103" s="7" t="s">
        <v>144</v>
      </c>
      <c r="D103" s="9" t="s">
        <v>45</v>
      </c>
      <c r="E103" s="9" t="s">
        <v>44</v>
      </c>
      <c r="F103" s="5" t="n">
        <v>12</v>
      </c>
      <c r="G103" s="10" t="n">
        <v>45922</v>
      </c>
      <c r="H103" s="11" t="n">
        <f aca="false">IFERROR(IF($D103="Manual Review","",IF($G103="","",IF($D103="Direct Expiry",$G103,EDATE($G103,$F103)))),"Check Date")</f>
        <v>46287</v>
      </c>
      <c r="I103" s="12" t="n">
        <f aca="true">IF($H103="","",IF(ISNUMBER($H103),$H103-TODAY(),""))</f>
        <v>69</v>
      </c>
      <c r="J103" s="4" t="str">
        <f aca="true">IF($D103="Manual Review","Manual Review",IF($G103="","No Data",IF(NOT(ISNUMBER($H103)),"N/A",IF($H103&lt;TODAY(),"Overdue",IF($H103&lt;=TODAY()+30,"Due within 1 Month",IF($H103&lt;=TODAY()+60,"Due within 2 Months","OK"))))))</f>
        <v>OK</v>
      </c>
      <c r="K103" s="13"/>
    </row>
    <row r="104" customFormat="false" ht="15" hidden="false" customHeight="false" outlineLevel="0" collapsed="false">
      <c r="A104" s="9" t="str">
        <f aca="false">Vessels!B5</f>
        <v>Vessel 01</v>
      </c>
      <c r="B104" s="9" t="s">
        <v>136</v>
      </c>
      <c r="C104" s="7" t="s">
        <v>145</v>
      </c>
      <c r="D104" s="9" t="s">
        <v>45</v>
      </c>
      <c r="E104" s="9" t="s">
        <v>44</v>
      </c>
      <c r="F104" s="5" t="n">
        <v>12</v>
      </c>
      <c r="G104" s="10" t="n">
        <v>46054</v>
      </c>
      <c r="H104" s="11" t="n">
        <f aca="false">IFERROR(IF($D104="Manual Review","",IF($G104="","",IF($D104="Direct Expiry",$G104,EDATE($G104,$F104)))),"Check Date")</f>
        <v>46419</v>
      </c>
      <c r="I104" s="12" t="n">
        <f aca="true">IF($H104="","",IF(ISNUMBER($H104),$H104-TODAY(),""))</f>
        <v>201</v>
      </c>
      <c r="J104" s="4" t="str">
        <f aca="true">IF($D104="Manual Review","Manual Review",IF($G104="","No Data",IF(NOT(ISNUMBER($H104)),"N/A",IF($H104&lt;TODAY(),"Overdue",IF($H104&lt;=TODAY()+30,"Due within 1 Month",IF($H104&lt;=TODAY()+60,"Due within 2 Months","OK"))))))</f>
        <v>OK</v>
      </c>
      <c r="K104" s="13"/>
    </row>
    <row r="105" customFormat="false" ht="15" hidden="false" customHeight="false" outlineLevel="0" collapsed="false">
      <c r="A105" s="9" t="str">
        <f aca="false">Vessels!B5</f>
        <v>Vessel 01</v>
      </c>
      <c r="B105" s="9" t="s">
        <v>136</v>
      </c>
      <c r="C105" s="7" t="s">
        <v>146</v>
      </c>
      <c r="D105" s="9" t="s">
        <v>45</v>
      </c>
      <c r="E105" s="9" t="s">
        <v>44</v>
      </c>
      <c r="F105" s="5" t="n">
        <v>12</v>
      </c>
      <c r="G105" s="10"/>
      <c r="H105" s="11" t="str">
        <f aca="false">IFERROR(IF($D105="Manual Review","",IF($G105="","",IF($D105="Direct Expiry",$G105,EDATE($G105,$F105)))),"Check Date")</f>
        <v/>
      </c>
      <c r="I105" s="12" t="str">
        <f aca="true">IF($H105="","",IF(ISNUMBER($H105),$H105-TODAY(),""))</f>
        <v/>
      </c>
      <c r="J105" s="4" t="str">
        <f aca="true">IF($D105="Manual Review","Manual Review",IF($G105="","No Data",IF(NOT(ISNUMBER($H105)),"N/A",IF($H105&lt;TODAY(),"Overdue",IF($H105&lt;=TODAY()+30,"Due within 1 Month",IF($H105&lt;=TODAY()+60,"Due within 2 Months","OK"))))))</f>
        <v>No Data</v>
      </c>
      <c r="K105" s="13"/>
    </row>
    <row r="106" customFormat="false" ht="15" hidden="false" customHeight="false" outlineLevel="0" collapsed="false">
      <c r="A106" s="9" t="str">
        <f aca="false">Vessels!B5</f>
        <v>Vessel 01</v>
      </c>
      <c r="B106" s="9" t="s">
        <v>136</v>
      </c>
      <c r="C106" s="7" t="s">
        <v>147</v>
      </c>
      <c r="D106" s="9" t="s">
        <v>45</v>
      </c>
      <c r="E106" s="9" t="s">
        <v>44</v>
      </c>
      <c r="F106" s="5" t="n">
        <v>12</v>
      </c>
      <c r="G106" s="10"/>
      <c r="H106" s="11" t="str">
        <f aca="false">IFERROR(IF($D106="Manual Review","",IF($G106="","",IF($D106="Direct Expiry",$G106,EDATE($G106,$F106)))),"Check Date")</f>
        <v/>
      </c>
      <c r="I106" s="12" t="str">
        <f aca="true">IF($H106="","",IF(ISNUMBER($H106),$H106-TODAY(),""))</f>
        <v/>
      </c>
      <c r="J106" s="4" t="str">
        <f aca="true">IF($D106="Manual Review","Manual Review",IF($G106="","No Data",IF(NOT(ISNUMBER($H106)),"N/A",IF($H106&lt;TODAY(),"Overdue",IF($H106&lt;=TODAY()+30,"Due within 1 Month",IF($H106&lt;=TODAY()+60,"Due within 2 Months","OK"))))))</f>
        <v>No Data</v>
      </c>
      <c r="K106" s="13"/>
    </row>
    <row r="107" customFormat="false" ht="15" hidden="false" customHeight="false" outlineLevel="0" collapsed="false">
      <c r="A107" s="9" t="str">
        <f aca="false">Vessels!B5</f>
        <v>Vessel 01</v>
      </c>
      <c r="B107" s="9" t="s">
        <v>136</v>
      </c>
      <c r="C107" s="7" t="s">
        <v>148</v>
      </c>
      <c r="D107" s="9" t="s">
        <v>45</v>
      </c>
      <c r="E107" s="9" t="s">
        <v>44</v>
      </c>
      <c r="F107" s="5" t="n">
        <v>12</v>
      </c>
      <c r="G107" s="10"/>
      <c r="H107" s="11" t="str">
        <f aca="false">IFERROR(IF($D107="Manual Review","",IF($G107="","",IF($D107="Direct Expiry",$G107,EDATE($G107,$F107)))),"Check Date")</f>
        <v/>
      </c>
      <c r="I107" s="12" t="str">
        <f aca="true">IF($H107="","",IF(ISNUMBER($H107),$H107-TODAY(),""))</f>
        <v/>
      </c>
      <c r="J107" s="4" t="str">
        <f aca="true">IF($D107="Manual Review","Manual Review",IF($G107="","No Data",IF(NOT(ISNUMBER($H107)),"N/A",IF($H107&lt;TODAY(),"Overdue",IF($H107&lt;=TODAY()+30,"Due within 1 Month",IF($H107&lt;=TODAY()+60,"Due within 2 Months","OK"))))))</f>
        <v>No Data</v>
      </c>
      <c r="K107" s="13"/>
    </row>
    <row r="108" customFormat="false" ht="15" hidden="false" customHeight="false" outlineLevel="0" collapsed="false">
      <c r="A108" s="9" t="str">
        <f aca="false">Vessels!B5</f>
        <v>Vessel 01</v>
      </c>
      <c r="B108" s="9" t="s">
        <v>136</v>
      </c>
      <c r="C108" s="7" t="s">
        <v>149</v>
      </c>
      <c r="D108" s="9" t="s">
        <v>45</v>
      </c>
      <c r="E108" s="9" t="s">
        <v>44</v>
      </c>
      <c r="F108" s="5" t="n">
        <v>12</v>
      </c>
      <c r="G108" s="10" t="n">
        <v>45816</v>
      </c>
      <c r="H108" s="11" t="n">
        <f aca="false">IFERROR(IF($D108="Manual Review","",IF($G108="","",IF($D108="Direct Expiry",$G108,EDATE($G108,$F108)))),"Check Date")</f>
        <v>46181</v>
      </c>
      <c r="I108" s="12" t="n">
        <f aca="true">IF($H108="","",IF(ISNUMBER($H108),$H108-TODAY(),""))</f>
        <v>-37</v>
      </c>
      <c r="J108" s="4" t="str">
        <f aca="true">IF($D108="Manual Review","Manual Review",IF($G108="","No Data",IF(NOT(ISNUMBER($H108)),"N/A",IF($H108&lt;TODAY(),"Overdue",IF($H108&lt;=TODAY()+30,"Due within 1 Month",IF($H108&lt;=TODAY()+60,"Due within 2 Months","OK"))))))</f>
        <v>Overdue</v>
      </c>
      <c r="K108" s="13"/>
    </row>
    <row r="109" customFormat="false" ht="15" hidden="false" customHeight="false" outlineLevel="0" collapsed="false">
      <c r="A109" s="9" t="str">
        <f aca="false">Vessels!B5</f>
        <v>Vessel 01</v>
      </c>
      <c r="B109" s="9" t="s">
        <v>136</v>
      </c>
      <c r="C109" s="7" t="s">
        <v>150</v>
      </c>
      <c r="D109" s="9" t="s">
        <v>45</v>
      </c>
      <c r="E109" s="9" t="s">
        <v>44</v>
      </c>
      <c r="F109" s="5" t="n">
        <v>12</v>
      </c>
      <c r="G109" s="10"/>
      <c r="H109" s="11" t="str">
        <f aca="false">IFERROR(IF($D109="Manual Review","",IF($G109="","",IF($D109="Direct Expiry",$G109,EDATE($G109,$F109)))),"Check Date")</f>
        <v/>
      </c>
      <c r="I109" s="12" t="str">
        <f aca="true">IF($H109="","",IF(ISNUMBER($H109),$H109-TODAY(),""))</f>
        <v/>
      </c>
      <c r="J109" s="4" t="str">
        <f aca="true">IF($D109="Manual Review","Manual Review",IF($G109="","No Data",IF(NOT(ISNUMBER($H109)),"N/A",IF($H109&lt;TODAY(),"Overdue",IF($H109&lt;=TODAY()+30,"Due within 1 Month",IF($H109&lt;=TODAY()+60,"Due within 2 Months","OK"))))))</f>
        <v>No Data</v>
      </c>
      <c r="K109" s="13"/>
    </row>
    <row r="110" customFormat="false" ht="15" hidden="false" customHeight="false" outlineLevel="0" collapsed="false">
      <c r="A110" s="9" t="str">
        <f aca="false">Vessels!B5</f>
        <v>Vessel 01</v>
      </c>
      <c r="B110" s="9" t="s">
        <v>136</v>
      </c>
      <c r="C110" s="7" t="s">
        <v>151</v>
      </c>
      <c r="D110" s="9" t="s">
        <v>45</v>
      </c>
      <c r="E110" s="9" t="s">
        <v>44</v>
      </c>
      <c r="F110" s="5" t="n">
        <v>12</v>
      </c>
      <c r="G110" s="10"/>
      <c r="H110" s="11" t="str">
        <f aca="false">IFERROR(IF($D110="Manual Review","",IF($G110="","",IF($D110="Direct Expiry",$G110,EDATE($G110,$F110)))),"Check Date")</f>
        <v/>
      </c>
      <c r="I110" s="12" t="str">
        <f aca="true">IF($H110="","",IF(ISNUMBER($H110),$H110-TODAY(),""))</f>
        <v/>
      </c>
      <c r="J110" s="4" t="str">
        <f aca="true">IF($D110="Manual Review","Manual Review",IF($G110="","No Data",IF(NOT(ISNUMBER($H110)),"N/A",IF($H110&lt;TODAY(),"Overdue",IF($H110&lt;=TODAY()+30,"Due within 1 Month",IF($H110&lt;=TODAY()+60,"Due within 2 Months","OK"))))))</f>
        <v>No Data</v>
      </c>
      <c r="K110" s="13"/>
    </row>
    <row r="111" customFormat="false" ht="15" hidden="false" customHeight="false" outlineLevel="0" collapsed="false">
      <c r="A111" s="9" t="str">
        <f aca="false">Vessels!B5</f>
        <v>Vessel 01</v>
      </c>
      <c r="B111" s="9" t="s">
        <v>136</v>
      </c>
      <c r="C111" s="7" t="s">
        <v>152</v>
      </c>
      <c r="D111" s="9" t="s">
        <v>45</v>
      </c>
      <c r="E111" s="9" t="s">
        <v>44</v>
      </c>
      <c r="F111" s="5" t="n">
        <v>12</v>
      </c>
      <c r="G111" s="10"/>
      <c r="H111" s="11" t="str">
        <f aca="false">IFERROR(IF($D111="Manual Review","",IF($G111="","",IF($D111="Direct Expiry",$G111,EDATE($G111,$F111)))),"Check Date")</f>
        <v/>
      </c>
      <c r="I111" s="12" t="str">
        <f aca="true">IF($H111="","",IF(ISNUMBER($H111),$H111-TODAY(),""))</f>
        <v/>
      </c>
      <c r="J111" s="4" t="str">
        <f aca="true">IF($D111="Manual Review","Manual Review",IF($G111="","No Data",IF(NOT(ISNUMBER($H111)),"N/A",IF($H111&lt;TODAY(),"Overdue",IF($H111&lt;=TODAY()+30,"Due within 1 Month",IF($H111&lt;=TODAY()+60,"Due within 2 Months","OK"))))))</f>
        <v>No Data</v>
      </c>
      <c r="K111" s="13"/>
    </row>
    <row r="112" customFormat="false" ht="15" hidden="false" customHeight="false" outlineLevel="0" collapsed="false">
      <c r="A112" s="9" t="str">
        <f aca="false">Vessels!B5</f>
        <v>Vessel 01</v>
      </c>
      <c r="B112" s="9" t="s">
        <v>136</v>
      </c>
      <c r="C112" s="7" t="s">
        <v>153</v>
      </c>
      <c r="D112" s="9" t="s">
        <v>45</v>
      </c>
      <c r="E112" s="9" t="s">
        <v>44</v>
      </c>
      <c r="F112" s="5" t="n">
        <v>12</v>
      </c>
      <c r="G112" s="10"/>
      <c r="H112" s="11" t="str">
        <f aca="false">IFERROR(IF($D112="Manual Review","",IF($G112="","",IF($D112="Direct Expiry",$G112,EDATE($G112,$F112)))),"Check Date")</f>
        <v/>
      </c>
      <c r="I112" s="12" t="str">
        <f aca="true">IF($H112="","",IF(ISNUMBER($H112),$H112-TODAY(),""))</f>
        <v/>
      </c>
      <c r="J112" s="4" t="str">
        <f aca="true">IF($D112="Manual Review","Manual Review",IF($G112="","No Data",IF(NOT(ISNUMBER($H112)),"N/A",IF($H112&lt;TODAY(),"Overdue",IF($H112&lt;=TODAY()+30,"Due within 1 Month",IF($H112&lt;=TODAY()+60,"Due within 2 Months","OK"))))))</f>
        <v>No Data</v>
      </c>
      <c r="K112" s="13"/>
    </row>
    <row r="113" customFormat="false" ht="15" hidden="false" customHeight="false" outlineLevel="0" collapsed="false">
      <c r="A113" s="9" t="str">
        <f aca="false">Vessels!B5</f>
        <v>Vessel 01</v>
      </c>
      <c r="B113" s="9" t="s">
        <v>136</v>
      </c>
      <c r="C113" s="7" t="s">
        <v>154</v>
      </c>
      <c r="D113" s="9" t="s">
        <v>45</v>
      </c>
      <c r="E113" s="9" t="s">
        <v>44</v>
      </c>
      <c r="F113" s="5" t="n">
        <v>12</v>
      </c>
      <c r="G113" s="10" t="n">
        <v>46010</v>
      </c>
      <c r="H113" s="11" t="n">
        <f aca="false">IFERROR(IF($D113="Manual Review","",IF($G113="","",IF($D113="Direct Expiry",$G113,EDATE($G113,$F113)))),"Check Date")</f>
        <v>46375</v>
      </c>
      <c r="I113" s="12" t="n">
        <f aca="true">IF($H113="","",IF(ISNUMBER($H113),$H113-TODAY(),""))</f>
        <v>157</v>
      </c>
      <c r="J113" s="4" t="str">
        <f aca="true">IF($D113="Manual Review","Manual Review",IF($G113="","No Data",IF(NOT(ISNUMBER($H113)),"N/A",IF($H113&lt;TODAY(),"Overdue",IF($H113&lt;=TODAY()+30,"Due within 1 Month",IF($H113&lt;=TODAY()+60,"Due within 2 Months","OK"))))))</f>
        <v>OK</v>
      </c>
      <c r="K113" s="13"/>
    </row>
    <row r="114" customFormat="false" ht="15" hidden="false" customHeight="false" outlineLevel="0" collapsed="false">
      <c r="A114" s="9" t="str">
        <f aca="false">Vessels!B5</f>
        <v>Vessel 01</v>
      </c>
      <c r="B114" s="9" t="s">
        <v>136</v>
      </c>
      <c r="C114" s="7" t="s">
        <v>155</v>
      </c>
      <c r="D114" s="9" t="s">
        <v>45</v>
      </c>
      <c r="E114" s="9" t="s">
        <v>44</v>
      </c>
      <c r="F114" s="5" t="n">
        <v>12</v>
      </c>
      <c r="G114" s="10" t="n">
        <v>46020</v>
      </c>
      <c r="H114" s="11" t="n">
        <f aca="false">IFERROR(IF($D114="Manual Review","",IF($G114="","",IF($D114="Direct Expiry",$G114,EDATE($G114,$F114)))),"Check Date")</f>
        <v>46385</v>
      </c>
      <c r="I114" s="12" t="n">
        <f aca="true">IF($H114="","",IF(ISNUMBER($H114),$H114-TODAY(),""))</f>
        <v>167</v>
      </c>
      <c r="J114" s="4" t="str">
        <f aca="true">IF($D114="Manual Review","Manual Review",IF($G114="","No Data",IF(NOT(ISNUMBER($H114)),"N/A",IF($H114&lt;TODAY(),"Overdue",IF($H114&lt;=TODAY()+30,"Due within 1 Month",IF($H114&lt;=TODAY()+60,"Due within 2 Months","OK"))))))</f>
        <v>OK</v>
      </c>
      <c r="K114" s="13"/>
    </row>
    <row r="115" customFormat="false" ht="15" hidden="false" customHeight="false" outlineLevel="0" collapsed="false">
      <c r="A115" s="9" t="str">
        <f aca="false">Vessels!B5</f>
        <v>Vessel 01</v>
      </c>
      <c r="B115" s="9" t="s">
        <v>136</v>
      </c>
      <c r="C115" s="7" t="s">
        <v>156</v>
      </c>
      <c r="D115" s="9" t="s">
        <v>45</v>
      </c>
      <c r="E115" s="9" t="s">
        <v>44</v>
      </c>
      <c r="F115" s="5" t="n">
        <v>12</v>
      </c>
      <c r="G115" s="10"/>
      <c r="H115" s="11" t="str">
        <f aca="false">IFERROR(IF($D115="Manual Review","",IF($G115="","",IF($D115="Direct Expiry",$G115,EDATE($G115,$F115)))),"Check Date")</f>
        <v/>
      </c>
      <c r="I115" s="12" t="str">
        <f aca="true">IF($H115="","",IF(ISNUMBER($H115),$H115-TODAY(),""))</f>
        <v/>
      </c>
      <c r="J115" s="4" t="str">
        <f aca="true">IF($D115="Manual Review","Manual Review",IF($G115="","No Data",IF(NOT(ISNUMBER($H115)),"N/A",IF($H115&lt;TODAY(),"Overdue",IF($H115&lt;=TODAY()+30,"Due within 1 Month",IF($H115&lt;=TODAY()+60,"Due within 2 Months","OK"))))))</f>
        <v>No Data</v>
      </c>
      <c r="K115" s="13"/>
    </row>
    <row r="116" customFormat="false" ht="15" hidden="false" customHeight="false" outlineLevel="0" collapsed="false">
      <c r="A116" s="9" t="str">
        <f aca="false">Vessels!B5</f>
        <v>Vessel 01</v>
      </c>
      <c r="B116" s="9" t="s">
        <v>136</v>
      </c>
      <c r="C116" s="7" t="s">
        <v>157</v>
      </c>
      <c r="D116" s="9" t="s">
        <v>45</v>
      </c>
      <c r="E116" s="9" t="s">
        <v>44</v>
      </c>
      <c r="F116" s="5" t="n">
        <v>12</v>
      </c>
      <c r="G116" s="10" t="n">
        <v>45816</v>
      </c>
      <c r="H116" s="11" t="n">
        <f aca="false">IFERROR(IF($D116="Manual Review","",IF($G116="","",IF($D116="Direct Expiry",$G116,EDATE($G116,$F116)))),"Check Date")</f>
        <v>46181</v>
      </c>
      <c r="I116" s="12" t="n">
        <f aca="true">IF($H116="","",IF(ISNUMBER($H116),$H116-TODAY(),""))</f>
        <v>-37</v>
      </c>
      <c r="J116" s="4" t="str">
        <f aca="true">IF($D116="Manual Review","Manual Review",IF($G116="","No Data",IF(NOT(ISNUMBER($H116)),"N/A",IF($H116&lt;TODAY(),"Overdue",IF($H116&lt;=TODAY()+30,"Due within 1 Month",IF($H116&lt;=TODAY()+60,"Due within 2 Months","OK"))))))</f>
        <v>Overdue</v>
      </c>
      <c r="K116" s="13"/>
    </row>
    <row r="117" customFormat="false" ht="15" hidden="false" customHeight="false" outlineLevel="0" collapsed="false">
      <c r="A117" s="9" t="str">
        <f aca="false">Vessels!B6</f>
        <v>Vessel 02</v>
      </c>
      <c r="B117" s="9" t="s">
        <v>42</v>
      </c>
      <c r="C117" s="7" t="s">
        <v>43</v>
      </c>
      <c r="D117" s="9" t="s">
        <v>45</v>
      </c>
      <c r="E117" s="9" t="s">
        <v>44</v>
      </c>
      <c r="F117" s="5" t="n">
        <v>12</v>
      </c>
      <c r="G117" s="10"/>
      <c r="H117" s="11" t="str">
        <f aca="false">IFERROR(IF($D117="Manual Review","",IF($G117="","",IF($D117="Direct Expiry",$G117,EDATE($G117,$F117)))),"Check Date")</f>
        <v/>
      </c>
      <c r="I117" s="12" t="str">
        <f aca="true">IF($H117="","",IF(ISNUMBER($H117),$H117-TODAY(),""))</f>
        <v/>
      </c>
      <c r="J117" s="4" t="str">
        <f aca="true">IF($D117="Manual Review","Manual Review",IF($G117="","No Data",IF(NOT(ISNUMBER($H117)),"N/A",IF($H117&lt;TODAY(),"Overdue",IF($H117&lt;=TODAY()+30,"Due within 1 Month",IF($H117&lt;=TODAY()+60,"Due within 2 Months","OK"))))))</f>
        <v>No Data</v>
      </c>
      <c r="K117" s="13"/>
    </row>
    <row r="118" customFormat="false" ht="15" hidden="false" customHeight="false" outlineLevel="0" collapsed="false">
      <c r="A118" s="9" t="str">
        <f aca="false">Vessels!B6</f>
        <v>Vessel 02</v>
      </c>
      <c r="B118" s="9" t="s">
        <v>42</v>
      </c>
      <c r="C118" s="7" t="s">
        <v>43</v>
      </c>
      <c r="D118" s="9" t="s">
        <v>45</v>
      </c>
      <c r="E118" s="9" t="s">
        <v>46</v>
      </c>
      <c r="F118" s="5" t="n">
        <v>60</v>
      </c>
      <c r="G118" s="10"/>
      <c r="H118" s="11" t="str">
        <f aca="false">IFERROR(IF($D118="Manual Review","",IF($G118="","",IF($D118="Direct Expiry",$G118,EDATE($G118,$F118)))),"Check Date")</f>
        <v/>
      </c>
      <c r="I118" s="12" t="str">
        <f aca="true">IF($H118="","",IF(ISNUMBER($H118),$H118-TODAY(),""))</f>
        <v/>
      </c>
      <c r="J118" s="4" t="str">
        <f aca="true">IF($D118="Manual Review","Manual Review",IF($G118="","No Data",IF(NOT(ISNUMBER($H118)),"N/A",IF($H118&lt;TODAY(),"Overdue",IF($H118&lt;=TODAY()+30,"Due within 1 Month",IF($H118&lt;=TODAY()+60,"Due within 2 Months","OK"))))))</f>
        <v>No Data</v>
      </c>
      <c r="K118" s="13"/>
    </row>
    <row r="119" customFormat="false" ht="15" hidden="false" customHeight="false" outlineLevel="0" collapsed="false">
      <c r="A119" s="9" t="str">
        <f aca="false">Vessels!B6</f>
        <v>Vessel 02</v>
      </c>
      <c r="B119" s="9" t="s">
        <v>42</v>
      </c>
      <c r="C119" s="7" t="s">
        <v>47</v>
      </c>
      <c r="D119" s="9" t="s">
        <v>45</v>
      </c>
      <c r="E119" s="9" t="s">
        <v>44</v>
      </c>
      <c r="F119" s="5" t="n">
        <v>12</v>
      </c>
      <c r="G119" s="10"/>
      <c r="H119" s="11" t="str">
        <f aca="false">IFERROR(IF($D119="Manual Review","",IF($G119="","",IF($D119="Direct Expiry",$G119,EDATE($G119,$F119)))),"Check Date")</f>
        <v/>
      </c>
      <c r="I119" s="12" t="str">
        <f aca="true">IF($H119="","",IF(ISNUMBER($H119),$H119-TODAY(),""))</f>
        <v/>
      </c>
      <c r="J119" s="4" t="str">
        <f aca="true">IF($D119="Manual Review","Manual Review",IF($G119="","No Data",IF(NOT(ISNUMBER($H119)),"N/A",IF($H119&lt;TODAY(),"Overdue",IF($H119&lt;=TODAY()+30,"Due within 1 Month",IF($H119&lt;=TODAY()+60,"Due within 2 Months","OK"))))))</f>
        <v>No Data</v>
      </c>
      <c r="K119" s="13"/>
    </row>
    <row r="120" customFormat="false" ht="15" hidden="false" customHeight="false" outlineLevel="0" collapsed="false">
      <c r="A120" s="9" t="str">
        <f aca="false">Vessels!B6</f>
        <v>Vessel 02</v>
      </c>
      <c r="B120" s="9" t="s">
        <v>42</v>
      </c>
      <c r="C120" s="7" t="s">
        <v>47</v>
      </c>
      <c r="D120" s="9" t="s">
        <v>45</v>
      </c>
      <c r="E120" s="9" t="s">
        <v>46</v>
      </c>
      <c r="F120" s="5" t="n">
        <v>60</v>
      </c>
      <c r="G120" s="10"/>
      <c r="H120" s="11" t="str">
        <f aca="false">IFERROR(IF($D120="Manual Review","",IF($G120="","",IF($D120="Direct Expiry",$G120,EDATE($G120,$F120)))),"Check Date")</f>
        <v/>
      </c>
      <c r="I120" s="12" t="str">
        <f aca="true">IF($H120="","",IF(ISNUMBER($H120),$H120-TODAY(),""))</f>
        <v/>
      </c>
      <c r="J120" s="4" t="str">
        <f aca="true">IF($D120="Manual Review","Manual Review",IF($G120="","No Data",IF(NOT(ISNUMBER($H120)),"N/A",IF($H120&lt;TODAY(),"Overdue",IF($H120&lt;=TODAY()+30,"Due within 1 Month",IF($H120&lt;=TODAY()+60,"Due within 2 Months","OK"))))))</f>
        <v>No Data</v>
      </c>
      <c r="K120" s="13"/>
    </row>
    <row r="121" customFormat="false" ht="15" hidden="false" customHeight="false" outlineLevel="0" collapsed="false">
      <c r="A121" s="9" t="str">
        <f aca="false">Vessels!B6</f>
        <v>Vessel 02</v>
      </c>
      <c r="B121" s="9" t="s">
        <v>42</v>
      </c>
      <c r="C121" s="7" t="s">
        <v>48</v>
      </c>
      <c r="D121" s="9" t="s">
        <v>45</v>
      </c>
      <c r="E121" s="9" t="s">
        <v>44</v>
      </c>
      <c r="F121" s="5" t="n">
        <v>12</v>
      </c>
      <c r="G121" s="10"/>
      <c r="H121" s="11" t="str">
        <f aca="false">IFERROR(IF($D121="Manual Review","",IF($G121="","",IF($D121="Direct Expiry",$G121,EDATE($G121,$F121)))),"Check Date")</f>
        <v/>
      </c>
      <c r="I121" s="12" t="str">
        <f aca="true">IF($H121="","",IF(ISNUMBER($H121),$H121-TODAY(),""))</f>
        <v/>
      </c>
      <c r="J121" s="4" t="str">
        <f aca="true">IF($D121="Manual Review","Manual Review",IF($G121="","No Data",IF(NOT(ISNUMBER($H121)),"N/A",IF($H121&lt;TODAY(),"Overdue",IF($H121&lt;=TODAY()+30,"Due within 1 Month",IF($H121&lt;=TODAY()+60,"Due within 2 Months","OK"))))))</f>
        <v>No Data</v>
      </c>
      <c r="K121" s="13"/>
    </row>
    <row r="122" customFormat="false" ht="15" hidden="false" customHeight="false" outlineLevel="0" collapsed="false">
      <c r="A122" s="9" t="str">
        <f aca="false">Vessels!B6</f>
        <v>Vessel 02</v>
      </c>
      <c r="B122" s="9" t="s">
        <v>42</v>
      </c>
      <c r="C122" s="7" t="s">
        <v>48</v>
      </c>
      <c r="D122" s="9" t="s">
        <v>45</v>
      </c>
      <c r="E122" s="9" t="s">
        <v>49</v>
      </c>
      <c r="F122" s="5" t="n">
        <v>60</v>
      </c>
      <c r="G122" s="10"/>
      <c r="H122" s="11" t="str">
        <f aca="false">IFERROR(IF($D122="Manual Review","",IF($G122="","",IF($D122="Direct Expiry",$G122,EDATE($G122,$F122)))),"Check Date")</f>
        <v/>
      </c>
      <c r="I122" s="12" t="str">
        <f aca="true">IF($H122="","",IF(ISNUMBER($H122),$H122-TODAY(),""))</f>
        <v/>
      </c>
      <c r="J122" s="4" t="str">
        <f aca="true">IF($D122="Manual Review","Manual Review",IF($G122="","No Data",IF(NOT(ISNUMBER($H122)),"N/A",IF($H122&lt;TODAY(),"Overdue",IF($H122&lt;=TODAY()+30,"Due within 1 Month",IF($H122&lt;=TODAY()+60,"Due within 2 Months","OK"))))))</f>
        <v>No Data</v>
      </c>
      <c r="K122" s="13"/>
    </row>
    <row r="123" customFormat="false" ht="15" hidden="false" customHeight="false" outlineLevel="0" collapsed="false">
      <c r="A123" s="9" t="str">
        <f aca="false">Vessels!B6</f>
        <v>Vessel 02</v>
      </c>
      <c r="B123" s="9" t="s">
        <v>42</v>
      </c>
      <c r="C123" s="7" t="s">
        <v>50</v>
      </c>
      <c r="D123" s="9" t="s">
        <v>45</v>
      </c>
      <c r="E123" s="9" t="s">
        <v>44</v>
      </c>
      <c r="F123" s="5" t="n">
        <v>12</v>
      </c>
      <c r="G123" s="10"/>
      <c r="H123" s="11" t="str">
        <f aca="false">IFERROR(IF($D123="Manual Review","",IF($G123="","",IF($D123="Direct Expiry",$G123,EDATE($G123,$F123)))),"Check Date")</f>
        <v/>
      </c>
      <c r="I123" s="12" t="str">
        <f aca="true">IF($H123="","",IF(ISNUMBER($H123),$H123-TODAY(),""))</f>
        <v/>
      </c>
      <c r="J123" s="4" t="str">
        <f aca="true">IF($D123="Manual Review","Manual Review",IF($G123="","No Data",IF(NOT(ISNUMBER($H123)),"N/A",IF($H123&lt;TODAY(),"Overdue",IF($H123&lt;=TODAY()+30,"Due within 1 Month",IF($H123&lt;=TODAY()+60,"Due within 2 Months","OK"))))))</f>
        <v>No Data</v>
      </c>
      <c r="K123" s="13"/>
    </row>
    <row r="124" customFormat="false" ht="15" hidden="false" customHeight="false" outlineLevel="0" collapsed="false">
      <c r="A124" s="9" t="str">
        <f aca="false">Vessels!B6</f>
        <v>Vessel 02</v>
      </c>
      <c r="B124" s="9" t="s">
        <v>42</v>
      </c>
      <c r="C124" s="7" t="s">
        <v>50</v>
      </c>
      <c r="D124" s="9" t="s">
        <v>45</v>
      </c>
      <c r="E124" s="9" t="s">
        <v>49</v>
      </c>
      <c r="F124" s="5" t="n">
        <v>60</v>
      </c>
      <c r="G124" s="10"/>
      <c r="H124" s="11" t="str">
        <f aca="false">IFERROR(IF($D124="Manual Review","",IF($G124="","",IF($D124="Direct Expiry",$G124,EDATE($G124,$F124)))),"Check Date")</f>
        <v/>
      </c>
      <c r="I124" s="12" t="str">
        <f aca="true">IF($H124="","",IF(ISNUMBER($H124),$H124-TODAY(),""))</f>
        <v/>
      </c>
      <c r="J124" s="4" t="str">
        <f aca="true">IF($D124="Manual Review","Manual Review",IF($G124="","No Data",IF(NOT(ISNUMBER($H124)),"N/A",IF($H124&lt;TODAY(),"Overdue",IF($H124&lt;=TODAY()+30,"Due within 1 Month",IF($H124&lt;=TODAY()+60,"Due within 2 Months","OK"))))))</f>
        <v>No Data</v>
      </c>
      <c r="K124" s="13"/>
    </row>
    <row r="125" customFormat="false" ht="15" hidden="false" customHeight="false" outlineLevel="0" collapsed="false">
      <c r="A125" s="9" t="str">
        <f aca="false">Vessels!B6</f>
        <v>Vessel 02</v>
      </c>
      <c r="B125" s="9" t="s">
        <v>42</v>
      </c>
      <c r="C125" s="7" t="s">
        <v>51</v>
      </c>
      <c r="D125" s="9" t="s">
        <v>45</v>
      </c>
      <c r="E125" s="9" t="s">
        <v>46</v>
      </c>
      <c r="F125" s="5" t="n">
        <v>60</v>
      </c>
      <c r="G125" s="10"/>
      <c r="H125" s="11" t="str">
        <f aca="false">IFERROR(IF($D125="Manual Review","",IF($G125="","",IF($D125="Direct Expiry",$G125,EDATE($G125,$F125)))),"Check Date")</f>
        <v/>
      </c>
      <c r="I125" s="12" t="str">
        <f aca="true">IF($H125="","",IF(ISNUMBER($H125),$H125-TODAY(),""))</f>
        <v/>
      </c>
      <c r="J125" s="4" t="str">
        <f aca="true">IF($D125="Manual Review","Manual Review",IF($G125="","No Data",IF(NOT(ISNUMBER($H125)),"N/A",IF($H125&lt;TODAY(),"Overdue",IF($H125&lt;=TODAY()+30,"Due within 1 Month",IF($H125&lt;=TODAY()+60,"Due within 2 Months","OK"))))))</f>
        <v>No Data</v>
      </c>
      <c r="K125" s="13"/>
    </row>
    <row r="126" customFormat="false" ht="15" hidden="false" customHeight="false" outlineLevel="0" collapsed="false">
      <c r="A126" s="9" t="str">
        <f aca="false">Vessels!B6</f>
        <v>Vessel 02</v>
      </c>
      <c r="B126" s="9" t="s">
        <v>42</v>
      </c>
      <c r="C126" s="7" t="s">
        <v>52</v>
      </c>
      <c r="D126" s="9" t="s">
        <v>45</v>
      </c>
      <c r="E126" s="9" t="s">
        <v>46</v>
      </c>
      <c r="F126" s="5" t="n">
        <v>60</v>
      </c>
      <c r="G126" s="10"/>
      <c r="H126" s="11" t="str">
        <f aca="false">IFERROR(IF($D126="Manual Review","",IF($G126="","",IF($D126="Direct Expiry",$G126,EDATE($G126,$F126)))),"Check Date")</f>
        <v/>
      </c>
      <c r="I126" s="12" t="str">
        <f aca="true">IF($H126="","",IF(ISNUMBER($H126),$H126-TODAY(),""))</f>
        <v/>
      </c>
      <c r="J126" s="4" t="str">
        <f aca="true">IF($D126="Manual Review","Manual Review",IF($G126="","No Data",IF(NOT(ISNUMBER($H126)),"N/A",IF($H126&lt;TODAY(),"Overdue",IF($H126&lt;=TODAY()+30,"Due within 1 Month",IF($H126&lt;=TODAY()+60,"Due within 2 Months","OK"))))))</f>
        <v>No Data</v>
      </c>
      <c r="K126" s="13"/>
    </row>
    <row r="127" customFormat="false" ht="15" hidden="false" customHeight="false" outlineLevel="0" collapsed="false">
      <c r="A127" s="9" t="str">
        <f aca="false">Vessels!B6</f>
        <v>Vessel 02</v>
      </c>
      <c r="B127" s="9" t="s">
        <v>42</v>
      </c>
      <c r="C127" s="7" t="s">
        <v>53</v>
      </c>
      <c r="D127" s="9" t="s">
        <v>45</v>
      </c>
      <c r="E127" s="9" t="s">
        <v>46</v>
      </c>
      <c r="F127" s="5" t="n">
        <v>60</v>
      </c>
      <c r="G127" s="10"/>
      <c r="H127" s="11" t="str">
        <f aca="false">IFERROR(IF($D127="Manual Review","",IF($G127="","",IF($D127="Direct Expiry",$G127,EDATE($G127,$F127)))),"Check Date")</f>
        <v/>
      </c>
      <c r="I127" s="12" t="str">
        <f aca="true">IF($H127="","",IF(ISNUMBER($H127),$H127-TODAY(),""))</f>
        <v/>
      </c>
      <c r="J127" s="4" t="str">
        <f aca="true">IF($D127="Manual Review","Manual Review",IF($G127="","No Data",IF(NOT(ISNUMBER($H127)),"N/A",IF($H127&lt;TODAY(),"Overdue",IF($H127&lt;=TODAY()+30,"Due within 1 Month",IF($H127&lt;=TODAY()+60,"Due within 2 Months","OK"))))))</f>
        <v>No Data</v>
      </c>
      <c r="K127" s="13"/>
    </row>
    <row r="128" customFormat="false" ht="15" hidden="false" customHeight="false" outlineLevel="0" collapsed="false">
      <c r="A128" s="9" t="str">
        <f aca="false">Vessels!B6</f>
        <v>Vessel 02</v>
      </c>
      <c r="B128" s="9" t="s">
        <v>42</v>
      </c>
      <c r="C128" s="7" t="s">
        <v>54</v>
      </c>
      <c r="D128" s="9" t="s">
        <v>45</v>
      </c>
      <c r="E128" s="9" t="s">
        <v>46</v>
      </c>
      <c r="F128" s="5" t="n">
        <v>60</v>
      </c>
      <c r="G128" s="10"/>
      <c r="H128" s="11" t="str">
        <f aca="false">IFERROR(IF($D128="Manual Review","",IF($G128="","",IF($D128="Direct Expiry",$G128,EDATE($G128,$F128)))),"Check Date")</f>
        <v/>
      </c>
      <c r="I128" s="12" t="str">
        <f aca="true">IF($H128="","",IF(ISNUMBER($H128),$H128-TODAY(),""))</f>
        <v/>
      </c>
      <c r="J128" s="4" t="str">
        <f aca="true">IF($D128="Manual Review","Manual Review",IF($G128="","No Data",IF(NOT(ISNUMBER($H128)),"N/A",IF($H128&lt;TODAY(),"Overdue",IF($H128&lt;=TODAY()+30,"Due within 1 Month",IF($H128&lt;=TODAY()+60,"Due within 2 Months","OK"))))))</f>
        <v>No Data</v>
      </c>
      <c r="K128" s="13"/>
    </row>
    <row r="129" customFormat="false" ht="15" hidden="false" customHeight="false" outlineLevel="0" collapsed="false">
      <c r="A129" s="9" t="str">
        <f aca="false">Vessels!B6</f>
        <v>Vessel 02</v>
      </c>
      <c r="B129" s="9" t="s">
        <v>42</v>
      </c>
      <c r="C129" s="7" t="s">
        <v>55</v>
      </c>
      <c r="D129" s="9" t="s">
        <v>45</v>
      </c>
      <c r="E129" s="9" t="s">
        <v>46</v>
      </c>
      <c r="F129" s="5" t="n">
        <v>60</v>
      </c>
      <c r="G129" s="10"/>
      <c r="H129" s="11" t="str">
        <f aca="false">IFERROR(IF($D129="Manual Review","",IF($G129="","",IF($D129="Direct Expiry",$G129,EDATE($G129,$F129)))),"Check Date")</f>
        <v/>
      </c>
      <c r="I129" s="12" t="str">
        <f aca="true">IF($H129="","",IF(ISNUMBER($H129),$H129-TODAY(),""))</f>
        <v/>
      </c>
      <c r="J129" s="4" t="str">
        <f aca="true">IF($D129="Manual Review","Manual Review",IF($G129="","No Data",IF(NOT(ISNUMBER($H129)),"N/A",IF($H129&lt;TODAY(),"Overdue",IF($H129&lt;=TODAY()+30,"Due within 1 Month",IF($H129&lt;=TODAY()+60,"Due within 2 Months","OK"))))))</f>
        <v>No Data</v>
      </c>
      <c r="K129" s="13"/>
    </row>
    <row r="130" customFormat="false" ht="15" hidden="false" customHeight="false" outlineLevel="0" collapsed="false">
      <c r="A130" s="9" t="str">
        <f aca="false">Vessels!B6</f>
        <v>Vessel 02</v>
      </c>
      <c r="B130" s="9" t="s">
        <v>42</v>
      </c>
      <c r="C130" s="7" t="s">
        <v>56</v>
      </c>
      <c r="D130" s="9" t="s">
        <v>45</v>
      </c>
      <c r="E130" s="9" t="s">
        <v>46</v>
      </c>
      <c r="F130" s="5" t="n">
        <v>60</v>
      </c>
      <c r="G130" s="10"/>
      <c r="H130" s="11" t="str">
        <f aca="false">IFERROR(IF($D130="Manual Review","",IF($G130="","",IF($D130="Direct Expiry",$G130,EDATE($G130,$F130)))),"Check Date")</f>
        <v/>
      </c>
      <c r="I130" s="12" t="str">
        <f aca="true">IF($H130="","",IF(ISNUMBER($H130),$H130-TODAY(),""))</f>
        <v/>
      </c>
      <c r="J130" s="4" t="str">
        <f aca="true">IF($D130="Manual Review","Manual Review",IF($G130="","No Data",IF(NOT(ISNUMBER($H130)),"N/A",IF($H130&lt;TODAY(),"Overdue",IF($H130&lt;=TODAY()+30,"Due within 1 Month",IF($H130&lt;=TODAY()+60,"Due within 2 Months","OK"))))))</f>
        <v>No Data</v>
      </c>
      <c r="K130" s="13"/>
    </row>
    <row r="131" customFormat="false" ht="15" hidden="false" customHeight="false" outlineLevel="0" collapsed="false">
      <c r="A131" s="9" t="str">
        <f aca="false">Vessels!B6</f>
        <v>Vessel 02</v>
      </c>
      <c r="B131" s="9" t="s">
        <v>42</v>
      </c>
      <c r="C131" s="7" t="s">
        <v>57</v>
      </c>
      <c r="D131" s="9" t="s">
        <v>59</v>
      </c>
      <c r="E131" s="9" t="s">
        <v>58</v>
      </c>
      <c r="F131" s="5"/>
      <c r="G131" s="10"/>
      <c r="H131" s="11" t="str">
        <f aca="false">IFERROR(IF($D131="Manual Review","",IF($G131="","",IF($D131="Direct Expiry",$G131,EDATE($G131,$F131)))),"Check Date")</f>
        <v/>
      </c>
      <c r="I131" s="12" t="str">
        <f aca="true">IF($H131="","",IF(ISNUMBER($H131),$H131-TODAY(),""))</f>
        <v/>
      </c>
      <c r="J131" s="4" t="str">
        <f aca="true">IF($D131="Manual Review","Manual Review",IF($G131="","No Data",IF(NOT(ISNUMBER($H131)),"N/A",IF($H131&lt;TODAY(),"Overdue",IF($H131&lt;=TODAY()+30,"Due within 1 Month",IF($H131&lt;=TODAY()+60,"Due within 2 Months","OK"))))))</f>
        <v>No Data</v>
      </c>
      <c r="K131" s="13"/>
    </row>
    <row r="132" customFormat="false" ht="15" hidden="false" customHeight="false" outlineLevel="0" collapsed="false">
      <c r="A132" s="9" t="str">
        <f aca="false">Vessels!B6</f>
        <v>Vessel 02</v>
      </c>
      <c r="B132" s="9" t="s">
        <v>42</v>
      </c>
      <c r="C132" s="7" t="s">
        <v>60</v>
      </c>
      <c r="D132" s="9" t="s">
        <v>45</v>
      </c>
      <c r="E132" s="9" t="s">
        <v>44</v>
      </c>
      <c r="F132" s="5" t="n">
        <v>12</v>
      </c>
      <c r="G132" s="10"/>
      <c r="H132" s="11" t="str">
        <f aca="false">IFERROR(IF($D132="Manual Review","",IF($G132="","",IF($D132="Direct Expiry",$G132,EDATE($G132,$F132)))),"Check Date")</f>
        <v/>
      </c>
      <c r="I132" s="12" t="str">
        <f aca="true">IF($H132="","",IF(ISNUMBER($H132),$H132-TODAY(),""))</f>
        <v/>
      </c>
      <c r="J132" s="4" t="str">
        <f aca="true">IF($D132="Manual Review","Manual Review",IF($G132="","No Data",IF(NOT(ISNUMBER($H132)),"N/A",IF($H132&lt;TODAY(),"Overdue",IF($H132&lt;=TODAY()+30,"Due within 1 Month",IF($H132&lt;=TODAY()+60,"Due within 2 Months","OK"))))))</f>
        <v>No Data</v>
      </c>
      <c r="K132" s="13"/>
    </row>
    <row r="133" customFormat="false" ht="15" hidden="false" customHeight="false" outlineLevel="0" collapsed="false">
      <c r="A133" s="9" t="str">
        <f aca="false">Vessels!B6</f>
        <v>Vessel 02</v>
      </c>
      <c r="B133" s="9" t="s">
        <v>42</v>
      </c>
      <c r="C133" s="7" t="s">
        <v>60</v>
      </c>
      <c r="D133" s="9" t="s">
        <v>45</v>
      </c>
      <c r="E133" s="9" t="s">
        <v>46</v>
      </c>
      <c r="F133" s="5" t="n">
        <v>60</v>
      </c>
      <c r="G133" s="10"/>
      <c r="H133" s="11" t="str">
        <f aca="false">IFERROR(IF($D133="Manual Review","",IF($G133="","",IF($D133="Direct Expiry",$G133,EDATE($G133,$F133)))),"Check Date")</f>
        <v/>
      </c>
      <c r="I133" s="12" t="str">
        <f aca="true">IF($H133="","",IF(ISNUMBER($H133),$H133-TODAY(),""))</f>
        <v/>
      </c>
      <c r="J133" s="4" t="str">
        <f aca="true">IF($D133="Manual Review","Manual Review",IF($G133="","No Data",IF(NOT(ISNUMBER($H133)),"N/A",IF($H133&lt;TODAY(),"Overdue",IF($H133&lt;=TODAY()+30,"Due within 1 Month",IF($H133&lt;=TODAY()+60,"Due within 2 Months","OK"))))))</f>
        <v>No Data</v>
      </c>
      <c r="K133" s="13"/>
    </row>
    <row r="134" customFormat="false" ht="15" hidden="false" customHeight="false" outlineLevel="0" collapsed="false">
      <c r="A134" s="9" t="str">
        <f aca="false">Vessels!B6</f>
        <v>Vessel 02</v>
      </c>
      <c r="B134" s="9" t="s">
        <v>42</v>
      </c>
      <c r="C134" s="7" t="s">
        <v>61</v>
      </c>
      <c r="D134" s="9" t="s">
        <v>45</v>
      </c>
      <c r="E134" s="9" t="s">
        <v>44</v>
      </c>
      <c r="F134" s="5" t="n">
        <v>12</v>
      </c>
      <c r="G134" s="10"/>
      <c r="H134" s="11" t="str">
        <f aca="false">IFERROR(IF($D134="Manual Review","",IF($G134="","",IF($D134="Direct Expiry",$G134,EDATE($G134,$F134)))),"Check Date")</f>
        <v/>
      </c>
      <c r="I134" s="12" t="str">
        <f aca="true">IF($H134="","",IF(ISNUMBER($H134),$H134-TODAY(),""))</f>
        <v/>
      </c>
      <c r="J134" s="4" t="str">
        <f aca="true">IF($D134="Manual Review","Manual Review",IF($G134="","No Data",IF(NOT(ISNUMBER($H134)),"N/A",IF($H134&lt;TODAY(),"Overdue",IF($H134&lt;=TODAY()+30,"Due within 1 Month",IF($H134&lt;=TODAY()+60,"Due within 2 Months","OK"))))))</f>
        <v>No Data</v>
      </c>
      <c r="K134" s="13"/>
    </row>
    <row r="135" customFormat="false" ht="15" hidden="false" customHeight="false" outlineLevel="0" collapsed="false">
      <c r="A135" s="9" t="str">
        <f aca="false">Vessels!B6</f>
        <v>Vessel 02</v>
      </c>
      <c r="B135" s="9" t="s">
        <v>42</v>
      </c>
      <c r="C135" s="7" t="s">
        <v>61</v>
      </c>
      <c r="D135" s="9" t="s">
        <v>45</v>
      </c>
      <c r="E135" s="9" t="s">
        <v>46</v>
      </c>
      <c r="F135" s="5" t="n">
        <v>60</v>
      </c>
      <c r="G135" s="10"/>
      <c r="H135" s="11" t="str">
        <f aca="false">IFERROR(IF($D135="Manual Review","",IF($G135="","",IF($D135="Direct Expiry",$G135,EDATE($G135,$F135)))),"Check Date")</f>
        <v/>
      </c>
      <c r="I135" s="12" t="str">
        <f aca="true">IF($H135="","",IF(ISNUMBER($H135),$H135-TODAY(),""))</f>
        <v/>
      </c>
      <c r="J135" s="4" t="str">
        <f aca="true">IF($D135="Manual Review","Manual Review",IF($G135="","No Data",IF(NOT(ISNUMBER($H135)),"N/A",IF($H135&lt;TODAY(),"Overdue",IF($H135&lt;=TODAY()+30,"Due within 1 Month",IF($H135&lt;=TODAY()+60,"Due within 2 Months","OK"))))))</f>
        <v>No Data</v>
      </c>
      <c r="K135" s="13"/>
    </row>
    <row r="136" customFormat="false" ht="15" hidden="false" customHeight="false" outlineLevel="0" collapsed="false">
      <c r="A136" s="9" t="str">
        <f aca="false">Vessels!B6</f>
        <v>Vessel 02</v>
      </c>
      <c r="B136" s="9" t="s">
        <v>42</v>
      </c>
      <c r="C136" s="7" t="s">
        <v>62</v>
      </c>
      <c r="D136" s="9" t="s">
        <v>45</v>
      </c>
      <c r="E136" s="9" t="s">
        <v>44</v>
      </c>
      <c r="F136" s="5" t="n">
        <v>12</v>
      </c>
      <c r="G136" s="10"/>
      <c r="H136" s="11" t="str">
        <f aca="false">IFERROR(IF($D136="Manual Review","",IF($G136="","",IF($D136="Direct Expiry",$G136,EDATE($G136,$F136)))),"Check Date")</f>
        <v/>
      </c>
      <c r="I136" s="12" t="str">
        <f aca="true">IF($H136="","",IF(ISNUMBER($H136),$H136-TODAY(),""))</f>
        <v/>
      </c>
      <c r="J136" s="4" t="str">
        <f aca="true">IF($D136="Manual Review","Manual Review",IF($G136="","No Data",IF(NOT(ISNUMBER($H136)),"N/A",IF($H136&lt;TODAY(),"Overdue",IF($H136&lt;=TODAY()+30,"Due within 1 Month",IF($H136&lt;=TODAY()+60,"Due within 2 Months","OK"))))))</f>
        <v>No Data</v>
      </c>
      <c r="K136" s="13"/>
    </row>
    <row r="137" customFormat="false" ht="15" hidden="false" customHeight="false" outlineLevel="0" collapsed="false">
      <c r="A137" s="9" t="str">
        <f aca="false">Vessels!B6</f>
        <v>Vessel 02</v>
      </c>
      <c r="B137" s="9" t="s">
        <v>42</v>
      </c>
      <c r="C137" s="7" t="s">
        <v>62</v>
      </c>
      <c r="D137" s="9" t="s">
        <v>45</v>
      </c>
      <c r="E137" s="9" t="s">
        <v>49</v>
      </c>
      <c r="F137" s="5" t="n">
        <v>60</v>
      </c>
      <c r="G137" s="10"/>
      <c r="H137" s="11" t="str">
        <f aca="false">IFERROR(IF($D137="Manual Review","",IF($G137="","",IF($D137="Direct Expiry",$G137,EDATE($G137,$F137)))),"Check Date")</f>
        <v/>
      </c>
      <c r="I137" s="12" t="str">
        <f aca="true">IF($H137="","",IF(ISNUMBER($H137),$H137-TODAY(),""))</f>
        <v/>
      </c>
      <c r="J137" s="4" t="str">
        <f aca="true">IF($D137="Manual Review","Manual Review",IF($G137="","No Data",IF(NOT(ISNUMBER($H137)),"N/A",IF($H137&lt;TODAY(),"Overdue",IF($H137&lt;=TODAY()+30,"Due within 1 Month",IF($H137&lt;=TODAY()+60,"Due within 2 Months","OK"))))))</f>
        <v>No Data</v>
      </c>
      <c r="K137" s="13"/>
    </row>
    <row r="138" customFormat="false" ht="15" hidden="false" customHeight="false" outlineLevel="0" collapsed="false">
      <c r="A138" s="9" t="str">
        <f aca="false">Vessels!B6</f>
        <v>Vessel 02</v>
      </c>
      <c r="B138" s="9" t="s">
        <v>42</v>
      </c>
      <c r="C138" s="7" t="s">
        <v>63</v>
      </c>
      <c r="D138" s="9" t="s">
        <v>45</v>
      </c>
      <c r="E138" s="9" t="s">
        <v>44</v>
      </c>
      <c r="F138" s="5" t="n">
        <v>12</v>
      </c>
      <c r="G138" s="10"/>
      <c r="H138" s="11" t="str">
        <f aca="false">IFERROR(IF($D138="Manual Review","",IF($G138="","",IF($D138="Direct Expiry",$G138,EDATE($G138,$F138)))),"Check Date")</f>
        <v/>
      </c>
      <c r="I138" s="12" t="str">
        <f aca="true">IF($H138="","",IF(ISNUMBER($H138),$H138-TODAY(),""))</f>
        <v/>
      </c>
      <c r="J138" s="4" t="str">
        <f aca="true">IF($D138="Manual Review","Manual Review",IF($G138="","No Data",IF(NOT(ISNUMBER($H138)),"N/A",IF($H138&lt;TODAY(),"Overdue",IF($H138&lt;=TODAY()+30,"Due within 1 Month",IF($H138&lt;=TODAY()+60,"Due within 2 Months","OK"))))))</f>
        <v>No Data</v>
      </c>
      <c r="K138" s="13"/>
    </row>
    <row r="139" customFormat="false" ht="15" hidden="false" customHeight="false" outlineLevel="0" collapsed="false">
      <c r="A139" s="9" t="str">
        <f aca="false">Vessels!B6</f>
        <v>Vessel 02</v>
      </c>
      <c r="B139" s="9" t="s">
        <v>42</v>
      </c>
      <c r="C139" s="7" t="s">
        <v>63</v>
      </c>
      <c r="D139" s="9" t="s">
        <v>45</v>
      </c>
      <c r="E139" s="9" t="s">
        <v>49</v>
      </c>
      <c r="F139" s="5" t="n">
        <v>60</v>
      </c>
      <c r="G139" s="10"/>
      <c r="H139" s="11" t="str">
        <f aca="false">IFERROR(IF($D139="Manual Review","",IF($G139="","",IF($D139="Direct Expiry",$G139,EDATE($G139,$F139)))),"Check Date")</f>
        <v/>
      </c>
      <c r="I139" s="12" t="str">
        <f aca="true">IF($H139="","",IF(ISNUMBER($H139),$H139-TODAY(),""))</f>
        <v/>
      </c>
      <c r="J139" s="4" t="str">
        <f aca="true">IF($D139="Manual Review","Manual Review",IF($G139="","No Data",IF(NOT(ISNUMBER($H139)),"N/A",IF($H139&lt;TODAY(),"Overdue",IF($H139&lt;=TODAY()+30,"Due within 1 Month",IF($H139&lt;=TODAY()+60,"Due within 2 Months","OK"))))))</f>
        <v>No Data</v>
      </c>
      <c r="K139" s="13"/>
    </row>
    <row r="140" customFormat="false" ht="15" hidden="false" customHeight="false" outlineLevel="0" collapsed="false">
      <c r="A140" s="9" t="str">
        <f aca="false">Vessels!B6</f>
        <v>Vessel 02</v>
      </c>
      <c r="B140" s="9" t="s">
        <v>42</v>
      </c>
      <c r="C140" s="7" t="s">
        <v>64</v>
      </c>
      <c r="D140" s="9" t="s">
        <v>45</v>
      </c>
      <c r="E140" s="9" t="s">
        <v>46</v>
      </c>
      <c r="F140" s="5" t="n">
        <v>60</v>
      </c>
      <c r="G140" s="10"/>
      <c r="H140" s="11" t="str">
        <f aca="false">IFERROR(IF($D140="Manual Review","",IF($G140="","",IF($D140="Direct Expiry",$G140,EDATE($G140,$F140)))),"Check Date")</f>
        <v/>
      </c>
      <c r="I140" s="12" t="str">
        <f aca="true">IF($H140="","",IF(ISNUMBER($H140),$H140-TODAY(),""))</f>
        <v/>
      </c>
      <c r="J140" s="4" t="str">
        <f aca="true">IF($D140="Manual Review","Manual Review",IF($G140="","No Data",IF(NOT(ISNUMBER($H140)),"N/A",IF($H140&lt;TODAY(),"Overdue",IF($H140&lt;=TODAY()+30,"Due within 1 Month",IF($H140&lt;=TODAY()+60,"Due within 2 Months","OK"))))))</f>
        <v>No Data</v>
      </c>
      <c r="K140" s="13"/>
    </row>
    <row r="141" customFormat="false" ht="15" hidden="false" customHeight="false" outlineLevel="0" collapsed="false">
      <c r="A141" s="9" t="str">
        <f aca="false">Vessels!B6</f>
        <v>Vessel 02</v>
      </c>
      <c r="B141" s="9" t="s">
        <v>42</v>
      </c>
      <c r="C141" s="7" t="s">
        <v>65</v>
      </c>
      <c r="D141" s="9" t="s">
        <v>45</v>
      </c>
      <c r="E141" s="9" t="s">
        <v>46</v>
      </c>
      <c r="F141" s="5" t="n">
        <v>60</v>
      </c>
      <c r="G141" s="10"/>
      <c r="H141" s="11" t="str">
        <f aca="false">IFERROR(IF($D141="Manual Review","",IF($G141="","",IF($D141="Direct Expiry",$G141,EDATE($G141,$F141)))),"Check Date")</f>
        <v/>
      </c>
      <c r="I141" s="12" t="str">
        <f aca="true">IF($H141="","",IF(ISNUMBER($H141),$H141-TODAY(),""))</f>
        <v/>
      </c>
      <c r="J141" s="4" t="str">
        <f aca="true">IF($D141="Manual Review","Manual Review",IF($G141="","No Data",IF(NOT(ISNUMBER($H141)),"N/A",IF($H141&lt;TODAY(),"Overdue",IF($H141&lt;=TODAY()+30,"Due within 1 Month",IF($H141&lt;=TODAY()+60,"Due within 2 Months","OK"))))))</f>
        <v>No Data</v>
      </c>
      <c r="K141" s="13"/>
    </row>
    <row r="142" customFormat="false" ht="15" hidden="false" customHeight="false" outlineLevel="0" collapsed="false">
      <c r="A142" s="9" t="str">
        <f aca="false">Vessels!B6</f>
        <v>Vessel 02</v>
      </c>
      <c r="B142" s="9" t="s">
        <v>42</v>
      </c>
      <c r="C142" s="7" t="s">
        <v>66</v>
      </c>
      <c r="D142" s="9" t="s">
        <v>45</v>
      </c>
      <c r="E142" s="9" t="s">
        <v>46</v>
      </c>
      <c r="F142" s="5" t="n">
        <v>60</v>
      </c>
      <c r="G142" s="10"/>
      <c r="H142" s="11" t="str">
        <f aca="false">IFERROR(IF($D142="Manual Review","",IF($G142="","",IF($D142="Direct Expiry",$G142,EDATE($G142,$F142)))),"Check Date")</f>
        <v/>
      </c>
      <c r="I142" s="12" t="str">
        <f aca="true">IF($H142="","",IF(ISNUMBER($H142),$H142-TODAY(),""))</f>
        <v/>
      </c>
      <c r="J142" s="4" t="str">
        <f aca="true">IF($D142="Manual Review","Manual Review",IF($G142="","No Data",IF(NOT(ISNUMBER($H142)),"N/A",IF($H142&lt;TODAY(),"Overdue",IF($H142&lt;=TODAY()+30,"Due within 1 Month",IF($H142&lt;=TODAY()+60,"Due within 2 Months","OK"))))))</f>
        <v>No Data</v>
      </c>
      <c r="K142" s="13"/>
    </row>
    <row r="143" customFormat="false" ht="15" hidden="false" customHeight="false" outlineLevel="0" collapsed="false">
      <c r="A143" s="9" t="str">
        <f aca="false">Vessels!B6</f>
        <v>Vessel 02</v>
      </c>
      <c r="B143" s="9" t="s">
        <v>42</v>
      </c>
      <c r="C143" s="7" t="s">
        <v>67</v>
      </c>
      <c r="D143" s="9" t="s">
        <v>45</v>
      </c>
      <c r="E143" s="9" t="s">
        <v>46</v>
      </c>
      <c r="F143" s="5" t="n">
        <v>60</v>
      </c>
      <c r="G143" s="10"/>
      <c r="H143" s="11" t="str">
        <f aca="false">IFERROR(IF($D143="Manual Review","",IF($G143="","",IF($D143="Direct Expiry",$G143,EDATE($G143,$F143)))),"Check Date")</f>
        <v/>
      </c>
      <c r="I143" s="12" t="str">
        <f aca="true">IF($H143="","",IF(ISNUMBER($H143),$H143-TODAY(),""))</f>
        <v/>
      </c>
      <c r="J143" s="4" t="str">
        <f aca="true">IF($D143="Manual Review","Manual Review",IF($G143="","No Data",IF(NOT(ISNUMBER($H143)),"N/A",IF($H143&lt;TODAY(),"Overdue",IF($H143&lt;=TODAY()+30,"Due within 1 Month",IF($H143&lt;=TODAY()+60,"Due within 2 Months","OK"))))))</f>
        <v>No Data</v>
      </c>
      <c r="K143" s="13"/>
    </row>
    <row r="144" customFormat="false" ht="15" hidden="false" customHeight="false" outlineLevel="0" collapsed="false">
      <c r="A144" s="9" t="str">
        <f aca="false">Vessels!B6</f>
        <v>Vessel 02</v>
      </c>
      <c r="B144" s="9" t="s">
        <v>42</v>
      </c>
      <c r="C144" s="7" t="s">
        <v>68</v>
      </c>
      <c r="D144" s="9" t="s">
        <v>45</v>
      </c>
      <c r="E144" s="9" t="s">
        <v>46</v>
      </c>
      <c r="F144" s="5" t="n">
        <v>60</v>
      </c>
      <c r="G144" s="10"/>
      <c r="H144" s="11" t="str">
        <f aca="false">IFERROR(IF($D144="Manual Review","",IF($G144="","",IF($D144="Direct Expiry",$G144,EDATE($G144,$F144)))),"Check Date")</f>
        <v/>
      </c>
      <c r="I144" s="12" t="str">
        <f aca="true">IF($H144="","",IF(ISNUMBER($H144),$H144-TODAY(),""))</f>
        <v/>
      </c>
      <c r="J144" s="4" t="str">
        <f aca="true">IF($D144="Manual Review","Manual Review",IF($G144="","No Data",IF(NOT(ISNUMBER($H144)),"N/A",IF($H144&lt;TODAY(),"Overdue",IF($H144&lt;=TODAY()+30,"Due within 1 Month",IF($H144&lt;=TODAY()+60,"Due within 2 Months","OK"))))))</f>
        <v>No Data</v>
      </c>
      <c r="K144" s="13"/>
    </row>
    <row r="145" customFormat="false" ht="15" hidden="false" customHeight="false" outlineLevel="0" collapsed="false">
      <c r="A145" s="9" t="str">
        <f aca="false">Vessels!B6</f>
        <v>Vessel 02</v>
      </c>
      <c r="B145" s="9" t="s">
        <v>42</v>
      </c>
      <c r="C145" s="7" t="s">
        <v>69</v>
      </c>
      <c r="D145" s="9" t="s">
        <v>45</v>
      </c>
      <c r="E145" s="9" t="s">
        <v>46</v>
      </c>
      <c r="F145" s="5" t="n">
        <v>60</v>
      </c>
      <c r="G145" s="10"/>
      <c r="H145" s="11" t="str">
        <f aca="false">IFERROR(IF($D145="Manual Review","",IF($G145="","",IF($D145="Direct Expiry",$G145,EDATE($G145,$F145)))),"Check Date")</f>
        <v/>
      </c>
      <c r="I145" s="12" t="str">
        <f aca="true">IF($H145="","",IF(ISNUMBER($H145),$H145-TODAY(),""))</f>
        <v/>
      </c>
      <c r="J145" s="4" t="str">
        <f aca="true">IF($D145="Manual Review","Manual Review",IF($G145="","No Data",IF(NOT(ISNUMBER($H145)),"N/A",IF($H145&lt;TODAY(),"Overdue",IF($H145&lt;=TODAY()+30,"Due within 1 Month",IF($H145&lt;=TODAY()+60,"Due within 2 Months","OK"))))))</f>
        <v>No Data</v>
      </c>
      <c r="K145" s="13"/>
    </row>
    <row r="146" customFormat="false" ht="15" hidden="false" customHeight="false" outlineLevel="0" collapsed="false">
      <c r="A146" s="9" t="str">
        <f aca="false">Vessels!B6</f>
        <v>Vessel 02</v>
      </c>
      <c r="B146" s="9" t="s">
        <v>42</v>
      </c>
      <c r="C146" s="7" t="s">
        <v>70</v>
      </c>
      <c r="D146" s="9" t="s">
        <v>59</v>
      </c>
      <c r="E146" s="9" t="s">
        <v>58</v>
      </c>
      <c r="F146" s="5"/>
      <c r="G146" s="10"/>
      <c r="H146" s="11" t="str">
        <f aca="false">IFERROR(IF($D146="Manual Review","",IF($G146="","",IF($D146="Direct Expiry",$G146,EDATE($G146,$F146)))),"Check Date")</f>
        <v/>
      </c>
      <c r="I146" s="12" t="str">
        <f aca="true">IF($H146="","",IF(ISNUMBER($H146),$H146-TODAY(),""))</f>
        <v/>
      </c>
      <c r="J146" s="4" t="str">
        <f aca="true">IF($D146="Manual Review","Manual Review",IF($G146="","No Data",IF(NOT(ISNUMBER($H146)),"N/A",IF($H146&lt;TODAY(),"Overdue",IF($H146&lt;=TODAY()+30,"Due within 1 Month",IF($H146&lt;=TODAY()+60,"Due within 2 Months","OK"))))))</f>
        <v>No Data</v>
      </c>
      <c r="K146" s="13"/>
    </row>
    <row r="147" customFormat="false" ht="15" hidden="false" customHeight="false" outlineLevel="0" collapsed="false">
      <c r="A147" s="9" t="str">
        <f aca="false">Vessels!B6</f>
        <v>Vessel 02</v>
      </c>
      <c r="B147" s="9" t="s">
        <v>42</v>
      </c>
      <c r="C147" s="7" t="s">
        <v>71</v>
      </c>
      <c r="D147" s="9" t="s">
        <v>45</v>
      </c>
      <c r="E147" s="9" t="s">
        <v>44</v>
      </c>
      <c r="F147" s="5" t="n">
        <v>12</v>
      </c>
      <c r="G147" s="10"/>
      <c r="H147" s="11" t="str">
        <f aca="false">IFERROR(IF($D147="Manual Review","",IF($G147="","",IF($D147="Direct Expiry",$G147,EDATE($G147,$F147)))),"Check Date")</f>
        <v/>
      </c>
      <c r="I147" s="12" t="str">
        <f aca="true">IF($H147="","",IF(ISNUMBER($H147),$H147-TODAY(),""))</f>
        <v/>
      </c>
      <c r="J147" s="4" t="str">
        <f aca="true">IF($D147="Manual Review","Manual Review",IF($G147="","No Data",IF(NOT(ISNUMBER($H147)),"N/A",IF($H147&lt;TODAY(),"Overdue",IF($H147&lt;=TODAY()+30,"Due within 1 Month",IF($H147&lt;=TODAY()+60,"Due within 2 Months","OK"))))))</f>
        <v>No Data</v>
      </c>
      <c r="K147" s="13"/>
    </row>
    <row r="148" customFormat="false" ht="15" hidden="false" customHeight="false" outlineLevel="0" collapsed="false">
      <c r="A148" s="9" t="str">
        <f aca="false">Vessels!B6</f>
        <v>Vessel 02</v>
      </c>
      <c r="B148" s="9" t="s">
        <v>42</v>
      </c>
      <c r="C148" s="7" t="s">
        <v>72</v>
      </c>
      <c r="D148" s="9" t="s">
        <v>59</v>
      </c>
      <c r="E148" s="9" t="s">
        <v>58</v>
      </c>
      <c r="F148" s="5"/>
      <c r="G148" s="10"/>
      <c r="H148" s="11" t="str">
        <f aca="false">IFERROR(IF($D148="Manual Review","",IF($G148="","",IF($D148="Direct Expiry",$G148,EDATE($G148,$F148)))),"Check Date")</f>
        <v/>
      </c>
      <c r="I148" s="12" t="str">
        <f aca="true">IF($H148="","",IF(ISNUMBER($H148),$H148-TODAY(),""))</f>
        <v/>
      </c>
      <c r="J148" s="4" t="str">
        <f aca="true">IF($D148="Manual Review","Manual Review",IF($G148="","No Data",IF(NOT(ISNUMBER($H148)),"N/A",IF($H148&lt;TODAY(),"Overdue",IF($H148&lt;=TODAY()+30,"Due within 1 Month",IF($H148&lt;=TODAY()+60,"Due within 2 Months","OK"))))))</f>
        <v>No Data</v>
      </c>
      <c r="K148" s="13"/>
    </row>
    <row r="149" customFormat="false" ht="15" hidden="false" customHeight="false" outlineLevel="0" collapsed="false">
      <c r="A149" s="9" t="str">
        <f aca="false">Vessels!B6</f>
        <v>Vessel 02</v>
      </c>
      <c r="B149" s="9" t="s">
        <v>42</v>
      </c>
      <c r="C149" s="7" t="s">
        <v>73</v>
      </c>
      <c r="D149" s="9" t="s">
        <v>45</v>
      </c>
      <c r="E149" s="9" t="s">
        <v>44</v>
      </c>
      <c r="F149" s="5" t="n">
        <v>12</v>
      </c>
      <c r="G149" s="10"/>
      <c r="H149" s="11" t="str">
        <f aca="false">IFERROR(IF($D149="Manual Review","",IF($G149="","",IF($D149="Direct Expiry",$G149,EDATE($G149,$F149)))),"Check Date")</f>
        <v/>
      </c>
      <c r="I149" s="12" t="str">
        <f aca="true">IF($H149="","",IF(ISNUMBER($H149),$H149-TODAY(),""))</f>
        <v/>
      </c>
      <c r="J149" s="4" t="str">
        <f aca="true">IF($D149="Manual Review","Manual Review",IF($G149="","No Data",IF(NOT(ISNUMBER($H149)),"N/A",IF($H149&lt;TODAY(),"Overdue",IF($H149&lt;=TODAY()+30,"Due within 1 Month",IF($H149&lt;=TODAY()+60,"Due within 2 Months","OK"))))))</f>
        <v>No Data</v>
      </c>
      <c r="K149" s="13"/>
    </row>
    <row r="150" customFormat="false" ht="15" hidden="false" customHeight="false" outlineLevel="0" collapsed="false">
      <c r="A150" s="9" t="str">
        <f aca="false">Vessels!B6</f>
        <v>Vessel 02</v>
      </c>
      <c r="B150" s="9" t="s">
        <v>42</v>
      </c>
      <c r="C150" s="7" t="s">
        <v>74</v>
      </c>
      <c r="D150" s="9" t="s">
        <v>59</v>
      </c>
      <c r="E150" s="9" t="s">
        <v>58</v>
      </c>
      <c r="F150" s="5"/>
      <c r="G150" s="10"/>
      <c r="H150" s="11" t="str">
        <f aca="false">IFERROR(IF($D150="Manual Review","",IF($G150="","",IF($D150="Direct Expiry",$G150,EDATE($G150,$F150)))),"Check Date")</f>
        <v/>
      </c>
      <c r="I150" s="12" t="str">
        <f aca="true">IF($H150="","",IF(ISNUMBER($H150),$H150-TODAY(),""))</f>
        <v/>
      </c>
      <c r="J150" s="4" t="str">
        <f aca="true">IF($D150="Manual Review","Manual Review",IF($G150="","No Data",IF(NOT(ISNUMBER($H150)),"N/A",IF($H150&lt;TODAY(),"Overdue",IF($H150&lt;=TODAY()+30,"Due within 1 Month",IF($H150&lt;=TODAY()+60,"Due within 2 Months","OK"))))))</f>
        <v>No Data</v>
      </c>
      <c r="K150" s="13"/>
    </row>
    <row r="151" customFormat="false" ht="15" hidden="false" customHeight="false" outlineLevel="0" collapsed="false">
      <c r="A151" s="9" t="str">
        <f aca="false">Vessels!B6</f>
        <v>Vessel 02</v>
      </c>
      <c r="B151" s="9" t="s">
        <v>42</v>
      </c>
      <c r="C151" s="7" t="s">
        <v>75</v>
      </c>
      <c r="D151" s="9" t="s">
        <v>45</v>
      </c>
      <c r="E151" s="9" t="s">
        <v>44</v>
      </c>
      <c r="F151" s="5" t="n">
        <v>12</v>
      </c>
      <c r="G151" s="10"/>
      <c r="H151" s="11" t="str">
        <f aca="false">IFERROR(IF($D151="Manual Review","",IF($G151="","",IF($D151="Direct Expiry",$G151,EDATE($G151,$F151)))),"Check Date")</f>
        <v/>
      </c>
      <c r="I151" s="12" t="str">
        <f aca="true">IF($H151="","",IF(ISNUMBER($H151),$H151-TODAY(),""))</f>
        <v/>
      </c>
      <c r="J151" s="4" t="str">
        <f aca="true">IF($D151="Manual Review","Manual Review",IF($G151="","No Data",IF(NOT(ISNUMBER($H151)),"N/A",IF($H151&lt;TODAY(),"Overdue",IF($H151&lt;=TODAY()+30,"Due within 1 Month",IF($H151&lt;=TODAY()+60,"Due within 2 Months","OK"))))))</f>
        <v>No Data</v>
      </c>
      <c r="K151" s="13"/>
    </row>
    <row r="152" customFormat="false" ht="15" hidden="false" customHeight="false" outlineLevel="0" collapsed="false">
      <c r="A152" s="9" t="str">
        <f aca="false">Vessels!B6</f>
        <v>Vessel 02</v>
      </c>
      <c r="B152" s="9" t="s">
        <v>42</v>
      </c>
      <c r="C152" s="7" t="s">
        <v>76</v>
      </c>
      <c r="D152" s="9" t="s">
        <v>59</v>
      </c>
      <c r="E152" s="9" t="s">
        <v>58</v>
      </c>
      <c r="F152" s="5"/>
      <c r="G152" s="10"/>
      <c r="H152" s="11" t="str">
        <f aca="false">IFERROR(IF($D152="Manual Review","",IF($G152="","",IF($D152="Direct Expiry",$G152,EDATE($G152,$F152)))),"Check Date")</f>
        <v/>
      </c>
      <c r="I152" s="12" t="str">
        <f aca="true">IF($H152="","",IF(ISNUMBER($H152),$H152-TODAY(),""))</f>
        <v/>
      </c>
      <c r="J152" s="4" t="str">
        <f aca="true">IF($D152="Manual Review","Manual Review",IF($G152="","No Data",IF(NOT(ISNUMBER($H152)),"N/A",IF($H152&lt;TODAY(),"Overdue",IF($H152&lt;=TODAY()+30,"Due within 1 Month",IF($H152&lt;=TODAY()+60,"Due within 2 Months","OK"))))))</f>
        <v>No Data</v>
      </c>
      <c r="K152" s="13"/>
    </row>
    <row r="153" customFormat="false" ht="15" hidden="false" customHeight="false" outlineLevel="0" collapsed="false">
      <c r="A153" s="9" t="str">
        <f aca="false">Vessels!B6</f>
        <v>Vessel 02</v>
      </c>
      <c r="B153" s="9" t="s">
        <v>42</v>
      </c>
      <c r="C153" s="7" t="s">
        <v>77</v>
      </c>
      <c r="D153" s="9" t="s">
        <v>59</v>
      </c>
      <c r="E153" s="9" t="s">
        <v>58</v>
      </c>
      <c r="F153" s="5"/>
      <c r="G153" s="10"/>
      <c r="H153" s="11" t="str">
        <f aca="false">IFERROR(IF($D153="Manual Review","",IF($G153="","",IF($D153="Direct Expiry",$G153,EDATE($G153,$F153)))),"Check Date")</f>
        <v/>
      </c>
      <c r="I153" s="12" t="str">
        <f aca="true">IF($H153="","",IF(ISNUMBER($H153),$H153-TODAY(),""))</f>
        <v/>
      </c>
      <c r="J153" s="4" t="str">
        <f aca="true">IF($D153="Manual Review","Manual Review",IF($G153="","No Data",IF(NOT(ISNUMBER($H153)),"N/A",IF($H153&lt;TODAY(),"Overdue",IF($H153&lt;=TODAY()+30,"Due within 1 Month",IF($H153&lt;=TODAY()+60,"Due within 2 Months","OK"))))))</f>
        <v>No Data</v>
      </c>
      <c r="K153" s="13"/>
    </row>
    <row r="154" customFormat="false" ht="15" hidden="false" customHeight="false" outlineLevel="0" collapsed="false">
      <c r="A154" s="9" t="str">
        <f aca="false">Vessels!B6</f>
        <v>Vessel 02</v>
      </c>
      <c r="B154" s="9" t="s">
        <v>42</v>
      </c>
      <c r="C154" s="7" t="s">
        <v>78</v>
      </c>
      <c r="D154" s="9" t="s">
        <v>59</v>
      </c>
      <c r="E154" s="9" t="s">
        <v>58</v>
      </c>
      <c r="F154" s="5"/>
      <c r="G154" s="10"/>
      <c r="H154" s="11" t="str">
        <f aca="false">IFERROR(IF($D154="Manual Review","",IF($G154="","",IF($D154="Direct Expiry",$G154,EDATE($G154,$F154)))),"Check Date")</f>
        <v/>
      </c>
      <c r="I154" s="12" t="str">
        <f aca="true">IF($H154="","",IF(ISNUMBER($H154),$H154-TODAY(),""))</f>
        <v/>
      </c>
      <c r="J154" s="4" t="str">
        <f aca="true">IF($D154="Manual Review","Manual Review",IF($G154="","No Data",IF(NOT(ISNUMBER($H154)),"N/A",IF($H154&lt;TODAY(),"Overdue",IF($H154&lt;=TODAY()+30,"Due within 1 Month",IF($H154&lt;=TODAY()+60,"Due within 2 Months","OK"))))))</f>
        <v>No Data</v>
      </c>
      <c r="K154" s="13"/>
    </row>
    <row r="155" customFormat="false" ht="15" hidden="false" customHeight="false" outlineLevel="0" collapsed="false">
      <c r="A155" s="9" t="str">
        <f aca="false">Vessels!B6</f>
        <v>Vessel 02</v>
      </c>
      <c r="B155" s="9" t="s">
        <v>42</v>
      </c>
      <c r="C155" s="7" t="s">
        <v>79</v>
      </c>
      <c r="D155" s="9" t="s">
        <v>45</v>
      </c>
      <c r="E155" s="9" t="s">
        <v>44</v>
      </c>
      <c r="F155" s="5" t="n">
        <v>12</v>
      </c>
      <c r="G155" s="10"/>
      <c r="H155" s="11" t="str">
        <f aca="false">IFERROR(IF($D155="Manual Review","",IF($G155="","",IF($D155="Direct Expiry",$G155,EDATE($G155,$F155)))),"Check Date")</f>
        <v/>
      </c>
      <c r="I155" s="12" t="str">
        <f aca="true">IF($H155="","",IF(ISNUMBER($H155),$H155-TODAY(),""))</f>
        <v/>
      </c>
      <c r="J155" s="4" t="str">
        <f aca="true">IF($D155="Manual Review","Manual Review",IF($G155="","No Data",IF(NOT(ISNUMBER($H155)),"N/A",IF($H155&lt;TODAY(),"Overdue",IF($H155&lt;=TODAY()+30,"Due within 1 Month",IF($H155&lt;=TODAY()+60,"Due within 2 Months","OK"))))))</f>
        <v>No Data</v>
      </c>
      <c r="K155" s="13"/>
    </row>
    <row r="156" customFormat="false" ht="15" hidden="false" customHeight="false" outlineLevel="0" collapsed="false">
      <c r="A156" s="9" t="str">
        <f aca="false">Vessels!B6</f>
        <v>Vessel 02</v>
      </c>
      <c r="B156" s="9" t="s">
        <v>42</v>
      </c>
      <c r="C156" s="7" t="s">
        <v>80</v>
      </c>
      <c r="D156" s="9" t="s">
        <v>45</v>
      </c>
      <c r="E156" s="9" t="s">
        <v>81</v>
      </c>
      <c r="F156" s="5" t="n">
        <v>36</v>
      </c>
      <c r="G156" s="10"/>
      <c r="H156" s="11" t="str">
        <f aca="false">IFERROR(IF($D156="Manual Review","",IF($G156="","",IF($D156="Direct Expiry",$G156,EDATE($G156,$F156)))),"Check Date")</f>
        <v/>
      </c>
      <c r="I156" s="12" t="str">
        <f aca="true">IF($H156="","",IF(ISNUMBER($H156),$H156-TODAY(),""))</f>
        <v/>
      </c>
      <c r="J156" s="4" t="str">
        <f aca="true">IF($D156="Manual Review","Manual Review",IF($G156="","No Data",IF(NOT(ISNUMBER($H156)),"N/A",IF($H156&lt;TODAY(),"Overdue",IF($H156&lt;=TODAY()+30,"Due within 1 Month",IF($H156&lt;=TODAY()+60,"Due within 2 Months","OK"))))))</f>
        <v>No Data</v>
      </c>
      <c r="K156" s="13"/>
    </row>
    <row r="157" customFormat="false" ht="15" hidden="false" customHeight="false" outlineLevel="0" collapsed="false">
      <c r="A157" s="9" t="str">
        <f aca="false">Vessels!B6</f>
        <v>Vessel 02</v>
      </c>
      <c r="B157" s="9" t="s">
        <v>42</v>
      </c>
      <c r="C157" s="7" t="s">
        <v>80</v>
      </c>
      <c r="D157" s="9" t="s">
        <v>45</v>
      </c>
      <c r="E157" s="9" t="s">
        <v>82</v>
      </c>
      <c r="F157" s="5" t="n">
        <v>24</v>
      </c>
      <c r="G157" s="10"/>
      <c r="H157" s="11" t="str">
        <f aca="false">IFERROR(IF($D157="Manual Review","",IF($G157="","",IF($D157="Direct Expiry",$G157,EDATE($G157,$F157)))),"Check Date")</f>
        <v/>
      </c>
      <c r="I157" s="12" t="str">
        <f aca="true">IF($H157="","",IF(ISNUMBER($H157),$H157-TODAY(),""))</f>
        <v/>
      </c>
      <c r="J157" s="4" t="str">
        <f aca="true">IF($D157="Manual Review","Manual Review",IF($G157="","No Data",IF(NOT(ISNUMBER($H157)),"N/A",IF($H157&lt;TODAY(),"Overdue",IF($H157&lt;=TODAY()+30,"Due within 1 Month",IF($H157&lt;=TODAY()+60,"Due within 2 Months","OK"))))))</f>
        <v>No Data</v>
      </c>
      <c r="K157" s="13"/>
    </row>
    <row r="158" customFormat="false" ht="15" hidden="false" customHeight="false" outlineLevel="0" collapsed="false">
      <c r="A158" s="9" t="str">
        <f aca="false">Vessels!B6</f>
        <v>Vessel 02</v>
      </c>
      <c r="B158" s="9" t="s">
        <v>42</v>
      </c>
      <c r="C158" s="7" t="s">
        <v>83</v>
      </c>
      <c r="D158" s="9" t="s">
        <v>45</v>
      </c>
      <c r="E158" s="9" t="s">
        <v>44</v>
      </c>
      <c r="F158" s="5" t="n">
        <v>12</v>
      </c>
      <c r="G158" s="10"/>
      <c r="H158" s="11" t="str">
        <f aca="false">IFERROR(IF($D158="Manual Review","",IF($G158="","",IF($D158="Direct Expiry",$G158,EDATE($G158,$F158)))),"Check Date")</f>
        <v/>
      </c>
      <c r="I158" s="12" t="str">
        <f aca="true">IF($H158="","",IF(ISNUMBER($H158),$H158-TODAY(),""))</f>
        <v/>
      </c>
      <c r="J158" s="4" t="str">
        <f aca="true">IF($D158="Manual Review","Manual Review",IF($G158="","No Data",IF(NOT(ISNUMBER($H158)),"N/A",IF($H158&lt;TODAY(),"Overdue",IF($H158&lt;=TODAY()+30,"Due within 1 Month",IF($H158&lt;=TODAY()+60,"Due within 2 Months","OK"))))))</f>
        <v>No Data</v>
      </c>
      <c r="K158" s="13"/>
    </row>
    <row r="159" customFormat="false" ht="15" hidden="false" customHeight="false" outlineLevel="0" collapsed="false">
      <c r="A159" s="9" t="str">
        <f aca="false">Vessels!B6</f>
        <v>Vessel 02</v>
      </c>
      <c r="B159" s="9" t="s">
        <v>42</v>
      </c>
      <c r="C159" s="7" t="s">
        <v>83</v>
      </c>
      <c r="D159" s="9" t="s">
        <v>45</v>
      </c>
      <c r="E159" s="9" t="s">
        <v>84</v>
      </c>
      <c r="F159" s="5" t="n">
        <v>60</v>
      </c>
      <c r="G159" s="10"/>
      <c r="H159" s="11" t="str">
        <f aca="false">IFERROR(IF($D159="Manual Review","",IF($G159="","",IF($D159="Direct Expiry",$G159,EDATE($G159,$F159)))),"Check Date")</f>
        <v/>
      </c>
      <c r="I159" s="12" t="str">
        <f aca="true">IF($H159="","",IF(ISNUMBER($H159),$H159-TODAY(),""))</f>
        <v/>
      </c>
      <c r="J159" s="4" t="str">
        <f aca="true">IF($D159="Manual Review","Manual Review",IF($G159="","No Data",IF(NOT(ISNUMBER($H159)),"N/A",IF($H159&lt;TODAY(),"Overdue",IF($H159&lt;=TODAY()+30,"Due within 1 Month",IF($H159&lt;=TODAY()+60,"Due within 2 Months","OK"))))))</f>
        <v>No Data</v>
      </c>
      <c r="K159" s="13"/>
    </row>
    <row r="160" customFormat="false" ht="15" hidden="false" customHeight="false" outlineLevel="0" collapsed="false">
      <c r="A160" s="9" t="str">
        <f aca="false">Vessels!B6</f>
        <v>Vessel 02</v>
      </c>
      <c r="B160" s="9" t="s">
        <v>42</v>
      </c>
      <c r="C160" s="7" t="s">
        <v>85</v>
      </c>
      <c r="D160" s="9" t="s">
        <v>45</v>
      </c>
      <c r="E160" s="9" t="s">
        <v>44</v>
      </c>
      <c r="F160" s="5" t="n">
        <v>12</v>
      </c>
      <c r="G160" s="10"/>
      <c r="H160" s="11" t="str">
        <f aca="false">IFERROR(IF($D160="Manual Review","",IF($G160="","",IF($D160="Direct Expiry",$G160,EDATE($G160,$F160)))),"Check Date")</f>
        <v/>
      </c>
      <c r="I160" s="12" t="str">
        <f aca="true">IF($H160="","",IF(ISNUMBER($H160),$H160-TODAY(),""))</f>
        <v/>
      </c>
      <c r="J160" s="4" t="str">
        <f aca="true">IF($D160="Manual Review","Manual Review",IF($G160="","No Data",IF(NOT(ISNUMBER($H160)),"N/A",IF($H160&lt;TODAY(),"Overdue",IF($H160&lt;=TODAY()+30,"Due within 1 Month",IF($H160&lt;=TODAY()+60,"Due within 2 Months","OK"))))))</f>
        <v>No Data</v>
      </c>
      <c r="K160" s="13"/>
    </row>
    <row r="161" customFormat="false" ht="15" hidden="false" customHeight="false" outlineLevel="0" collapsed="false">
      <c r="A161" s="9" t="str">
        <f aca="false">Vessels!B6</f>
        <v>Vessel 02</v>
      </c>
      <c r="B161" s="9" t="s">
        <v>42</v>
      </c>
      <c r="C161" s="7" t="s">
        <v>85</v>
      </c>
      <c r="D161" s="9" t="s">
        <v>45</v>
      </c>
      <c r="E161" s="9" t="s">
        <v>84</v>
      </c>
      <c r="F161" s="5" t="n">
        <v>60</v>
      </c>
      <c r="G161" s="10"/>
      <c r="H161" s="11" t="str">
        <f aca="false">IFERROR(IF($D161="Manual Review","",IF($G161="","",IF($D161="Direct Expiry",$G161,EDATE($G161,$F161)))),"Check Date")</f>
        <v/>
      </c>
      <c r="I161" s="12" t="str">
        <f aca="true">IF($H161="","",IF(ISNUMBER($H161),$H161-TODAY(),""))</f>
        <v/>
      </c>
      <c r="J161" s="4" t="str">
        <f aca="true">IF($D161="Manual Review","Manual Review",IF($G161="","No Data",IF(NOT(ISNUMBER($H161)),"N/A",IF($H161&lt;TODAY(),"Overdue",IF($H161&lt;=TODAY()+30,"Due within 1 Month",IF($H161&lt;=TODAY()+60,"Due within 2 Months","OK"))))))</f>
        <v>No Data</v>
      </c>
      <c r="K161" s="13"/>
    </row>
    <row r="162" customFormat="false" ht="15" hidden="false" customHeight="false" outlineLevel="0" collapsed="false">
      <c r="A162" s="9" t="str">
        <f aca="false">Vessels!B6</f>
        <v>Vessel 02</v>
      </c>
      <c r="B162" s="9" t="s">
        <v>42</v>
      </c>
      <c r="C162" s="7" t="s">
        <v>86</v>
      </c>
      <c r="D162" s="9" t="s">
        <v>45</v>
      </c>
      <c r="E162" s="9" t="s">
        <v>44</v>
      </c>
      <c r="F162" s="5" t="n">
        <v>12</v>
      </c>
      <c r="G162" s="10"/>
      <c r="H162" s="11" t="str">
        <f aca="false">IFERROR(IF($D162="Manual Review","",IF($G162="","",IF($D162="Direct Expiry",$G162,EDATE($G162,$F162)))),"Check Date")</f>
        <v/>
      </c>
      <c r="I162" s="12" t="str">
        <f aca="true">IF($H162="","",IF(ISNUMBER($H162),$H162-TODAY(),""))</f>
        <v/>
      </c>
      <c r="J162" s="4" t="str">
        <f aca="true">IF($D162="Manual Review","Manual Review",IF($G162="","No Data",IF(NOT(ISNUMBER($H162)),"N/A",IF($H162&lt;TODAY(),"Overdue",IF($H162&lt;=TODAY()+30,"Due within 1 Month",IF($H162&lt;=TODAY()+60,"Due within 2 Months","OK"))))))</f>
        <v>No Data</v>
      </c>
      <c r="K162" s="13"/>
    </row>
    <row r="163" customFormat="false" ht="15" hidden="false" customHeight="false" outlineLevel="0" collapsed="false">
      <c r="A163" s="9" t="str">
        <f aca="false">Vessels!B6</f>
        <v>Vessel 02</v>
      </c>
      <c r="B163" s="9" t="s">
        <v>42</v>
      </c>
      <c r="C163" s="7" t="s">
        <v>87</v>
      </c>
      <c r="D163" s="9" t="s">
        <v>45</v>
      </c>
      <c r="E163" s="9" t="s">
        <v>44</v>
      </c>
      <c r="F163" s="5" t="n">
        <v>12</v>
      </c>
      <c r="G163" s="10"/>
      <c r="H163" s="11" t="str">
        <f aca="false">IFERROR(IF($D163="Manual Review","",IF($G163="","",IF($D163="Direct Expiry",$G163,EDATE($G163,$F163)))),"Check Date")</f>
        <v/>
      </c>
      <c r="I163" s="12" t="str">
        <f aca="true">IF($H163="","",IF(ISNUMBER($H163),$H163-TODAY(),""))</f>
        <v/>
      </c>
      <c r="J163" s="4" t="str">
        <f aca="true">IF($D163="Manual Review","Manual Review",IF($G163="","No Data",IF(NOT(ISNUMBER($H163)),"N/A",IF($H163&lt;TODAY(),"Overdue",IF($H163&lt;=TODAY()+30,"Due within 1 Month",IF($H163&lt;=TODAY()+60,"Due within 2 Months","OK"))))))</f>
        <v>No Data</v>
      </c>
      <c r="K163" s="13"/>
    </row>
    <row r="164" customFormat="false" ht="15" hidden="false" customHeight="false" outlineLevel="0" collapsed="false">
      <c r="A164" s="9" t="str">
        <f aca="false">Vessels!B6</f>
        <v>Vessel 02</v>
      </c>
      <c r="B164" s="9" t="s">
        <v>88</v>
      </c>
      <c r="C164" s="7" t="s">
        <v>89</v>
      </c>
      <c r="D164" s="9" t="s">
        <v>45</v>
      </c>
      <c r="E164" s="9" t="s">
        <v>90</v>
      </c>
      <c r="F164" s="5" t="n">
        <v>36</v>
      </c>
      <c r="G164" s="10"/>
      <c r="H164" s="11" t="str">
        <f aca="false">IFERROR(IF($D164="Manual Review","",IF($G164="","",IF($D164="Direct Expiry",$G164,EDATE($G164,$F164)))),"Check Date")</f>
        <v/>
      </c>
      <c r="I164" s="12" t="str">
        <f aca="true">IF($H164="","",IF(ISNUMBER($H164),$H164-TODAY(),""))</f>
        <v/>
      </c>
      <c r="J164" s="4" t="str">
        <f aca="true">IF($D164="Manual Review","Manual Review",IF($G164="","No Data",IF(NOT(ISNUMBER($H164)),"N/A",IF($H164&lt;TODAY(),"Overdue",IF($H164&lt;=TODAY()+30,"Due within 1 Month",IF($H164&lt;=TODAY()+60,"Due within 2 Months","OK"))))))</f>
        <v>No Data</v>
      </c>
      <c r="K164" s="13"/>
    </row>
    <row r="165" customFormat="false" ht="15" hidden="false" customHeight="false" outlineLevel="0" collapsed="false">
      <c r="A165" s="9" t="str">
        <f aca="false">Vessels!B6</f>
        <v>Vessel 02</v>
      </c>
      <c r="B165" s="9" t="s">
        <v>88</v>
      </c>
      <c r="C165" s="7" t="s">
        <v>91</v>
      </c>
      <c r="D165" s="9" t="s">
        <v>45</v>
      </c>
      <c r="E165" s="9" t="s">
        <v>44</v>
      </c>
      <c r="F165" s="5" t="n">
        <v>12</v>
      </c>
      <c r="G165" s="10"/>
      <c r="H165" s="11" t="str">
        <f aca="false">IFERROR(IF($D165="Manual Review","",IF($G165="","",IF($D165="Direct Expiry",$G165,EDATE($G165,$F165)))),"Check Date")</f>
        <v/>
      </c>
      <c r="I165" s="12" t="str">
        <f aca="true">IF($H165="","",IF(ISNUMBER($H165),$H165-TODAY(),""))</f>
        <v/>
      </c>
      <c r="J165" s="4" t="str">
        <f aca="true">IF($D165="Manual Review","Manual Review",IF($G165="","No Data",IF(NOT(ISNUMBER($H165)),"N/A",IF($H165&lt;TODAY(),"Overdue",IF($H165&lt;=TODAY()+30,"Due within 1 Month",IF($H165&lt;=TODAY()+60,"Due within 2 Months","OK"))))))</f>
        <v>No Data</v>
      </c>
      <c r="K165" s="13"/>
    </row>
    <row r="166" customFormat="false" ht="15" hidden="false" customHeight="false" outlineLevel="0" collapsed="false">
      <c r="A166" s="9" t="str">
        <f aca="false">Vessels!B6</f>
        <v>Vessel 02</v>
      </c>
      <c r="B166" s="9" t="s">
        <v>88</v>
      </c>
      <c r="C166" s="7" t="s">
        <v>91</v>
      </c>
      <c r="D166" s="9" t="s">
        <v>45</v>
      </c>
      <c r="E166" s="9" t="s">
        <v>92</v>
      </c>
      <c r="F166" s="5" t="n">
        <v>120</v>
      </c>
      <c r="G166" s="10"/>
      <c r="H166" s="11" t="str">
        <f aca="false">IFERROR(IF($D166="Manual Review","",IF($G166="","",IF($D166="Direct Expiry",$G166,EDATE($G166,$F166)))),"Check Date")</f>
        <v/>
      </c>
      <c r="I166" s="12" t="str">
        <f aca="true">IF($H166="","",IF(ISNUMBER($H166),$H166-TODAY(),""))</f>
        <v/>
      </c>
      <c r="J166" s="4" t="str">
        <f aca="true">IF($D166="Manual Review","Manual Review",IF($G166="","No Data",IF(NOT(ISNUMBER($H166)),"N/A",IF($H166&lt;TODAY(),"Overdue",IF($H166&lt;=TODAY()+30,"Due within 1 Month",IF($H166&lt;=TODAY()+60,"Due within 2 Months","OK"))))))</f>
        <v>No Data</v>
      </c>
      <c r="K166" s="13"/>
    </row>
    <row r="167" customFormat="false" ht="15" hidden="false" customHeight="false" outlineLevel="0" collapsed="false">
      <c r="A167" s="9" t="str">
        <f aca="false">Vessels!B6</f>
        <v>Vessel 02</v>
      </c>
      <c r="B167" s="9" t="s">
        <v>88</v>
      </c>
      <c r="C167" s="7" t="s">
        <v>93</v>
      </c>
      <c r="D167" s="9" t="s">
        <v>45</v>
      </c>
      <c r="E167" s="9" t="s">
        <v>44</v>
      </c>
      <c r="F167" s="5" t="n">
        <v>12</v>
      </c>
      <c r="G167" s="10"/>
      <c r="H167" s="11" t="str">
        <f aca="false">IFERROR(IF($D167="Manual Review","",IF($G167="","",IF($D167="Direct Expiry",$G167,EDATE($G167,$F167)))),"Check Date")</f>
        <v/>
      </c>
      <c r="I167" s="12" t="str">
        <f aca="true">IF($H167="","",IF(ISNUMBER($H167),$H167-TODAY(),""))</f>
        <v/>
      </c>
      <c r="J167" s="4" t="str">
        <f aca="true">IF($D167="Manual Review","Manual Review",IF($G167="","No Data",IF(NOT(ISNUMBER($H167)),"N/A",IF($H167&lt;TODAY(),"Overdue",IF($H167&lt;=TODAY()+30,"Due within 1 Month",IF($H167&lt;=TODAY()+60,"Due within 2 Months","OK"))))))</f>
        <v>No Data</v>
      </c>
      <c r="K167" s="13"/>
    </row>
    <row r="168" customFormat="false" ht="15" hidden="false" customHeight="false" outlineLevel="0" collapsed="false">
      <c r="A168" s="9" t="str">
        <f aca="false">Vessels!B6</f>
        <v>Vessel 02</v>
      </c>
      <c r="B168" s="9" t="s">
        <v>88</v>
      </c>
      <c r="C168" s="7" t="s">
        <v>93</v>
      </c>
      <c r="D168" s="9" t="s">
        <v>45</v>
      </c>
      <c r="E168" s="9" t="s">
        <v>92</v>
      </c>
      <c r="F168" s="5" t="n">
        <v>120</v>
      </c>
      <c r="G168" s="10"/>
      <c r="H168" s="11" t="str">
        <f aca="false">IFERROR(IF($D168="Manual Review","",IF($G168="","",IF($D168="Direct Expiry",$G168,EDATE($G168,$F168)))),"Check Date")</f>
        <v/>
      </c>
      <c r="I168" s="12" t="str">
        <f aca="true">IF($H168="","",IF(ISNUMBER($H168),$H168-TODAY(),""))</f>
        <v/>
      </c>
      <c r="J168" s="4" t="str">
        <f aca="true">IF($D168="Manual Review","Manual Review",IF($G168="","No Data",IF(NOT(ISNUMBER($H168)),"N/A",IF($H168&lt;TODAY(),"Overdue",IF($H168&lt;=TODAY()+30,"Due within 1 Month",IF($H168&lt;=TODAY()+60,"Due within 2 Months","OK"))))))</f>
        <v>No Data</v>
      </c>
      <c r="K168" s="13"/>
    </row>
    <row r="169" customFormat="false" ht="15" hidden="false" customHeight="false" outlineLevel="0" collapsed="false">
      <c r="A169" s="9" t="str">
        <f aca="false">Vessels!B6</f>
        <v>Vessel 02</v>
      </c>
      <c r="B169" s="9" t="s">
        <v>88</v>
      </c>
      <c r="C169" s="7" t="s">
        <v>94</v>
      </c>
      <c r="D169" s="9" t="s">
        <v>45</v>
      </c>
      <c r="E169" s="9" t="s">
        <v>44</v>
      </c>
      <c r="F169" s="5" t="n">
        <v>12</v>
      </c>
      <c r="G169" s="10"/>
      <c r="H169" s="11" t="str">
        <f aca="false">IFERROR(IF($D169="Manual Review","",IF($G169="","",IF($D169="Direct Expiry",$G169,EDATE($G169,$F169)))),"Check Date")</f>
        <v/>
      </c>
      <c r="I169" s="12" t="str">
        <f aca="true">IF($H169="","",IF(ISNUMBER($H169),$H169-TODAY(),""))</f>
        <v/>
      </c>
      <c r="J169" s="4" t="str">
        <f aca="true">IF($D169="Manual Review","Manual Review",IF($G169="","No Data",IF(NOT(ISNUMBER($H169)),"N/A",IF($H169&lt;TODAY(),"Overdue",IF($H169&lt;=TODAY()+30,"Due within 1 Month",IF($H169&lt;=TODAY()+60,"Due within 2 Months","OK"))))))</f>
        <v>No Data</v>
      </c>
      <c r="K169" s="13"/>
    </row>
    <row r="170" customFormat="false" ht="15" hidden="false" customHeight="false" outlineLevel="0" collapsed="false">
      <c r="A170" s="9" t="str">
        <f aca="false">Vessels!B6</f>
        <v>Vessel 02</v>
      </c>
      <c r="B170" s="9" t="s">
        <v>88</v>
      </c>
      <c r="C170" s="7" t="s">
        <v>94</v>
      </c>
      <c r="D170" s="9" t="s">
        <v>45</v>
      </c>
      <c r="E170" s="9" t="s">
        <v>92</v>
      </c>
      <c r="F170" s="5" t="n">
        <v>120</v>
      </c>
      <c r="G170" s="10"/>
      <c r="H170" s="11" t="str">
        <f aca="false">IFERROR(IF($D170="Manual Review","",IF($G170="","",IF($D170="Direct Expiry",$G170,EDATE($G170,$F170)))),"Check Date")</f>
        <v/>
      </c>
      <c r="I170" s="12" t="str">
        <f aca="true">IF($H170="","",IF(ISNUMBER($H170),$H170-TODAY(),""))</f>
        <v/>
      </c>
      <c r="J170" s="4" t="str">
        <f aca="true">IF($D170="Manual Review","Manual Review",IF($G170="","No Data",IF(NOT(ISNUMBER($H170)),"N/A",IF($H170&lt;TODAY(),"Overdue",IF($H170&lt;=TODAY()+30,"Due within 1 Month",IF($H170&lt;=TODAY()+60,"Due within 2 Months","OK"))))))</f>
        <v>No Data</v>
      </c>
      <c r="K170" s="13"/>
    </row>
    <row r="171" customFormat="false" ht="15" hidden="false" customHeight="false" outlineLevel="0" collapsed="false">
      <c r="A171" s="9" t="str">
        <f aca="false">Vessels!B6</f>
        <v>Vessel 02</v>
      </c>
      <c r="B171" s="9" t="s">
        <v>88</v>
      </c>
      <c r="C171" s="7" t="s">
        <v>95</v>
      </c>
      <c r="D171" s="9" t="s">
        <v>45</v>
      </c>
      <c r="E171" s="9" t="s">
        <v>44</v>
      </c>
      <c r="F171" s="5" t="n">
        <v>12</v>
      </c>
      <c r="G171" s="10"/>
      <c r="H171" s="11" t="str">
        <f aca="false">IFERROR(IF($D171="Manual Review","",IF($G171="","",IF($D171="Direct Expiry",$G171,EDATE($G171,$F171)))),"Check Date")</f>
        <v/>
      </c>
      <c r="I171" s="12" t="str">
        <f aca="true">IF($H171="","",IF(ISNUMBER($H171),$H171-TODAY(),""))</f>
        <v/>
      </c>
      <c r="J171" s="4" t="str">
        <f aca="true">IF($D171="Manual Review","Manual Review",IF($G171="","No Data",IF(NOT(ISNUMBER($H171)),"N/A",IF($H171&lt;TODAY(),"Overdue",IF($H171&lt;=TODAY()+30,"Due within 1 Month",IF($H171&lt;=TODAY()+60,"Due within 2 Months","OK"))))))</f>
        <v>No Data</v>
      </c>
      <c r="K171" s="13"/>
    </row>
    <row r="172" customFormat="false" ht="15" hidden="false" customHeight="false" outlineLevel="0" collapsed="false">
      <c r="A172" s="9" t="str">
        <f aca="false">Vessels!B6</f>
        <v>Vessel 02</v>
      </c>
      <c r="B172" s="9" t="s">
        <v>88</v>
      </c>
      <c r="C172" s="7" t="s">
        <v>95</v>
      </c>
      <c r="D172" s="9" t="s">
        <v>45</v>
      </c>
      <c r="E172" s="9" t="s">
        <v>92</v>
      </c>
      <c r="F172" s="5" t="n">
        <v>120</v>
      </c>
      <c r="G172" s="10"/>
      <c r="H172" s="11" t="str">
        <f aca="false">IFERROR(IF($D172="Manual Review","",IF($G172="","",IF($D172="Direct Expiry",$G172,EDATE($G172,$F172)))),"Check Date")</f>
        <v/>
      </c>
      <c r="I172" s="12" t="str">
        <f aca="true">IF($H172="","",IF(ISNUMBER($H172),$H172-TODAY(),""))</f>
        <v/>
      </c>
      <c r="J172" s="4" t="str">
        <f aca="true">IF($D172="Manual Review","Manual Review",IF($G172="","No Data",IF(NOT(ISNUMBER($H172)),"N/A",IF($H172&lt;TODAY(),"Overdue",IF($H172&lt;=TODAY()+30,"Due within 1 Month",IF($H172&lt;=TODAY()+60,"Due within 2 Months","OK"))))))</f>
        <v>No Data</v>
      </c>
      <c r="K172" s="13"/>
    </row>
    <row r="173" customFormat="false" ht="15" hidden="false" customHeight="false" outlineLevel="0" collapsed="false">
      <c r="A173" s="9" t="str">
        <f aca="false">Vessels!B6</f>
        <v>Vessel 02</v>
      </c>
      <c r="B173" s="9" t="s">
        <v>88</v>
      </c>
      <c r="C173" s="7" t="s">
        <v>96</v>
      </c>
      <c r="D173" s="9" t="s">
        <v>45</v>
      </c>
      <c r="E173" s="9" t="s">
        <v>44</v>
      </c>
      <c r="F173" s="5" t="n">
        <v>12</v>
      </c>
      <c r="G173" s="10"/>
      <c r="H173" s="11" t="str">
        <f aca="false">IFERROR(IF($D173="Manual Review","",IF($G173="","",IF($D173="Direct Expiry",$G173,EDATE($G173,$F173)))),"Check Date")</f>
        <v/>
      </c>
      <c r="I173" s="12" t="str">
        <f aca="true">IF($H173="","",IF(ISNUMBER($H173),$H173-TODAY(),""))</f>
        <v/>
      </c>
      <c r="J173" s="4" t="str">
        <f aca="true">IF($D173="Manual Review","Manual Review",IF($G173="","No Data",IF(NOT(ISNUMBER($H173)),"N/A",IF($H173&lt;TODAY(),"Overdue",IF($H173&lt;=TODAY()+30,"Due within 1 Month",IF($H173&lt;=TODAY()+60,"Due within 2 Months","OK"))))))</f>
        <v>No Data</v>
      </c>
      <c r="K173" s="13"/>
    </row>
    <row r="174" customFormat="false" ht="15" hidden="false" customHeight="false" outlineLevel="0" collapsed="false">
      <c r="A174" s="9" t="str">
        <f aca="false">Vessels!B6</f>
        <v>Vessel 02</v>
      </c>
      <c r="B174" s="9" t="s">
        <v>88</v>
      </c>
      <c r="C174" s="7" t="s">
        <v>96</v>
      </c>
      <c r="D174" s="9" t="s">
        <v>45</v>
      </c>
      <c r="E174" s="9" t="s">
        <v>97</v>
      </c>
      <c r="F174" s="5" t="n">
        <v>120</v>
      </c>
      <c r="G174" s="10"/>
      <c r="H174" s="11" t="str">
        <f aca="false">IFERROR(IF($D174="Manual Review","",IF($G174="","",IF($D174="Direct Expiry",$G174,EDATE($G174,$F174)))),"Check Date")</f>
        <v/>
      </c>
      <c r="I174" s="12" t="str">
        <f aca="true">IF($H174="","",IF(ISNUMBER($H174),$H174-TODAY(),""))</f>
        <v/>
      </c>
      <c r="J174" s="4" t="str">
        <f aca="true">IF($D174="Manual Review","Manual Review",IF($G174="","No Data",IF(NOT(ISNUMBER($H174)),"N/A",IF($H174&lt;TODAY(),"Overdue",IF($H174&lt;=TODAY()+30,"Due within 1 Month",IF($H174&lt;=TODAY()+60,"Due within 2 Months","OK"))))))</f>
        <v>No Data</v>
      </c>
      <c r="K174" s="13"/>
    </row>
    <row r="175" customFormat="false" ht="15" hidden="false" customHeight="false" outlineLevel="0" collapsed="false">
      <c r="A175" s="9" t="str">
        <f aca="false">Vessels!B6</f>
        <v>Vessel 02</v>
      </c>
      <c r="B175" s="9" t="s">
        <v>88</v>
      </c>
      <c r="C175" s="7" t="s">
        <v>98</v>
      </c>
      <c r="D175" s="9" t="s">
        <v>45</v>
      </c>
      <c r="E175" s="9" t="s">
        <v>44</v>
      </c>
      <c r="F175" s="5" t="n">
        <v>12</v>
      </c>
      <c r="G175" s="10"/>
      <c r="H175" s="11" t="str">
        <f aca="false">IFERROR(IF($D175="Manual Review","",IF($G175="","",IF($D175="Direct Expiry",$G175,EDATE($G175,$F175)))),"Check Date")</f>
        <v/>
      </c>
      <c r="I175" s="12" t="str">
        <f aca="true">IF($H175="","",IF(ISNUMBER($H175),$H175-TODAY(),""))</f>
        <v/>
      </c>
      <c r="J175" s="4" t="str">
        <f aca="true">IF($D175="Manual Review","Manual Review",IF($G175="","No Data",IF(NOT(ISNUMBER($H175)),"N/A",IF($H175&lt;TODAY(),"Overdue",IF($H175&lt;=TODAY()+30,"Due within 1 Month",IF($H175&lt;=TODAY()+60,"Due within 2 Months","OK"))))))</f>
        <v>No Data</v>
      </c>
      <c r="K175" s="13"/>
    </row>
    <row r="176" customFormat="false" ht="15" hidden="false" customHeight="false" outlineLevel="0" collapsed="false">
      <c r="A176" s="9" t="str">
        <f aca="false">Vessels!B6</f>
        <v>Vessel 02</v>
      </c>
      <c r="B176" s="9" t="s">
        <v>88</v>
      </c>
      <c r="C176" s="7" t="s">
        <v>98</v>
      </c>
      <c r="D176" s="9" t="s">
        <v>45</v>
      </c>
      <c r="E176" s="9" t="s">
        <v>99</v>
      </c>
      <c r="F176" s="5" t="n">
        <v>60</v>
      </c>
      <c r="G176" s="10"/>
      <c r="H176" s="11" t="str">
        <f aca="false">IFERROR(IF($D176="Manual Review","",IF($G176="","",IF($D176="Direct Expiry",$G176,EDATE($G176,$F176)))),"Check Date")</f>
        <v/>
      </c>
      <c r="I176" s="12" t="str">
        <f aca="true">IF($H176="","",IF(ISNUMBER($H176),$H176-TODAY(),""))</f>
        <v/>
      </c>
      <c r="J176" s="4" t="str">
        <f aca="true">IF($D176="Manual Review","Manual Review",IF($G176="","No Data",IF(NOT(ISNUMBER($H176)),"N/A",IF($H176&lt;TODAY(),"Overdue",IF($H176&lt;=TODAY()+30,"Due within 1 Month",IF($H176&lt;=TODAY()+60,"Due within 2 Months","OK"))))))</f>
        <v>No Data</v>
      </c>
      <c r="K176" s="13"/>
    </row>
    <row r="177" customFormat="false" ht="15" hidden="false" customHeight="false" outlineLevel="0" collapsed="false">
      <c r="A177" s="9" t="str">
        <f aca="false">Vessels!B6</f>
        <v>Vessel 02</v>
      </c>
      <c r="B177" s="9" t="s">
        <v>88</v>
      </c>
      <c r="C177" s="7" t="s">
        <v>100</v>
      </c>
      <c r="D177" s="9" t="s">
        <v>45</v>
      </c>
      <c r="E177" s="9" t="s">
        <v>44</v>
      </c>
      <c r="F177" s="5" t="n">
        <v>12</v>
      </c>
      <c r="G177" s="10"/>
      <c r="H177" s="11" t="str">
        <f aca="false">IFERROR(IF($D177="Manual Review","",IF($G177="","",IF($D177="Direct Expiry",$G177,EDATE($G177,$F177)))),"Check Date")</f>
        <v/>
      </c>
      <c r="I177" s="12" t="str">
        <f aca="true">IF($H177="","",IF(ISNUMBER($H177),$H177-TODAY(),""))</f>
        <v/>
      </c>
      <c r="J177" s="4" t="str">
        <f aca="true">IF($D177="Manual Review","Manual Review",IF($G177="","No Data",IF(NOT(ISNUMBER($H177)),"N/A",IF($H177&lt;TODAY(),"Overdue",IF($H177&lt;=TODAY()+30,"Due within 1 Month",IF($H177&lt;=TODAY()+60,"Due within 2 Months","OK"))))))</f>
        <v>No Data</v>
      </c>
      <c r="K177" s="13"/>
    </row>
    <row r="178" customFormat="false" ht="15" hidden="false" customHeight="false" outlineLevel="0" collapsed="false">
      <c r="A178" s="9" t="str">
        <f aca="false">Vessels!B6</f>
        <v>Vessel 02</v>
      </c>
      <c r="B178" s="9" t="s">
        <v>88</v>
      </c>
      <c r="C178" s="7" t="s">
        <v>100</v>
      </c>
      <c r="D178" s="9" t="s">
        <v>45</v>
      </c>
      <c r="E178" s="9" t="s">
        <v>99</v>
      </c>
      <c r="F178" s="5" t="n">
        <v>60</v>
      </c>
      <c r="G178" s="10"/>
      <c r="H178" s="11" t="str">
        <f aca="false">IFERROR(IF($D178="Manual Review","",IF($G178="","",IF($D178="Direct Expiry",$G178,EDATE($G178,$F178)))),"Check Date")</f>
        <v/>
      </c>
      <c r="I178" s="12" t="str">
        <f aca="true">IF($H178="","",IF(ISNUMBER($H178),$H178-TODAY(),""))</f>
        <v/>
      </c>
      <c r="J178" s="4" t="str">
        <f aca="true">IF($D178="Manual Review","Manual Review",IF($G178="","No Data",IF(NOT(ISNUMBER($H178)),"N/A",IF($H178&lt;TODAY(),"Overdue",IF($H178&lt;=TODAY()+30,"Due within 1 Month",IF($H178&lt;=TODAY()+60,"Due within 2 Months","OK"))))))</f>
        <v>No Data</v>
      </c>
      <c r="K178" s="13"/>
    </row>
    <row r="179" customFormat="false" ht="15" hidden="false" customHeight="false" outlineLevel="0" collapsed="false">
      <c r="A179" s="9" t="str">
        <f aca="false">Vessels!B6</f>
        <v>Vessel 02</v>
      </c>
      <c r="B179" s="9" t="s">
        <v>88</v>
      </c>
      <c r="C179" s="7" t="s">
        <v>101</v>
      </c>
      <c r="D179" s="9" t="s">
        <v>45</v>
      </c>
      <c r="E179" s="9" t="s">
        <v>44</v>
      </c>
      <c r="F179" s="5" t="n">
        <v>12</v>
      </c>
      <c r="G179" s="10"/>
      <c r="H179" s="11" t="str">
        <f aca="false">IFERROR(IF($D179="Manual Review","",IF($G179="","",IF($D179="Direct Expiry",$G179,EDATE($G179,$F179)))),"Check Date")</f>
        <v/>
      </c>
      <c r="I179" s="12" t="str">
        <f aca="true">IF($H179="","",IF(ISNUMBER($H179),$H179-TODAY(),""))</f>
        <v/>
      </c>
      <c r="J179" s="4" t="str">
        <f aca="true">IF($D179="Manual Review","Manual Review",IF($G179="","No Data",IF(NOT(ISNUMBER($H179)),"N/A",IF($H179&lt;TODAY(),"Overdue",IF($H179&lt;=TODAY()+30,"Due within 1 Month",IF($H179&lt;=TODAY()+60,"Due within 2 Months","OK"))))))</f>
        <v>No Data</v>
      </c>
      <c r="K179" s="13"/>
    </row>
    <row r="180" customFormat="false" ht="23.85" hidden="false" customHeight="false" outlineLevel="0" collapsed="false">
      <c r="A180" s="9" t="str">
        <f aca="false">Vessels!B6</f>
        <v>Vessel 02</v>
      </c>
      <c r="B180" s="9" t="s">
        <v>88</v>
      </c>
      <c r="C180" s="7" t="s">
        <v>102</v>
      </c>
      <c r="D180" s="9" t="s">
        <v>45</v>
      </c>
      <c r="E180" s="9" t="s">
        <v>44</v>
      </c>
      <c r="F180" s="5" t="n">
        <v>12</v>
      </c>
      <c r="G180" s="10"/>
      <c r="H180" s="11" t="str">
        <f aca="false">IFERROR(IF($D180="Manual Review","",IF($G180="","",IF($D180="Direct Expiry",$G180,EDATE($G180,$F180)))),"Check Date")</f>
        <v/>
      </c>
      <c r="I180" s="12" t="str">
        <f aca="true">IF($H180="","",IF(ISNUMBER($H180),$H180-TODAY(),""))</f>
        <v/>
      </c>
      <c r="J180" s="4" t="str">
        <f aca="true">IF($D180="Manual Review","Manual Review",IF($G180="","No Data",IF(NOT(ISNUMBER($H180)),"N/A",IF($H180&lt;TODAY(),"Overdue",IF($H180&lt;=TODAY()+30,"Due within 1 Month",IF($H180&lt;=TODAY()+60,"Due within 2 Months","OK"))))))</f>
        <v>No Data</v>
      </c>
      <c r="K180" s="13"/>
    </row>
    <row r="181" customFormat="false" ht="23.85" hidden="false" customHeight="false" outlineLevel="0" collapsed="false">
      <c r="A181" s="9" t="str">
        <f aca="false">Vessels!B6</f>
        <v>Vessel 02</v>
      </c>
      <c r="B181" s="9" t="s">
        <v>88</v>
      </c>
      <c r="C181" s="7" t="s">
        <v>102</v>
      </c>
      <c r="D181" s="9" t="s">
        <v>45</v>
      </c>
      <c r="E181" s="9" t="s">
        <v>97</v>
      </c>
      <c r="F181" s="5" t="n">
        <v>120</v>
      </c>
      <c r="G181" s="10"/>
      <c r="H181" s="11" t="str">
        <f aca="false">IFERROR(IF($D181="Manual Review","",IF($G181="","",IF($D181="Direct Expiry",$G181,EDATE($G181,$F181)))),"Check Date")</f>
        <v/>
      </c>
      <c r="I181" s="12" t="str">
        <f aca="true">IF($H181="","",IF(ISNUMBER($H181),$H181-TODAY(),""))</f>
        <v/>
      </c>
      <c r="J181" s="4" t="str">
        <f aca="true">IF($D181="Manual Review","Manual Review",IF($G181="","No Data",IF(NOT(ISNUMBER($H181)),"N/A",IF($H181&lt;TODAY(),"Overdue",IF($H181&lt;=TODAY()+30,"Due within 1 Month",IF($H181&lt;=TODAY()+60,"Due within 2 Months","OK"))))))</f>
        <v>No Data</v>
      </c>
      <c r="K181" s="13"/>
    </row>
    <row r="182" customFormat="false" ht="15" hidden="false" customHeight="false" outlineLevel="0" collapsed="false">
      <c r="A182" s="9" t="str">
        <f aca="false">Vessels!B6</f>
        <v>Vessel 02</v>
      </c>
      <c r="B182" s="9" t="s">
        <v>88</v>
      </c>
      <c r="C182" s="7" t="s">
        <v>103</v>
      </c>
      <c r="D182" s="9" t="s">
        <v>45</v>
      </c>
      <c r="E182" s="9" t="s">
        <v>44</v>
      </c>
      <c r="F182" s="5" t="n">
        <v>12</v>
      </c>
      <c r="G182" s="10"/>
      <c r="H182" s="11" t="str">
        <f aca="false">IFERROR(IF($D182="Manual Review","",IF($G182="","",IF($D182="Direct Expiry",$G182,EDATE($G182,$F182)))),"Check Date")</f>
        <v/>
      </c>
      <c r="I182" s="12" t="str">
        <f aca="true">IF($H182="","",IF(ISNUMBER($H182),$H182-TODAY(),""))</f>
        <v/>
      </c>
      <c r="J182" s="4" t="str">
        <f aca="true">IF($D182="Manual Review","Manual Review",IF($G182="","No Data",IF(NOT(ISNUMBER($H182)),"N/A",IF($H182&lt;TODAY(),"Overdue",IF($H182&lt;=TODAY()+30,"Due within 1 Month",IF($H182&lt;=TODAY()+60,"Due within 2 Months","OK"))))))</f>
        <v>No Data</v>
      </c>
      <c r="K182" s="13"/>
    </row>
    <row r="183" customFormat="false" ht="15" hidden="false" customHeight="false" outlineLevel="0" collapsed="false">
      <c r="A183" s="9" t="str">
        <f aca="false">Vessels!B6</f>
        <v>Vessel 02</v>
      </c>
      <c r="B183" s="9" t="s">
        <v>88</v>
      </c>
      <c r="C183" s="7" t="s">
        <v>103</v>
      </c>
      <c r="D183" s="9" t="s">
        <v>45</v>
      </c>
      <c r="E183" s="9" t="s">
        <v>97</v>
      </c>
      <c r="F183" s="5" t="n">
        <v>120</v>
      </c>
      <c r="G183" s="10"/>
      <c r="H183" s="11" t="str">
        <f aca="false">IFERROR(IF($D183="Manual Review","",IF($G183="","",IF($D183="Direct Expiry",$G183,EDATE($G183,$F183)))),"Check Date")</f>
        <v/>
      </c>
      <c r="I183" s="12" t="str">
        <f aca="true">IF($H183="","",IF(ISNUMBER($H183),$H183-TODAY(),""))</f>
        <v/>
      </c>
      <c r="J183" s="4" t="str">
        <f aca="true">IF($D183="Manual Review","Manual Review",IF($G183="","No Data",IF(NOT(ISNUMBER($H183)),"N/A",IF($H183&lt;TODAY(),"Overdue",IF($H183&lt;=TODAY()+30,"Due within 1 Month",IF($H183&lt;=TODAY()+60,"Due within 2 Months","OK"))))))</f>
        <v>No Data</v>
      </c>
      <c r="K183" s="13"/>
    </row>
    <row r="184" customFormat="false" ht="15" hidden="false" customHeight="false" outlineLevel="0" collapsed="false">
      <c r="A184" s="9" t="str">
        <f aca="false">Vessels!B6</f>
        <v>Vessel 02</v>
      </c>
      <c r="B184" s="9" t="s">
        <v>88</v>
      </c>
      <c r="C184" s="7" t="s">
        <v>104</v>
      </c>
      <c r="D184" s="9" t="s">
        <v>45</v>
      </c>
      <c r="E184" s="9" t="s">
        <v>44</v>
      </c>
      <c r="F184" s="5" t="n">
        <v>12</v>
      </c>
      <c r="G184" s="10"/>
      <c r="H184" s="11" t="str">
        <f aca="false">IFERROR(IF($D184="Manual Review","",IF($G184="","",IF($D184="Direct Expiry",$G184,EDATE($G184,$F184)))),"Check Date")</f>
        <v/>
      </c>
      <c r="I184" s="12" t="str">
        <f aca="true">IF($H184="","",IF(ISNUMBER($H184),$H184-TODAY(),""))</f>
        <v/>
      </c>
      <c r="J184" s="4" t="str">
        <f aca="true">IF($D184="Manual Review","Manual Review",IF($G184="","No Data",IF(NOT(ISNUMBER($H184)),"N/A",IF($H184&lt;TODAY(),"Overdue",IF($H184&lt;=TODAY()+30,"Due within 1 Month",IF($H184&lt;=TODAY()+60,"Due within 2 Months","OK"))))))</f>
        <v>No Data</v>
      </c>
      <c r="K184" s="13"/>
    </row>
    <row r="185" customFormat="false" ht="15" hidden="false" customHeight="false" outlineLevel="0" collapsed="false">
      <c r="A185" s="9" t="str">
        <f aca="false">Vessels!B6</f>
        <v>Vessel 02</v>
      </c>
      <c r="B185" s="9" t="s">
        <v>88</v>
      </c>
      <c r="C185" s="7" t="s">
        <v>105</v>
      </c>
      <c r="D185" s="9" t="s">
        <v>45</v>
      </c>
      <c r="E185" s="9" t="s">
        <v>44</v>
      </c>
      <c r="F185" s="5" t="n">
        <v>12</v>
      </c>
      <c r="G185" s="10"/>
      <c r="H185" s="11" t="str">
        <f aca="false">IFERROR(IF($D185="Manual Review","",IF($G185="","",IF($D185="Direct Expiry",$G185,EDATE($G185,$F185)))),"Check Date")</f>
        <v/>
      </c>
      <c r="I185" s="12" t="str">
        <f aca="true">IF($H185="","",IF(ISNUMBER($H185),$H185-TODAY(),""))</f>
        <v/>
      </c>
      <c r="J185" s="4" t="str">
        <f aca="true">IF($D185="Manual Review","Manual Review",IF($G185="","No Data",IF(NOT(ISNUMBER($H185)),"N/A",IF($H185&lt;TODAY(),"Overdue",IF($H185&lt;=TODAY()+30,"Due within 1 Month",IF($H185&lt;=TODAY()+60,"Due within 2 Months","OK"))))))</f>
        <v>No Data</v>
      </c>
      <c r="K185" s="13"/>
    </row>
    <row r="186" customFormat="false" ht="15" hidden="false" customHeight="false" outlineLevel="0" collapsed="false">
      <c r="A186" s="9" t="str">
        <f aca="false">Vessels!B6</f>
        <v>Vessel 02</v>
      </c>
      <c r="B186" s="9" t="s">
        <v>88</v>
      </c>
      <c r="C186" s="7" t="s">
        <v>106</v>
      </c>
      <c r="D186" s="9" t="s">
        <v>45</v>
      </c>
      <c r="E186" s="9" t="s">
        <v>44</v>
      </c>
      <c r="F186" s="5" t="n">
        <v>12</v>
      </c>
      <c r="G186" s="10"/>
      <c r="H186" s="11" t="str">
        <f aca="false">IFERROR(IF($D186="Manual Review","",IF($G186="","",IF($D186="Direct Expiry",$G186,EDATE($G186,$F186)))),"Check Date")</f>
        <v/>
      </c>
      <c r="I186" s="12" t="str">
        <f aca="true">IF($H186="","",IF(ISNUMBER($H186),$H186-TODAY(),""))</f>
        <v/>
      </c>
      <c r="J186" s="4" t="str">
        <f aca="true">IF($D186="Manual Review","Manual Review",IF($G186="","No Data",IF(NOT(ISNUMBER($H186)),"N/A",IF($H186&lt;TODAY(),"Overdue",IF($H186&lt;=TODAY()+30,"Due within 1 Month",IF($H186&lt;=TODAY()+60,"Due within 2 Months","OK"))))))</f>
        <v>No Data</v>
      </c>
      <c r="K186" s="13"/>
    </row>
    <row r="187" customFormat="false" ht="15" hidden="false" customHeight="false" outlineLevel="0" collapsed="false">
      <c r="A187" s="9" t="str">
        <f aca="false">Vessels!B6</f>
        <v>Vessel 02</v>
      </c>
      <c r="B187" s="9" t="s">
        <v>88</v>
      </c>
      <c r="C187" s="7" t="s">
        <v>107</v>
      </c>
      <c r="D187" s="9" t="s">
        <v>45</v>
      </c>
      <c r="E187" s="9" t="s">
        <v>44</v>
      </c>
      <c r="F187" s="5" t="n">
        <v>12</v>
      </c>
      <c r="G187" s="10"/>
      <c r="H187" s="11" t="str">
        <f aca="false">IFERROR(IF($D187="Manual Review","",IF($G187="","",IF($D187="Direct Expiry",$G187,EDATE($G187,$F187)))),"Check Date")</f>
        <v/>
      </c>
      <c r="I187" s="12" t="str">
        <f aca="true">IF($H187="","",IF(ISNUMBER($H187),$H187-TODAY(),""))</f>
        <v/>
      </c>
      <c r="J187" s="4" t="str">
        <f aca="true">IF($D187="Manual Review","Manual Review",IF($G187="","No Data",IF(NOT(ISNUMBER($H187)),"N/A",IF($H187&lt;TODAY(),"Overdue",IF($H187&lt;=TODAY()+30,"Due within 1 Month",IF($H187&lt;=TODAY()+60,"Due within 2 Months","OK"))))))</f>
        <v>No Data</v>
      </c>
      <c r="K187" s="13"/>
    </row>
    <row r="188" customFormat="false" ht="15" hidden="false" customHeight="false" outlineLevel="0" collapsed="false">
      <c r="A188" s="9" t="str">
        <f aca="false">Vessels!B6</f>
        <v>Vessel 02</v>
      </c>
      <c r="B188" s="9" t="s">
        <v>88</v>
      </c>
      <c r="C188" s="7" t="s">
        <v>108</v>
      </c>
      <c r="D188" s="9" t="s">
        <v>45</v>
      </c>
      <c r="E188" s="9" t="s">
        <v>109</v>
      </c>
      <c r="F188" s="5" t="n">
        <v>12</v>
      </c>
      <c r="G188" s="10"/>
      <c r="H188" s="11" t="str">
        <f aca="false">IFERROR(IF($D188="Manual Review","",IF($G188="","",IF($D188="Direct Expiry",$G188,EDATE($G188,$F188)))),"Check Date")</f>
        <v/>
      </c>
      <c r="I188" s="12" t="str">
        <f aca="true">IF($H188="","",IF(ISNUMBER($H188),$H188-TODAY(),""))</f>
        <v/>
      </c>
      <c r="J188" s="4" t="str">
        <f aca="true">IF($D188="Manual Review","Manual Review",IF($G188="","No Data",IF(NOT(ISNUMBER($H188)),"N/A",IF($H188&lt;TODAY(),"Overdue",IF($H188&lt;=TODAY()+30,"Due within 1 Month",IF($H188&lt;=TODAY()+60,"Due within 2 Months","OK"))))))</f>
        <v>No Data</v>
      </c>
      <c r="K188" s="13"/>
    </row>
    <row r="189" customFormat="false" ht="15" hidden="false" customHeight="false" outlineLevel="0" collapsed="false">
      <c r="A189" s="9" t="str">
        <f aca="false">Vessels!B6</f>
        <v>Vessel 02</v>
      </c>
      <c r="B189" s="9" t="s">
        <v>88</v>
      </c>
      <c r="C189" s="7" t="s">
        <v>108</v>
      </c>
      <c r="D189" s="9" t="s">
        <v>45</v>
      </c>
      <c r="E189" s="9" t="s">
        <v>110</v>
      </c>
      <c r="F189" s="5" t="n">
        <v>60</v>
      </c>
      <c r="G189" s="10"/>
      <c r="H189" s="11" t="str">
        <f aca="false">IFERROR(IF($D189="Manual Review","",IF($G189="","",IF($D189="Direct Expiry",$G189,EDATE($G189,$F189)))),"Check Date")</f>
        <v/>
      </c>
      <c r="I189" s="12" t="str">
        <f aca="true">IF($H189="","",IF(ISNUMBER($H189),$H189-TODAY(),""))</f>
        <v/>
      </c>
      <c r="J189" s="4" t="str">
        <f aca="true">IF($D189="Manual Review","Manual Review",IF($G189="","No Data",IF(NOT(ISNUMBER($H189)),"N/A",IF($H189&lt;TODAY(),"Overdue",IF($H189&lt;=TODAY()+30,"Due within 1 Month",IF($H189&lt;=TODAY()+60,"Due within 2 Months","OK"))))))</f>
        <v>No Data</v>
      </c>
      <c r="K189" s="13"/>
    </row>
    <row r="190" customFormat="false" ht="15" hidden="false" customHeight="false" outlineLevel="0" collapsed="false">
      <c r="A190" s="9" t="str">
        <f aca="false">Vessels!B6</f>
        <v>Vessel 02</v>
      </c>
      <c r="B190" s="9" t="s">
        <v>88</v>
      </c>
      <c r="C190" s="7" t="s">
        <v>111</v>
      </c>
      <c r="D190" s="9" t="s">
        <v>45</v>
      </c>
      <c r="E190" s="9" t="s">
        <v>44</v>
      </c>
      <c r="F190" s="5" t="n">
        <v>12</v>
      </c>
      <c r="G190" s="10"/>
      <c r="H190" s="11" t="str">
        <f aca="false">IFERROR(IF($D190="Manual Review","",IF($G190="","",IF($D190="Direct Expiry",$G190,EDATE($G190,$F190)))),"Check Date")</f>
        <v/>
      </c>
      <c r="I190" s="12" t="str">
        <f aca="true">IF($H190="","",IF(ISNUMBER($H190),$H190-TODAY(),""))</f>
        <v/>
      </c>
      <c r="J190" s="4" t="str">
        <f aca="true">IF($D190="Manual Review","Manual Review",IF($G190="","No Data",IF(NOT(ISNUMBER($H190)),"N/A",IF($H190&lt;TODAY(),"Overdue",IF($H190&lt;=TODAY()+30,"Due within 1 Month",IF($H190&lt;=TODAY()+60,"Due within 2 Months","OK"))))))</f>
        <v>No Data</v>
      </c>
      <c r="K190" s="13"/>
    </row>
    <row r="191" customFormat="false" ht="15" hidden="false" customHeight="false" outlineLevel="0" collapsed="false">
      <c r="A191" s="9" t="str">
        <f aca="false">Vessels!B6</f>
        <v>Vessel 02</v>
      </c>
      <c r="B191" s="9" t="s">
        <v>88</v>
      </c>
      <c r="C191" s="7" t="s">
        <v>112</v>
      </c>
      <c r="D191" s="9" t="s">
        <v>45</v>
      </c>
      <c r="E191" s="9" t="s">
        <v>44</v>
      </c>
      <c r="F191" s="5" t="n">
        <v>12</v>
      </c>
      <c r="G191" s="10"/>
      <c r="H191" s="11" t="str">
        <f aca="false">IFERROR(IF($D191="Manual Review","",IF($G191="","",IF($D191="Direct Expiry",$G191,EDATE($G191,$F191)))),"Check Date")</f>
        <v/>
      </c>
      <c r="I191" s="12" t="str">
        <f aca="true">IF($H191="","",IF(ISNUMBER($H191),$H191-TODAY(),""))</f>
        <v/>
      </c>
      <c r="J191" s="4" t="str">
        <f aca="true">IF($D191="Manual Review","Manual Review",IF($G191="","No Data",IF(NOT(ISNUMBER($H191)),"N/A",IF($H191&lt;TODAY(),"Overdue",IF($H191&lt;=TODAY()+30,"Due within 1 Month",IF($H191&lt;=TODAY()+60,"Due within 2 Months","OK"))))))</f>
        <v>No Data</v>
      </c>
      <c r="K191" s="13"/>
    </row>
    <row r="192" customFormat="false" ht="15" hidden="false" customHeight="false" outlineLevel="0" collapsed="false">
      <c r="A192" s="9" t="str">
        <f aca="false">Vessels!B6</f>
        <v>Vessel 02</v>
      </c>
      <c r="B192" s="9" t="s">
        <v>88</v>
      </c>
      <c r="C192" s="7" t="s">
        <v>113</v>
      </c>
      <c r="D192" s="9" t="s">
        <v>115</v>
      </c>
      <c r="E192" s="9" t="s">
        <v>114</v>
      </c>
      <c r="F192" s="5"/>
      <c r="G192" s="10"/>
      <c r="H192" s="11" t="str">
        <f aca="false">IFERROR(IF($D192="Manual Review","",IF($G192="","",IF($D192="Direct Expiry",$G192,EDATE($G192,$F192)))),"Check Date")</f>
        <v/>
      </c>
      <c r="I192" s="12" t="str">
        <f aca="true">IF($H192="","",IF(ISNUMBER($H192),$H192-TODAY(),""))</f>
        <v/>
      </c>
      <c r="J192" s="4" t="str">
        <f aca="true">IF($D192="Manual Review","Manual Review",IF($G192="","No Data",IF(NOT(ISNUMBER($H192)),"N/A",IF($H192&lt;TODAY(),"Overdue",IF($H192&lt;=TODAY()+30,"Due within 1 Month",IF($H192&lt;=TODAY()+60,"Due within 2 Months","OK"))))))</f>
        <v>Manual Review</v>
      </c>
      <c r="K192" s="13"/>
    </row>
    <row r="193" customFormat="false" ht="15" hidden="false" customHeight="false" outlineLevel="0" collapsed="false">
      <c r="A193" s="9" t="str">
        <f aca="false">Vessels!B6</f>
        <v>Vessel 02</v>
      </c>
      <c r="B193" s="9" t="s">
        <v>88</v>
      </c>
      <c r="C193" s="7" t="s">
        <v>116</v>
      </c>
      <c r="D193" s="9" t="s">
        <v>115</v>
      </c>
      <c r="E193" s="9" t="s">
        <v>114</v>
      </c>
      <c r="F193" s="5"/>
      <c r="G193" s="10"/>
      <c r="H193" s="11" t="str">
        <f aca="false">IFERROR(IF($D193="Manual Review","",IF($G193="","",IF($D193="Direct Expiry",$G193,EDATE($G193,$F193)))),"Check Date")</f>
        <v/>
      </c>
      <c r="I193" s="12" t="str">
        <f aca="true">IF($H193="","",IF(ISNUMBER($H193),$H193-TODAY(),""))</f>
        <v/>
      </c>
      <c r="J193" s="4" t="str">
        <f aca="true">IF($D193="Manual Review","Manual Review",IF($G193="","No Data",IF(NOT(ISNUMBER($H193)),"N/A",IF($H193&lt;TODAY(),"Overdue",IF($H193&lt;=TODAY()+30,"Due within 1 Month",IF($H193&lt;=TODAY()+60,"Due within 2 Months","OK"))))))</f>
        <v>Manual Review</v>
      </c>
      <c r="K193" s="13"/>
    </row>
    <row r="194" customFormat="false" ht="15" hidden="false" customHeight="false" outlineLevel="0" collapsed="false">
      <c r="A194" s="9" t="str">
        <f aca="false">Vessels!B6</f>
        <v>Vessel 02</v>
      </c>
      <c r="B194" s="9" t="s">
        <v>117</v>
      </c>
      <c r="C194" s="7" t="s">
        <v>118</v>
      </c>
      <c r="D194" s="9" t="s">
        <v>59</v>
      </c>
      <c r="E194" s="9" t="s">
        <v>119</v>
      </c>
      <c r="F194" s="5"/>
      <c r="G194" s="10"/>
      <c r="H194" s="11" t="str">
        <f aca="false">IFERROR(IF($D194="Manual Review","",IF($G194="","",IF($D194="Direct Expiry",$G194,EDATE($G194,$F194)))),"Check Date")</f>
        <v/>
      </c>
      <c r="I194" s="12" t="str">
        <f aca="true">IF($H194="","",IF(ISNUMBER($H194),$H194-TODAY(),""))</f>
        <v/>
      </c>
      <c r="J194" s="4" t="str">
        <f aca="true">IF($D194="Manual Review","Manual Review",IF($G194="","No Data",IF(NOT(ISNUMBER($H194)),"N/A",IF($H194&lt;TODAY(),"Overdue",IF($H194&lt;=TODAY()+30,"Due within 1 Month",IF($H194&lt;=TODAY()+60,"Due within 2 Months","OK"))))))</f>
        <v>No Data</v>
      </c>
      <c r="K194" s="13"/>
    </row>
    <row r="195" customFormat="false" ht="15" hidden="false" customHeight="false" outlineLevel="0" collapsed="false">
      <c r="A195" s="9" t="str">
        <f aca="false">Vessels!B6</f>
        <v>Vessel 02</v>
      </c>
      <c r="B195" s="9" t="s">
        <v>117</v>
      </c>
      <c r="C195" s="7" t="s">
        <v>120</v>
      </c>
      <c r="D195" s="9" t="s">
        <v>45</v>
      </c>
      <c r="E195" s="9" t="s">
        <v>44</v>
      </c>
      <c r="F195" s="5" t="n">
        <v>12</v>
      </c>
      <c r="G195" s="10"/>
      <c r="H195" s="11" t="str">
        <f aca="false">IFERROR(IF($D195="Manual Review","",IF($G195="","",IF($D195="Direct Expiry",$G195,EDATE($G195,$F195)))),"Check Date")</f>
        <v/>
      </c>
      <c r="I195" s="12" t="str">
        <f aca="true">IF($H195="","",IF(ISNUMBER($H195),$H195-TODAY(),""))</f>
        <v/>
      </c>
      <c r="J195" s="4" t="str">
        <f aca="true">IF($D195="Manual Review","Manual Review",IF($G195="","No Data",IF(NOT(ISNUMBER($H195)),"N/A",IF($H195&lt;TODAY(),"Overdue",IF($H195&lt;=TODAY()+30,"Due within 1 Month",IF($H195&lt;=TODAY()+60,"Due within 2 Months","OK"))))))</f>
        <v>No Data</v>
      </c>
      <c r="K195" s="13"/>
    </row>
    <row r="196" customFormat="false" ht="15" hidden="false" customHeight="false" outlineLevel="0" collapsed="false">
      <c r="A196" s="9" t="str">
        <f aca="false">Vessels!B6</f>
        <v>Vessel 02</v>
      </c>
      <c r="B196" s="9" t="s">
        <v>117</v>
      </c>
      <c r="C196" s="7" t="s">
        <v>121</v>
      </c>
      <c r="D196" s="9" t="s">
        <v>45</v>
      </c>
      <c r="E196" s="9" t="s">
        <v>44</v>
      </c>
      <c r="F196" s="5" t="n">
        <v>12</v>
      </c>
      <c r="G196" s="10"/>
      <c r="H196" s="11" t="str">
        <f aca="false">IFERROR(IF($D196="Manual Review","",IF($G196="","",IF($D196="Direct Expiry",$G196,EDATE($G196,$F196)))),"Check Date")</f>
        <v/>
      </c>
      <c r="I196" s="12" t="str">
        <f aca="true">IF($H196="","",IF(ISNUMBER($H196),$H196-TODAY(),""))</f>
        <v/>
      </c>
      <c r="J196" s="4" t="str">
        <f aca="true">IF($D196="Manual Review","Manual Review",IF($G196="","No Data",IF(NOT(ISNUMBER($H196)),"N/A",IF($H196&lt;TODAY(),"Overdue",IF($H196&lt;=TODAY()+30,"Due within 1 Month",IF($H196&lt;=TODAY()+60,"Due within 2 Months","OK"))))))</f>
        <v>No Data</v>
      </c>
      <c r="K196" s="13"/>
    </row>
    <row r="197" customFormat="false" ht="15" hidden="false" customHeight="false" outlineLevel="0" collapsed="false">
      <c r="A197" s="9" t="str">
        <f aca="false">Vessels!B6</f>
        <v>Vessel 02</v>
      </c>
      <c r="B197" s="9" t="s">
        <v>117</v>
      </c>
      <c r="C197" s="7" t="s">
        <v>122</v>
      </c>
      <c r="D197" s="9" t="s">
        <v>45</v>
      </c>
      <c r="E197" s="9" t="s">
        <v>123</v>
      </c>
      <c r="F197" s="5" t="n">
        <v>24</v>
      </c>
      <c r="G197" s="10"/>
      <c r="H197" s="11" t="str">
        <f aca="false">IFERROR(IF($D197="Manual Review","",IF($G197="","",IF($D197="Direct Expiry",$G197,EDATE($G197,$F197)))),"Check Date")</f>
        <v/>
      </c>
      <c r="I197" s="12" t="str">
        <f aca="true">IF($H197="","",IF(ISNUMBER($H197),$H197-TODAY(),""))</f>
        <v/>
      </c>
      <c r="J197" s="4" t="str">
        <f aca="true">IF($D197="Manual Review","Manual Review",IF($G197="","No Data",IF(NOT(ISNUMBER($H197)),"N/A",IF($H197&lt;TODAY(),"Overdue",IF($H197&lt;=TODAY()+30,"Due within 1 Month",IF($H197&lt;=TODAY()+60,"Due within 2 Months","OK"))))))</f>
        <v>No Data</v>
      </c>
      <c r="K197" s="13"/>
    </row>
    <row r="198" customFormat="false" ht="15" hidden="false" customHeight="false" outlineLevel="0" collapsed="false">
      <c r="A198" s="9" t="str">
        <f aca="false">Vessels!B6</f>
        <v>Vessel 02</v>
      </c>
      <c r="B198" s="9" t="s">
        <v>117</v>
      </c>
      <c r="C198" s="7" t="s">
        <v>124</v>
      </c>
      <c r="D198" s="9" t="s">
        <v>59</v>
      </c>
      <c r="E198" s="9" t="s">
        <v>58</v>
      </c>
      <c r="F198" s="5"/>
      <c r="G198" s="10"/>
      <c r="H198" s="11" t="str">
        <f aca="false">IFERROR(IF($D198="Manual Review","",IF($G198="","",IF($D198="Direct Expiry",$G198,EDATE($G198,$F198)))),"Check Date")</f>
        <v/>
      </c>
      <c r="I198" s="12" t="str">
        <f aca="true">IF($H198="","",IF(ISNUMBER($H198),$H198-TODAY(),""))</f>
        <v/>
      </c>
      <c r="J198" s="4" t="str">
        <f aca="true">IF($D198="Manual Review","Manual Review",IF($G198="","No Data",IF(NOT(ISNUMBER($H198)),"N/A",IF($H198&lt;TODAY(),"Overdue",IF($H198&lt;=TODAY()+30,"Due within 1 Month",IF($H198&lt;=TODAY()+60,"Due within 2 Months","OK"))))))</f>
        <v>No Data</v>
      </c>
      <c r="K198" s="13"/>
    </row>
    <row r="199" customFormat="false" ht="15" hidden="false" customHeight="false" outlineLevel="0" collapsed="false">
      <c r="A199" s="9" t="str">
        <f aca="false">Vessels!B6</f>
        <v>Vessel 02</v>
      </c>
      <c r="B199" s="9" t="s">
        <v>117</v>
      </c>
      <c r="C199" s="7" t="s">
        <v>125</v>
      </c>
      <c r="D199" s="9" t="s">
        <v>59</v>
      </c>
      <c r="E199" s="9" t="s">
        <v>58</v>
      </c>
      <c r="F199" s="5"/>
      <c r="G199" s="10"/>
      <c r="H199" s="11" t="str">
        <f aca="false">IFERROR(IF($D199="Manual Review","",IF($G199="","",IF($D199="Direct Expiry",$G199,EDATE($G199,$F199)))),"Check Date")</f>
        <v/>
      </c>
      <c r="I199" s="12" t="str">
        <f aca="true">IF($H199="","",IF(ISNUMBER($H199),$H199-TODAY(),""))</f>
        <v/>
      </c>
      <c r="J199" s="4" t="str">
        <f aca="true">IF($D199="Manual Review","Manual Review",IF($G199="","No Data",IF(NOT(ISNUMBER($H199)),"N/A",IF($H199&lt;TODAY(),"Overdue",IF($H199&lt;=TODAY()+30,"Due within 1 Month",IF($H199&lt;=TODAY()+60,"Due within 2 Months","OK"))))))</f>
        <v>No Data</v>
      </c>
      <c r="K199" s="13"/>
    </row>
    <row r="200" customFormat="false" ht="15" hidden="false" customHeight="false" outlineLevel="0" collapsed="false">
      <c r="A200" s="9" t="str">
        <f aca="false">Vessels!B6</f>
        <v>Vessel 02</v>
      </c>
      <c r="B200" s="9" t="s">
        <v>117</v>
      </c>
      <c r="C200" s="7" t="s">
        <v>126</v>
      </c>
      <c r="D200" s="9" t="s">
        <v>45</v>
      </c>
      <c r="E200" s="9" t="s">
        <v>44</v>
      </c>
      <c r="F200" s="5" t="n">
        <v>12</v>
      </c>
      <c r="G200" s="10"/>
      <c r="H200" s="11" t="str">
        <f aca="false">IFERROR(IF($D200="Manual Review","",IF($G200="","",IF($D200="Direct Expiry",$G200,EDATE($G200,$F200)))),"Check Date")</f>
        <v/>
      </c>
      <c r="I200" s="12" t="str">
        <f aca="true">IF($H200="","",IF(ISNUMBER($H200),$H200-TODAY(),""))</f>
        <v/>
      </c>
      <c r="J200" s="4" t="str">
        <f aca="true">IF($D200="Manual Review","Manual Review",IF($G200="","No Data",IF(NOT(ISNUMBER($H200)),"N/A",IF($H200&lt;TODAY(),"Overdue",IF($H200&lt;=TODAY()+30,"Due within 1 Month",IF($H200&lt;=TODAY()+60,"Due within 2 Months","OK"))))))</f>
        <v>No Data</v>
      </c>
      <c r="K200" s="13"/>
    </row>
    <row r="201" customFormat="false" ht="15" hidden="false" customHeight="false" outlineLevel="0" collapsed="false">
      <c r="A201" s="9" t="str">
        <f aca="false">Vessels!B6</f>
        <v>Vessel 02</v>
      </c>
      <c r="B201" s="9" t="s">
        <v>117</v>
      </c>
      <c r="C201" s="7" t="s">
        <v>127</v>
      </c>
      <c r="D201" s="9" t="s">
        <v>59</v>
      </c>
      <c r="E201" s="9" t="s">
        <v>58</v>
      </c>
      <c r="F201" s="5"/>
      <c r="G201" s="10"/>
      <c r="H201" s="11" t="str">
        <f aca="false">IFERROR(IF($D201="Manual Review","",IF($G201="","",IF($D201="Direct Expiry",$G201,EDATE($G201,$F201)))),"Check Date")</f>
        <v/>
      </c>
      <c r="I201" s="12" t="str">
        <f aca="true">IF($H201="","",IF(ISNUMBER($H201),$H201-TODAY(),""))</f>
        <v/>
      </c>
      <c r="J201" s="4" t="str">
        <f aca="true">IF($D201="Manual Review","Manual Review",IF($G201="","No Data",IF(NOT(ISNUMBER($H201)),"N/A",IF($H201&lt;TODAY(),"Overdue",IF($H201&lt;=TODAY()+30,"Due within 1 Month",IF($H201&lt;=TODAY()+60,"Due within 2 Months","OK"))))))</f>
        <v>No Data</v>
      </c>
      <c r="K201" s="13"/>
    </row>
    <row r="202" customFormat="false" ht="15" hidden="false" customHeight="false" outlineLevel="0" collapsed="false">
      <c r="A202" s="9" t="str">
        <f aca="false">Vessels!B6</f>
        <v>Vessel 02</v>
      </c>
      <c r="B202" s="9" t="s">
        <v>117</v>
      </c>
      <c r="C202" s="7" t="s">
        <v>128</v>
      </c>
      <c r="D202" s="9" t="s">
        <v>59</v>
      </c>
      <c r="E202" s="9" t="s">
        <v>58</v>
      </c>
      <c r="F202" s="5"/>
      <c r="G202" s="10"/>
      <c r="H202" s="11" t="str">
        <f aca="false">IFERROR(IF($D202="Manual Review","",IF($G202="","",IF($D202="Direct Expiry",$G202,EDATE($G202,$F202)))),"Check Date")</f>
        <v/>
      </c>
      <c r="I202" s="12" t="str">
        <f aca="true">IF($H202="","",IF(ISNUMBER($H202),$H202-TODAY(),""))</f>
        <v/>
      </c>
      <c r="J202" s="4" t="str">
        <f aca="true">IF($D202="Manual Review","Manual Review",IF($G202="","No Data",IF(NOT(ISNUMBER($H202)),"N/A",IF($H202&lt;TODAY(),"Overdue",IF($H202&lt;=TODAY()+30,"Due within 1 Month",IF($H202&lt;=TODAY()+60,"Due within 2 Months","OK"))))))</f>
        <v>No Data</v>
      </c>
      <c r="K202" s="13"/>
    </row>
    <row r="203" customFormat="false" ht="15" hidden="false" customHeight="false" outlineLevel="0" collapsed="false">
      <c r="A203" s="9" t="str">
        <f aca="false">Vessels!B6</f>
        <v>Vessel 02</v>
      </c>
      <c r="B203" s="9" t="s">
        <v>117</v>
      </c>
      <c r="C203" s="7" t="s">
        <v>129</v>
      </c>
      <c r="D203" s="9" t="s">
        <v>59</v>
      </c>
      <c r="E203" s="9" t="s">
        <v>58</v>
      </c>
      <c r="F203" s="5"/>
      <c r="G203" s="10"/>
      <c r="H203" s="11" t="str">
        <f aca="false">IFERROR(IF($D203="Manual Review","",IF($G203="","",IF($D203="Direct Expiry",$G203,EDATE($G203,$F203)))),"Check Date")</f>
        <v/>
      </c>
      <c r="I203" s="12" t="str">
        <f aca="true">IF($H203="","",IF(ISNUMBER($H203),$H203-TODAY(),""))</f>
        <v/>
      </c>
      <c r="J203" s="4" t="str">
        <f aca="true">IF($D203="Manual Review","Manual Review",IF($G203="","No Data",IF(NOT(ISNUMBER($H203)),"N/A",IF($H203&lt;TODAY(),"Overdue",IF($H203&lt;=TODAY()+30,"Due within 1 Month",IF($H203&lt;=TODAY()+60,"Due within 2 Months","OK"))))))</f>
        <v>No Data</v>
      </c>
      <c r="K203" s="13"/>
    </row>
    <row r="204" customFormat="false" ht="15" hidden="false" customHeight="false" outlineLevel="0" collapsed="false">
      <c r="A204" s="9" t="str">
        <f aca="false">Vessels!B6</f>
        <v>Vessel 02</v>
      </c>
      <c r="B204" s="9" t="s">
        <v>117</v>
      </c>
      <c r="C204" s="7" t="s">
        <v>130</v>
      </c>
      <c r="D204" s="9" t="s">
        <v>45</v>
      </c>
      <c r="E204" s="9" t="s">
        <v>44</v>
      </c>
      <c r="F204" s="5" t="n">
        <v>12</v>
      </c>
      <c r="G204" s="10"/>
      <c r="H204" s="11" t="str">
        <f aca="false">IFERROR(IF($D204="Manual Review","",IF($G204="","",IF($D204="Direct Expiry",$G204,EDATE($G204,$F204)))),"Check Date")</f>
        <v/>
      </c>
      <c r="I204" s="12" t="str">
        <f aca="true">IF($H204="","",IF(ISNUMBER($H204),$H204-TODAY(),""))</f>
        <v/>
      </c>
      <c r="J204" s="4" t="str">
        <f aca="true">IF($D204="Manual Review","Manual Review",IF($G204="","No Data",IF(NOT(ISNUMBER($H204)),"N/A",IF($H204&lt;TODAY(),"Overdue",IF($H204&lt;=TODAY()+30,"Due within 1 Month",IF($H204&lt;=TODAY()+60,"Due within 2 Months","OK"))))))</f>
        <v>No Data</v>
      </c>
      <c r="K204" s="13"/>
    </row>
    <row r="205" customFormat="false" ht="15" hidden="false" customHeight="false" outlineLevel="0" collapsed="false">
      <c r="A205" s="9" t="str">
        <f aca="false">Vessels!B6</f>
        <v>Vessel 02</v>
      </c>
      <c r="B205" s="9" t="s">
        <v>117</v>
      </c>
      <c r="C205" s="7" t="s">
        <v>131</v>
      </c>
      <c r="D205" s="9" t="s">
        <v>45</v>
      </c>
      <c r="E205" s="9" t="s">
        <v>44</v>
      </c>
      <c r="F205" s="5" t="n">
        <v>12</v>
      </c>
      <c r="G205" s="10"/>
      <c r="H205" s="11" t="str">
        <f aca="false">IFERROR(IF($D205="Manual Review","",IF($G205="","",IF($D205="Direct Expiry",$G205,EDATE($G205,$F205)))),"Check Date")</f>
        <v/>
      </c>
      <c r="I205" s="12" t="str">
        <f aca="true">IF($H205="","",IF(ISNUMBER($H205),$H205-TODAY(),""))</f>
        <v/>
      </c>
      <c r="J205" s="4" t="str">
        <f aca="true">IF($D205="Manual Review","Manual Review",IF($G205="","No Data",IF(NOT(ISNUMBER($H205)),"N/A",IF($H205&lt;TODAY(),"Overdue",IF($H205&lt;=TODAY()+30,"Due within 1 Month",IF($H205&lt;=TODAY()+60,"Due within 2 Months","OK"))))))</f>
        <v>No Data</v>
      </c>
      <c r="K205" s="13"/>
    </row>
    <row r="206" customFormat="false" ht="15" hidden="false" customHeight="false" outlineLevel="0" collapsed="false">
      <c r="A206" s="9" t="str">
        <f aca="false">Vessels!B6</f>
        <v>Vessel 02</v>
      </c>
      <c r="B206" s="9" t="s">
        <v>117</v>
      </c>
      <c r="C206" s="7" t="s">
        <v>132</v>
      </c>
      <c r="D206" s="9" t="s">
        <v>45</v>
      </c>
      <c r="E206" s="9" t="s">
        <v>44</v>
      </c>
      <c r="F206" s="5" t="n">
        <v>12</v>
      </c>
      <c r="G206" s="10"/>
      <c r="H206" s="11" t="str">
        <f aca="false">IFERROR(IF($D206="Manual Review","",IF($G206="","",IF($D206="Direct Expiry",$G206,EDATE($G206,$F206)))),"Check Date")</f>
        <v/>
      </c>
      <c r="I206" s="12" t="str">
        <f aca="true">IF($H206="","",IF(ISNUMBER($H206),$H206-TODAY(),""))</f>
        <v/>
      </c>
      <c r="J206" s="4" t="str">
        <f aca="true">IF($D206="Manual Review","Manual Review",IF($G206="","No Data",IF(NOT(ISNUMBER($H206)),"N/A",IF($H206&lt;TODAY(),"Overdue",IF($H206&lt;=TODAY()+30,"Due within 1 Month",IF($H206&lt;=TODAY()+60,"Due within 2 Months","OK"))))))</f>
        <v>No Data</v>
      </c>
      <c r="K206" s="13"/>
    </row>
    <row r="207" customFormat="false" ht="15" hidden="false" customHeight="false" outlineLevel="0" collapsed="false">
      <c r="A207" s="9" t="str">
        <f aca="false">Vessels!B6</f>
        <v>Vessel 02</v>
      </c>
      <c r="B207" s="9" t="s">
        <v>117</v>
      </c>
      <c r="C207" s="7" t="s">
        <v>133</v>
      </c>
      <c r="D207" s="9" t="s">
        <v>45</v>
      </c>
      <c r="E207" s="9" t="s">
        <v>44</v>
      </c>
      <c r="F207" s="5" t="n">
        <v>12</v>
      </c>
      <c r="G207" s="10"/>
      <c r="H207" s="11" t="str">
        <f aca="false">IFERROR(IF($D207="Manual Review","",IF($G207="","",IF($D207="Direct Expiry",$G207,EDATE($G207,$F207)))),"Check Date")</f>
        <v/>
      </c>
      <c r="I207" s="12" t="str">
        <f aca="true">IF($H207="","",IF(ISNUMBER($H207),$H207-TODAY(),""))</f>
        <v/>
      </c>
      <c r="J207" s="4" t="str">
        <f aca="true">IF($D207="Manual Review","Manual Review",IF($G207="","No Data",IF(NOT(ISNUMBER($H207)),"N/A",IF($H207&lt;TODAY(),"Overdue",IF($H207&lt;=TODAY()+30,"Due within 1 Month",IF($H207&lt;=TODAY()+60,"Due within 2 Months","OK"))))))</f>
        <v>No Data</v>
      </c>
      <c r="K207" s="13"/>
    </row>
    <row r="208" customFormat="false" ht="15" hidden="false" customHeight="false" outlineLevel="0" collapsed="false">
      <c r="A208" s="9" t="str">
        <f aca="false">Vessels!B6</f>
        <v>Vessel 02</v>
      </c>
      <c r="B208" s="9" t="s">
        <v>117</v>
      </c>
      <c r="C208" s="7" t="s">
        <v>134</v>
      </c>
      <c r="D208" s="9" t="s">
        <v>45</v>
      </c>
      <c r="E208" s="9" t="s">
        <v>44</v>
      </c>
      <c r="F208" s="5" t="n">
        <v>12</v>
      </c>
      <c r="G208" s="10"/>
      <c r="H208" s="11" t="str">
        <f aca="false">IFERROR(IF($D208="Manual Review","",IF($G208="","",IF($D208="Direct Expiry",$G208,EDATE($G208,$F208)))),"Check Date")</f>
        <v/>
      </c>
      <c r="I208" s="12" t="str">
        <f aca="true">IF($H208="","",IF(ISNUMBER($H208),$H208-TODAY(),""))</f>
        <v/>
      </c>
      <c r="J208" s="4" t="str">
        <f aca="true">IF($D208="Manual Review","Manual Review",IF($G208="","No Data",IF(NOT(ISNUMBER($H208)),"N/A",IF($H208&lt;TODAY(),"Overdue",IF($H208&lt;=TODAY()+30,"Due within 1 Month",IF($H208&lt;=TODAY()+60,"Due within 2 Months","OK"))))))</f>
        <v>No Data</v>
      </c>
      <c r="K208" s="13"/>
    </row>
    <row r="209" customFormat="false" ht="15" hidden="false" customHeight="false" outlineLevel="0" collapsed="false">
      <c r="A209" s="9" t="str">
        <f aca="false">Vessels!B6</f>
        <v>Vessel 02</v>
      </c>
      <c r="B209" s="9" t="s">
        <v>117</v>
      </c>
      <c r="C209" s="7" t="s">
        <v>135</v>
      </c>
      <c r="D209" s="9" t="s">
        <v>45</v>
      </c>
      <c r="E209" s="9" t="s">
        <v>44</v>
      </c>
      <c r="F209" s="5" t="n">
        <v>12</v>
      </c>
      <c r="G209" s="10"/>
      <c r="H209" s="11" t="str">
        <f aca="false">IFERROR(IF($D209="Manual Review","",IF($G209="","",IF($D209="Direct Expiry",$G209,EDATE($G209,$F209)))),"Check Date")</f>
        <v/>
      </c>
      <c r="I209" s="12" t="str">
        <f aca="true">IF($H209="","",IF(ISNUMBER($H209),$H209-TODAY(),""))</f>
        <v/>
      </c>
      <c r="J209" s="4" t="str">
        <f aca="true">IF($D209="Manual Review","Manual Review",IF($G209="","No Data",IF(NOT(ISNUMBER($H209)),"N/A",IF($H209&lt;TODAY(),"Overdue",IF($H209&lt;=TODAY()+30,"Due within 1 Month",IF($H209&lt;=TODAY()+60,"Due within 2 Months","OK"))))))</f>
        <v>No Data</v>
      </c>
      <c r="K209" s="13"/>
    </row>
    <row r="210" customFormat="false" ht="15" hidden="false" customHeight="false" outlineLevel="0" collapsed="false">
      <c r="A210" s="9" t="str">
        <f aca="false">Vessels!B6</f>
        <v>Vessel 02</v>
      </c>
      <c r="B210" s="9" t="s">
        <v>136</v>
      </c>
      <c r="C210" s="7" t="s">
        <v>137</v>
      </c>
      <c r="D210" s="9" t="s">
        <v>45</v>
      </c>
      <c r="E210" s="9" t="s">
        <v>44</v>
      </c>
      <c r="F210" s="5" t="n">
        <v>12</v>
      </c>
      <c r="G210" s="10"/>
      <c r="H210" s="11" t="str">
        <f aca="false">IFERROR(IF($D210="Manual Review","",IF($G210="","",IF($D210="Direct Expiry",$G210,EDATE($G210,$F210)))),"Check Date")</f>
        <v/>
      </c>
      <c r="I210" s="12" t="str">
        <f aca="true">IF($H210="","",IF(ISNUMBER($H210),$H210-TODAY(),""))</f>
        <v/>
      </c>
      <c r="J210" s="4" t="str">
        <f aca="true">IF($D210="Manual Review","Manual Review",IF($G210="","No Data",IF(NOT(ISNUMBER($H210)),"N/A",IF($H210&lt;TODAY(),"Overdue",IF($H210&lt;=TODAY()+30,"Due within 1 Month",IF($H210&lt;=TODAY()+60,"Due within 2 Months","OK"))))))</f>
        <v>No Data</v>
      </c>
      <c r="K210" s="13"/>
    </row>
    <row r="211" customFormat="false" ht="15" hidden="false" customHeight="false" outlineLevel="0" collapsed="false">
      <c r="A211" s="9" t="str">
        <f aca="false">Vessels!B6</f>
        <v>Vessel 02</v>
      </c>
      <c r="B211" s="9" t="s">
        <v>136</v>
      </c>
      <c r="C211" s="7" t="s">
        <v>138</v>
      </c>
      <c r="D211" s="9" t="s">
        <v>45</v>
      </c>
      <c r="E211" s="9" t="s">
        <v>44</v>
      </c>
      <c r="F211" s="5" t="n">
        <v>12</v>
      </c>
      <c r="G211" s="10"/>
      <c r="H211" s="11" t="str">
        <f aca="false">IFERROR(IF($D211="Manual Review","",IF($G211="","",IF($D211="Direct Expiry",$G211,EDATE($G211,$F211)))),"Check Date")</f>
        <v/>
      </c>
      <c r="I211" s="12" t="str">
        <f aca="true">IF($H211="","",IF(ISNUMBER($H211),$H211-TODAY(),""))</f>
        <v/>
      </c>
      <c r="J211" s="4" t="str">
        <f aca="true">IF($D211="Manual Review","Manual Review",IF($G211="","No Data",IF(NOT(ISNUMBER($H211)),"N/A",IF($H211&lt;TODAY(),"Overdue",IF($H211&lt;=TODAY()+30,"Due within 1 Month",IF($H211&lt;=TODAY()+60,"Due within 2 Months","OK"))))))</f>
        <v>No Data</v>
      </c>
      <c r="K211" s="13"/>
    </row>
    <row r="212" customFormat="false" ht="15" hidden="false" customHeight="false" outlineLevel="0" collapsed="false">
      <c r="A212" s="9" t="str">
        <f aca="false">Vessels!B6</f>
        <v>Vessel 02</v>
      </c>
      <c r="B212" s="9" t="s">
        <v>136</v>
      </c>
      <c r="C212" s="7" t="s">
        <v>139</v>
      </c>
      <c r="D212" s="9" t="s">
        <v>45</v>
      </c>
      <c r="E212" s="9" t="s">
        <v>140</v>
      </c>
      <c r="F212" s="5" t="n">
        <v>12</v>
      </c>
      <c r="G212" s="10"/>
      <c r="H212" s="11" t="str">
        <f aca="false">IFERROR(IF($D212="Manual Review","",IF($G212="","",IF($D212="Direct Expiry",$G212,EDATE($G212,$F212)))),"Check Date")</f>
        <v/>
      </c>
      <c r="I212" s="12" t="str">
        <f aca="true">IF($H212="","",IF(ISNUMBER($H212),$H212-TODAY(),""))</f>
        <v/>
      </c>
      <c r="J212" s="4" t="str">
        <f aca="true">IF($D212="Manual Review","Manual Review",IF($G212="","No Data",IF(NOT(ISNUMBER($H212)),"N/A",IF($H212&lt;TODAY(),"Overdue",IF($H212&lt;=TODAY()+30,"Due within 1 Month",IF($H212&lt;=TODAY()+60,"Due within 2 Months","OK"))))))</f>
        <v>No Data</v>
      </c>
      <c r="K212" s="13"/>
    </row>
    <row r="213" customFormat="false" ht="15" hidden="false" customHeight="false" outlineLevel="0" collapsed="false">
      <c r="A213" s="9" t="str">
        <f aca="false">Vessels!B6</f>
        <v>Vessel 02</v>
      </c>
      <c r="B213" s="9" t="s">
        <v>136</v>
      </c>
      <c r="C213" s="7" t="s">
        <v>141</v>
      </c>
      <c r="D213" s="9" t="s">
        <v>45</v>
      </c>
      <c r="E213" s="9" t="s">
        <v>44</v>
      </c>
      <c r="F213" s="5" t="n">
        <v>12</v>
      </c>
      <c r="G213" s="10"/>
      <c r="H213" s="11" t="str">
        <f aca="false">IFERROR(IF($D213="Manual Review","",IF($G213="","",IF($D213="Direct Expiry",$G213,EDATE($G213,$F213)))),"Check Date")</f>
        <v/>
      </c>
      <c r="I213" s="12" t="str">
        <f aca="true">IF($H213="","",IF(ISNUMBER($H213),$H213-TODAY(),""))</f>
        <v/>
      </c>
      <c r="J213" s="4" t="str">
        <f aca="true">IF($D213="Manual Review","Manual Review",IF($G213="","No Data",IF(NOT(ISNUMBER($H213)),"N/A",IF($H213&lt;TODAY(),"Overdue",IF($H213&lt;=TODAY()+30,"Due within 1 Month",IF($H213&lt;=TODAY()+60,"Due within 2 Months","OK"))))))</f>
        <v>No Data</v>
      </c>
      <c r="K213" s="13"/>
    </row>
    <row r="214" customFormat="false" ht="15" hidden="false" customHeight="false" outlineLevel="0" collapsed="false">
      <c r="A214" s="9" t="str">
        <f aca="false">Vessels!B6</f>
        <v>Vessel 02</v>
      </c>
      <c r="B214" s="9" t="s">
        <v>136</v>
      </c>
      <c r="C214" s="7" t="s">
        <v>142</v>
      </c>
      <c r="D214" s="9" t="s">
        <v>115</v>
      </c>
      <c r="E214" s="9" t="s">
        <v>143</v>
      </c>
      <c r="F214" s="5"/>
      <c r="G214" s="10"/>
      <c r="H214" s="11" t="str">
        <f aca="false">IFERROR(IF($D214="Manual Review","",IF($G214="","",IF($D214="Direct Expiry",$G214,EDATE($G214,$F214)))),"Check Date")</f>
        <v/>
      </c>
      <c r="I214" s="12" t="str">
        <f aca="true">IF($H214="","",IF(ISNUMBER($H214),$H214-TODAY(),""))</f>
        <v/>
      </c>
      <c r="J214" s="4" t="str">
        <f aca="true">IF($D214="Manual Review","Manual Review",IF($G214="","No Data",IF(NOT(ISNUMBER($H214)),"N/A",IF($H214&lt;TODAY(),"Overdue",IF($H214&lt;=TODAY()+30,"Due within 1 Month",IF($H214&lt;=TODAY()+60,"Due within 2 Months","OK"))))))</f>
        <v>Manual Review</v>
      </c>
      <c r="K214" s="13"/>
    </row>
    <row r="215" customFormat="false" ht="15" hidden="false" customHeight="false" outlineLevel="0" collapsed="false">
      <c r="A215" s="9" t="str">
        <f aca="false">Vessels!B6</f>
        <v>Vessel 02</v>
      </c>
      <c r="B215" s="9" t="s">
        <v>136</v>
      </c>
      <c r="C215" s="7" t="s">
        <v>144</v>
      </c>
      <c r="D215" s="9" t="s">
        <v>45</v>
      </c>
      <c r="E215" s="9" t="s">
        <v>44</v>
      </c>
      <c r="F215" s="5" t="n">
        <v>12</v>
      </c>
      <c r="G215" s="10"/>
      <c r="H215" s="11" t="str">
        <f aca="false">IFERROR(IF($D215="Manual Review","",IF($G215="","",IF($D215="Direct Expiry",$G215,EDATE($G215,$F215)))),"Check Date")</f>
        <v/>
      </c>
      <c r="I215" s="12" t="str">
        <f aca="true">IF($H215="","",IF(ISNUMBER($H215),$H215-TODAY(),""))</f>
        <v/>
      </c>
      <c r="J215" s="4" t="str">
        <f aca="true">IF($D215="Manual Review","Manual Review",IF($G215="","No Data",IF(NOT(ISNUMBER($H215)),"N/A",IF($H215&lt;TODAY(),"Overdue",IF($H215&lt;=TODAY()+30,"Due within 1 Month",IF($H215&lt;=TODAY()+60,"Due within 2 Months","OK"))))))</f>
        <v>No Data</v>
      </c>
      <c r="K215" s="13"/>
    </row>
    <row r="216" customFormat="false" ht="15" hidden="false" customHeight="false" outlineLevel="0" collapsed="false">
      <c r="A216" s="9" t="str">
        <f aca="false">Vessels!B6</f>
        <v>Vessel 02</v>
      </c>
      <c r="B216" s="9" t="s">
        <v>136</v>
      </c>
      <c r="C216" s="7" t="s">
        <v>145</v>
      </c>
      <c r="D216" s="9" t="s">
        <v>45</v>
      </c>
      <c r="E216" s="9" t="s">
        <v>44</v>
      </c>
      <c r="F216" s="5" t="n">
        <v>12</v>
      </c>
      <c r="G216" s="10"/>
      <c r="H216" s="11" t="str">
        <f aca="false">IFERROR(IF($D216="Manual Review","",IF($G216="","",IF($D216="Direct Expiry",$G216,EDATE($G216,$F216)))),"Check Date")</f>
        <v/>
      </c>
      <c r="I216" s="12" t="str">
        <f aca="true">IF($H216="","",IF(ISNUMBER($H216),$H216-TODAY(),""))</f>
        <v/>
      </c>
      <c r="J216" s="4" t="str">
        <f aca="true">IF($D216="Manual Review","Manual Review",IF($G216="","No Data",IF(NOT(ISNUMBER($H216)),"N/A",IF($H216&lt;TODAY(),"Overdue",IF($H216&lt;=TODAY()+30,"Due within 1 Month",IF($H216&lt;=TODAY()+60,"Due within 2 Months","OK"))))))</f>
        <v>No Data</v>
      </c>
      <c r="K216" s="13"/>
    </row>
    <row r="217" customFormat="false" ht="15" hidden="false" customHeight="false" outlineLevel="0" collapsed="false">
      <c r="A217" s="9" t="str">
        <f aca="false">Vessels!B6</f>
        <v>Vessel 02</v>
      </c>
      <c r="B217" s="9" t="s">
        <v>136</v>
      </c>
      <c r="C217" s="7" t="s">
        <v>146</v>
      </c>
      <c r="D217" s="9" t="s">
        <v>45</v>
      </c>
      <c r="E217" s="9" t="s">
        <v>44</v>
      </c>
      <c r="F217" s="5" t="n">
        <v>12</v>
      </c>
      <c r="G217" s="10"/>
      <c r="H217" s="11" t="str">
        <f aca="false">IFERROR(IF($D217="Manual Review","",IF($G217="","",IF($D217="Direct Expiry",$G217,EDATE($G217,$F217)))),"Check Date")</f>
        <v/>
      </c>
      <c r="I217" s="12" t="str">
        <f aca="true">IF($H217="","",IF(ISNUMBER($H217),$H217-TODAY(),""))</f>
        <v/>
      </c>
      <c r="J217" s="4" t="str">
        <f aca="true">IF($D217="Manual Review","Manual Review",IF($G217="","No Data",IF(NOT(ISNUMBER($H217)),"N/A",IF($H217&lt;TODAY(),"Overdue",IF($H217&lt;=TODAY()+30,"Due within 1 Month",IF($H217&lt;=TODAY()+60,"Due within 2 Months","OK"))))))</f>
        <v>No Data</v>
      </c>
      <c r="K217" s="13"/>
    </row>
    <row r="218" customFormat="false" ht="15" hidden="false" customHeight="false" outlineLevel="0" collapsed="false">
      <c r="A218" s="9" t="str">
        <f aca="false">Vessels!B6</f>
        <v>Vessel 02</v>
      </c>
      <c r="B218" s="9" t="s">
        <v>136</v>
      </c>
      <c r="C218" s="7" t="s">
        <v>147</v>
      </c>
      <c r="D218" s="9" t="s">
        <v>45</v>
      </c>
      <c r="E218" s="9" t="s">
        <v>44</v>
      </c>
      <c r="F218" s="5" t="n">
        <v>12</v>
      </c>
      <c r="G218" s="10"/>
      <c r="H218" s="11" t="str">
        <f aca="false">IFERROR(IF($D218="Manual Review","",IF($G218="","",IF($D218="Direct Expiry",$G218,EDATE($G218,$F218)))),"Check Date")</f>
        <v/>
      </c>
      <c r="I218" s="12" t="str">
        <f aca="true">IF($H218="","",IF(ISNUMBER($H218),$H218-TODAY(),""))</f>
        <v/>
      </c>
      <c r="J218" s="4" t="str">
        <f aca="true">IF($D218="Manual Review","Manual Review",IF($G218="","No Data",IF(NOT(ISNUMBER($H218)),"N/A",IF($H218&lt;TODAY(),"Overdue",IF($H218&lt;=TODAY()+30,"Due within 1 Month",IF($H218&lt;=TODAY()+60,"Due within 2 Months","OK"))))))</f>
        <v>No Data</v>
      </c>
      <c r="K218" s="13"/>
    </row>
    <row r="219" customFormat="false" ht="15" hidden="false" customHeight="false" outlineLevel="0" collapsed="false">
      <c r="A219" s="9" t="str">
        <f aca="false">Vessels!B6</f>
        <v>Vessel 02</v>
      </c>
      <c r="B219" s="9" t="s">
        <v>136</v>
      </c>
      <c r="C219" s="7" t="s">
        <v>148</v>
      </c>
      <c r="D219" s="9" t="s">
        <v>45</v>
      </c>
      <c r="E219" s="9" t="s">
        <v>44</v>
      </c>
      <c r="F219" s="5" t="n">
        <v>12</v>
      </c>
      <c r="G219" s="10"/>
      <c r="H219" s="11" t="str">
        <f aca="false">IFERROR(IF($D219="Manual Review","",IF($G219="","",IF($D219="Direct Expiry",$G219,EDATE($G219,$F219)))),"Check Date")</f>
        <v/>
      </c>
      <c r="I219" s="12" t="str">
        <f aca="true">IF($H219="","",IF(ISNUMBER($H219),$H219-TODAY(),""))</f>
        <v/>
      </c>
      <c r="J219" s="4" t="str">
        <f aca="true">IF($D219="Manual Review","Manual Review",IF($G219="","No Data",IF(NOT(ISNUMBER($H219)),"N/A",IF($H219&lt;TODAY(),"Overdue",IF($H219&lt;=TODAY()+30,"Due within 1 Month",IF($H219&lt;=TODAY()+60,"Due within 2 Months","OK"))))))</f>
        <v>No Data</v>
      </c>
      <c r="K219" s="13"/>
    </row>
    <row r="220" customFormat="false" ht="15" hidden="false" customHeight="false" outlineLevel="0" collapsed="false">
      <c r="A220" s="9" t="str">
        <f aca="false">Vessels!B6</f>
        <v>Vessel 02</v>
      </c>
      <c r="B220" s="9" t="s">
        <v>136</v>
      </c>
      <c r="C220" s="7" t="s">
        <v>149</v>
      </c>
      <c r="D220" s="9" t="s">
        <v>45</v>
      </c>
      <c r="E220" s="9" t="s">
        <v>44</v>
      </c>
      <c r="F220" s="5" t="n">
        <v>12</v>
      </c>
      <c r="G220" s="10"/>
      <c r="H220" s="11" t="str">
        <f aca="false">IFERROR(IF($D220="Manual Review","",IF($G220="","",IF($D220="Direct Expiry",$G220,EDATE($G220,$F220)))),"Check Date")</f>
        <v/>
      </c>
      <c r="I220" s="12" t="str">
        <f aca="true">IF($H220="","",IF(ISNUMBER($H220),$H220-TODAY(),""))</f>
        <v/>
      </c>
      <c r="J220" s="4" t="str">
        <f aca="true">IF($D220="Manual Review","Manual Review",IF($G220="","No Data",IF(NOT(ISNUMBER($H220)),"N/A",IF($H220&lt;TODAY(),"Overdue",IF($H220&lt;=TODAY()+30,"Due within 1 Month",IF($H220&lt;=TODAY()+60,"Due within 2 Months","OK"))))))</f>
        <v>No Data</v>
      </c>
      <c r="K220" s="13"/>
    </row>
    <row r="221" customFormat="false" ht="15" hidden="false" customHeight="false" outlineLevel="0" collapsed="false">
      <c r="A221" s="9" t="str">
        <f aca="false">Vessels!B6</f>
        <v>Vessel 02</v>
      </c>
      <c r="B221" s="9" t="s">
        <v>136</v>
      </c>
      <c r="C221" s="7" t="s">
        <v>150</v>
      </c>
      <c r="D221" s="9" t="s">
        <v>45</v>
      </c>
      <c r="E221" s="9" t="s">
        <v>44</v>
      </c>
      <c r="F221" s="5" t="n">
        <v>12</v>
      </c>
      <c r="G221" s="10"/>
      <c r="H221" s="11" t="str">
        <f aca="false">IFERROR(IF($D221="Manual Review","",IF($G221="","",IF($D221="Direct Expiry",$G221,EDATE($G221,$F221)))),"Check Date")</f>
        <v/>
      </c>
      <c r="I221" s="12" t="str">
        <f aca="true">IF($H221="","",IF(ISNUMBER($H221),$H221-TODAY(),""))</f>
        <v/>
      </c>
      <c r="J221" s="4" t="str">
        <f aca="true">IF($D221="Manual Review","Manual Review",IF($G221="","No Data",IF(NOT(ISNUMBER($H221)),"N/A",IF($H221&lt;TODAY(),"Overdue",IF($H221&lt;=TODAY()+30,"Due within 1 Month",IF($H221&lt;=TODAY()+60,"Due within 2 Months","OK"))))))</f>
        <v>No Data</v>
      </c>
      <c r="K221" s="13"/>
    </row>
    <row r="222" customFormat="false" ht="15" hidden="false" customHeight="false" outlineLevel="0" collapsed="false">
      <c r="A222" s="9" t="str">
        <f aca="false">Vessels!B6</f>
        <v>Vessel 02</v>
      </c>
      <c r="B222" s="9" t="s">
        <v>136</v>
      </c>
      <c r="C222" s="7" t="s">
        <v>151</v>
      </c>
      <c r="D222" s="9" t="s">
        <v>45</v>
      </c>
      <c r="E222" s="9" t="s">
        <v>44</v>
      </c>
      <c r="F222" s="5" t="n">
        <v>12</v>
      </c>
      <c r="G222" s="10"/>
      <c r="H222" s="11" t="str">
        <f aca="false">IFERROR(IF($D222="Manual Review","",IF($G222="","",IF($D222="Direct Expiry",$G222,EDATE($G222,$F222)))),"Check Date")</f>
        <v/>
      </c>
      <c r="I222" s="12" t="str">
        <f aca="true">IF($H222="","",IF(ISNUMBER($H222),$H222-TODAY(),""))</f>
        <v/>
      </c>
      <c r="J222" s="4" t="str">
        <f aca="true">IF($D222="Manual Review","Manual Review",IF($G222="","No Data",IF(NOT(ISNUMBER($H222)),"N/A",IF($H222&lt;TODAY(),"Overdue",IF($H222&lt;=TODAY()+30,"Due within 1 Month",IF($H222&lt;=TODAY()+60,"Due within 2 Months","OK"))))))</f>
        <v>No Data</v>
      </c>
      <c r="K222" s="13"/>
    </row>
    <row r="223" customFormat="false" ht="15" hidden="false" customHeight="false" outlineLevel="0" collapsed="false">
      <c r="A223" s="9" t="str">
        <f aca="false">Vessels!B6</f>
        <v>Vessel 02</v>
      </c>
      <c r="B223" s="9" t="s">
        <v>136</v>
      </c>
      <c r="C223" s="7" t="s">
        <v>152</v>
      </c>
      <c r="D223" s="9" t="s">
        <v>45</v>
      </c>
      <c r="E223" s="9" t="s">
        <v>44</v>
      </c>
      <c r="F223" s="5" t="n">
        <v>12</v>
      </c>
      <c r="G223" s="10"/>
      <c r="H223" s="11" t="str">
        <f aca="false">IFERROR(IF($D223="Manual Review","",IF($G223="","",IF($D223="Direct Expiry",$G223,EDATE($G223,$F223)))),"Check Date")</f>
        <v/>
      </c>
      <c r="I223" s="12" t="str">
        <f aca="true">IF($H223="","",IF(ISNUMBER($H223),$H223-TODAY(),""))</f>
        <v/>
      </c>
      <c r="J223" s="4" t="str">
        <f aca="true">IF($D223="Manual Review","Manual Review",IF($G223="","No Data",IF(NOT(ISNUMBER($H223)),"N/A",IF($H223&lt;TODAY(),"Overdue",IF($H223&lt;=TODAY()+30,"Due within 1 Month",IF($H223&lt;=TODAY()+60,"Due within 2 Months","OK"))))))</f>
        <v>No Data</v>
      </c>
      <c r="K223" s="13"/>
    </row>
    <row r="224" customFormat="false" ht="15" hidden="false" customHeight="false" outlineLevel="0" collapsed="false">
      <c r="A224" s="9" t="str">
        <f aca="false">Vessels!B6</f>
        <v>Vessel 02</v>
      </c>
      <c r="B224" s="9" t="s">
        <v>136</v>
      </c>
      <c r="C224" s="7" t="s">
        <v>153</v>
      </c>
      <c r="D224" s="9" t="s">
        <v>45</v>
      </c>
      <c r="E224" s="9" t="s">
        <v>44</v>
      </c>
      <c r="F224" s="5" t="n">
        <v>12</v>
      </c>
      <c r="G224" s="10"/>
      <c r="H224" s="11" t="str">
        <f aca="false">IFERROR(IF($D224="Manual Review","",IF($G224="","",IF($D224="Direct Expiry",$G224,EDATE($G224,$F224)))),"Check Date")</f>
        <v/>
      </c>
      <c r="I224" s="12" t="str">
        <f aca="true">IF($H224="","",IF(ISNUMBER($H224),$H224-TODAY(),""))</f>
        <v/>
      </c>
      <c r="J224" s="4" t="str">
        <f aca="true">IF($D224="Manual Review","Manual Review",IF($G224="","No Data",IF(NOT(ISNUMBER($H224)),"N/A",IF($H224&lt;TODAY(),"Overdue",IF($H224&lt;=TODAY()+30,"Due within 1 Month",IF($H224&lt;=TODAY()+60,"Due within 2 Months","OK"))))))</f>
        <v>No Data</v>
      </c>
      <c r="K224" s="13"/>
    </row>
    <row r="225" customFormat="false" ht="15" hidden="false" customHeight="false" outlineLevel="0" collapsed="false">
      <c r="A225" s="9" t="str">
        <f aca="false">Vessels!B6</f>
        <v>Vessel 02</v>
      </c>
      <c r="B225" s="9" t="s">
        <v>136</v>
      </c>
      <c r="C225" s="7" t="s">
        <v>154</v>
      </c>
      <c r="D225" s="9" t="s">
        <v>45</v>
      </c>
      <c r="E225" s="9" t="s">
        <v>44</v>
      </c>
      <c r="F225" s="5" t="n">
        <v>12</v>
      </c>
      <c r="G225" s="10"/>
      <c r="H225" s="11" t="str">
        <f aca="false">IFERROR(IF($D225="Manual Review","",IF($G225="","",IF($D225="Direct Expiry",$G225,EDATE($G225,$F225)))),"Check Date")</f>
        <v/>
      </c>
      <c r="I225" s="12" t="str">
        <f aca="true">IF($H225="","",IF(ISNUMBER($H225),$H225-TODAY(),""))</f>
        <v/>
      </c>
      <c r="J225" s="4" t="str">
        <f aca="true">IF($D225="Manual Review","Manual Review",IF($G225="","No Data",IF(NOT(ISNUMBER($H225)),"N/A",IF($H225&lt;TODAY(),"Overdue",IF($H225&lt;=TODAY()+30,"Due within 1 Month",IF($H225&lt;=TODAY()+60,"Due within 2 Months","OK"))))))</f>
        <v>No Data</v>
      </c>
      <c r="K225" s="13"/>
    </row>
    <row r="226" customFormat="false" ht="15" hidden="false" customHeight="false" outlineLevel="0" collapsed="false">
      <c r="A226" s="9" t="str">
        <f aca="false">Vessels!B6</f>
        <v>Vessel 02</v>
      </c>
      <c r="B226" s="9" t="s">
        <v>136</v>
      </c>
      <c r="C226" s="7" t="s">
        <v>155</v>
      </c>
      <c r="D226" s="9" t="s">
        <v>45</v>
      </c>
      <c r="E226" s="9" t="s">
        <v>44</v>
      </c>
      <c r="F226" s="5" t="n">
        <v>12</v>
      </c>
      <c r="G226" s="10"/>
      <c r="H226" s="11" t="str">
        <f aca="false">IFERROR(IF($D226="Manual Review","",IF($G226="","",IF($D226="Direct Expiry",$G226,EDATE($G226,$F226)))),"Check Date")</f>
        <v/>
      </c>
      <c r="I226" s="12" t="str">
        <f aca="true">IF($H226="","",IF(ISNUMBER($H226),$H226-TODAY(),""))</f>
        <v/>
      </c>
      <c r="J226" s="4" t="str">
        <f aca="true">IF($D226="Manual Review","Manual Review",IF($G226="","No Data",IF(NOT(ISNUMBER($H226)),"N/A",IF($H226&lt;TODAY(),"Overdue",IF($H226&lt;=TODAY()+30,"Due within 1 Month",IF($H226&lt;=TODAY()+60,"Due within 2 Months","OK"))))))</f>
        <v>No Data</v>
      </c>
      <c r="K226" s="13"/>
    </row>
    <row r="227" customFormat="false" ht="15" hidden="false" customHeight="false" outlineLevel="0" collapsed="false">
      <c r="A227" s="9" t="str">
        <f aca="false">Vessels!B6</f>
        <v>Vessel 02</v>
      </c>
      <c r="B227" s="9" t="s">
        <v>136</v>
      </c>
      <c r="C227" s="7" t="s">
        <v>156</v>
      </c>
      <c r="D227" s="9" t="s">
        <v>45</v>
      </c>
      <c r="E227" s="9" t="s">
        <v>44</v>
      </c>
      <c r="F227" s="5" t="n">
        <v>12</v>
      </c>
      <c r="G227" s="10"/>
      <c r="H227" s="11" t="str">
        <f aca="false">IFERROR(IF($D227="Manual Review","",IF($G227="","",IF($D227="Direct Expiry",$G227,EDATE($G227,$F227)))),"Check Date")</f>
        <v/>
      </c>
      <c r="I227" s="12" t="str">
        <f aca="true">IF($H227="","",IF(ISNUMBER($H227),$H227-TODAY(),""))</f>
        <v/>
      </c>
      <c r="J227" s="4" t="str">
        <f aca="true">IF($D227="Manual Review","Manual Review",IF($G227="","No Data",IF(NOT(ISNUMBER($H227)),"N/A",IF($H227&lt;TODAY(),"Overdue",IF($H227&lt;=TODAY()+30,"Due within 1 Month",IF($H227&lt;=TODAY()+60,"Due within 2 Months","OK"))))))</f>
        <v>No Data</v>
      </c>
      <c r="K227" s="13"/>
    </row>
    <row r="228" customFormat="false" ht="15" hidden="false" customHeight="false" outlineLevel="0" collapsed="false">
      <c r="A228" s="9" t="str">
        <f aca="false">Vessels!B6</f>
        <v>Vessel 02</v>
      </c>
      <c r="B228" s="9" t="s">
        <v>136</v>
      </c>
      <c r="C228" s="7" t="s">
        <v>157</v>
      </c>
      <c r="D228" s="9" t="s">
        <v>45</v>
      </c>
      <c r="E228" s="9" t="s">
        <v>44</v>
      </c>
      <c r="F228" s="5" t="n">
        <v>12</v>
      </c>
      <c r="G228" s="10"/>
      <c r="H228" s="11" t="str">
        <f aca="false">IFERROR(IF($D228="Manual Review","",IF($G228="","",IF($D228="Direct Expiry",$G228,EDATE($G228,$F228)))),"Check Date")</f>
        <v/>
      </c>
      <c r="I228" s="12" t="str">
        <f aca="true">IF($H228="","",IF(ISNUMBER($H228),$H228-TODAY(),""))</f>
        <v/>
      </c>
      <c r="J228" s="4" t="str">
        <f aca="true">IF($D228="Manual Review","Manual Review",IF($G228="","No Data",IF(NOT(ISNUMBER($H228)),"N/A",IF($H228&lt;TODAY(),"Overdue",IF($H228&lt;=TODAY()+30,"Due within 1 Month",IF($H228&lt;=TODAY()+60,"Due within 2 Months","OK"))))))</f>
        <v>No Data</v>
      </c>
      <c r="K228" s="13"/>
    </row>
    <row r="229" customFormat="false" ht="15" hidden="false" customHeight="false" outlineLevel="0" collapsed="false">
      <c r="A229" s="9" t="str">
        <f aca="false">Vessels!B7</f>
        <v>Vessel 03</v>
      </c>
      <c r="B229" s="9" t="s">
        <v>42</v>
      </c>
      <c r="C229" s="7" t="s">
        <v>43</v>
      </c>
      <c r="D229" s="9" t="s">
        <v>45</v>
      </c>
      <c r="E229" s="9" t="s">
        <v>44</v>
      </c>
      <c r="F229" s="5" t="n">
        <v>12</v>
      </c>
      <c r="G229" s="10"/>
      <c r="H229" s="11" t="str">
        <f aca="false">IFERROR(IF($D229="Manual Review","",IF($G229="","",IF($D229="Direct Expiry",$G229,EDATE($G229,$F229)))),"Check Date")</f>
        <v/>
      </c>
      <c r="I229" s="12" t="str">
        <f aca="true">IF($H229="","",IF(ISNUMBER($H229),$H229-TODAY(),""))</f>
        <v/>
      </c>
      <c r="J229" s="4" t="str">
        <f aca="true">IF($D229="Manual Review","Manual Review",IF($G229="","No Data",IF(NOT(ISNUMBER($H229)),"N/A",IF($H229&lt;TODAY(),"Overdue",IF($H229&lt;=TODAY()+30,"Due within 1 Month",IF($H229&lt;=TODAY()+60,"Due within 2 Months","OK"))))))</f>
        <v>No Data</v>
      </c>
      <c r="K229" s="13"/>
    </row>
    <row r="230" customFormat="false" ht="15" hidden="false" customHeight="false" outlineLevel="0" collapsed="false">
      <c r="A230" s="9" t="str">
        <f aca="false">Vessels!B7</f>
        <v>Vessel 03</v>
      </c>
      <c r="B230" s="9" t="s">
        <v>42</v>
      </c>
      <c r="C230" s="7" t="s">
        <v>43</v>
      </c>
      <c r="D230" s="9" t="s">
        <v>45</v>
      </c>
      <c r="E230" s="9" t="s">
        <v>46</v>
      </c>
      <c r="F230" s="5" t="n">
        <v>60</v>
      </c>
      <c r="G230" s="10"/>
      <c r="H230" s="11" t="str">
        <f aca="false">IFERROR(IF($D230="Manual Review","",IF($G230="","",IF($D230="Direct Expiry",$G230,EDATE($G230,$F230)))),"Check Date")</f>
        <v/>
      </c>
      <c r="I230" s="12" t="str">
        <f aca="true">IF($H230="","",IF(ISNUMBER($H230),$H230-TODAY(),""))</f>
        <v/>
      </c>
      <c r="J230" s="4" t="str">
        <f aca="true">IF($D230="Manual Review","Manual Review",IF($G230="","No Data",IF(NOT(ISNUMBER($H230)),"N/A",IF($H230&lt;TODAY(),"Overdue",IF($H230&lt;=TODAY()+30,"Due within 1 Month",IF($H230&lt;=TODAY()+60,"Due within 2 Months","OK"))))))</f>
        <v>No Data</v>
      </c>
      <c r="K230" s="13"/>
    </row>
    <row r="231" customFormat="false" ht="15" hidden="false" customHeight="false" outlineLevel="0" collapsed="false">
      <c r="A231" s="9" t="str">
        <f aca="false">Vessels!B7</f>
        <v>Vessel 03</v>
      </c>
      <c r="B231" s="9" t="s">
        <v>42</v>
      </c>
      <c r="C231" s="7" t="s">
        <v>47</v>
      </c>
      <c r="D231" s="9" t="s">
        <v>45</v>
      </c>
      <c r="E231" s="9" t="s">
        <v>44</v>
      </c>
      <c r="F231" s="5" t="n">
        <v>12</v>
      </c>
      <c r="G231" s="10"/>
      <c r="H231" s="11" t="str">
        <f aca="false">IFERROR(IF($D231="Manual Review","",IF($G231="","",IF($D231="Direct Expiry",$G231,EDATE($G231,$F231)))),"Check Date")</f>
        <v/>
      </c>
      <c r="I231" s="12" t="str">
        <f aca="true">IF($H231="","",IF(ISNUMBER($H231),$H231-TODAY(),""))</f>
        <v/>
      </c>
      <c r="J231" s="4" t="str">
        <f aca="true">IF($D231="Manual Review","Manual Review",IF($G231="","No Data",IF(NOT(ISNUMBER($H231)),"N/A",IF($H231&lt;TODAY(),"Overdue",IF($H231&lt;=TODAY()+30,"Due within 1 Month",IF($H231&lt;=TODAY()+60,"Due within 2 Months","OK"))))))</f>
        <v>No Data</v>
      </c>
      <c r="K231" s="13"/>
    </row>
    <row r="232" customFormat="false" ht="15" hidden="false" customHeight="false" outlineLevel="0" collapsed="false">
      <c r="A232" s="9" t="str">
        <f aca="false">Vessels!B7</f>
        <v>Vessel 03</v>
      </c>
      <c r="B232" s="9" t="s">
        <v>42</v>
      </c>
      <c r="C232" s="7" t="s">
        <v>47</v>
      </c>
      <c r="D232" s="9" t="s">
        <v>45</v>
      </c>
      <c r="E232" s="9" t="s">
        <v>46</v>
      </c>
      <c r="F232" s="5" t="n">
        <v>60</v>
      </c>
      <c r="G232" s="10"/>
      <c r="H232" s="11" t="str">
        <f aca="false">IFERROR(IF($D232="Manual Review","",IF($G232="","",IF($D232="Direct Expiry",$G232,EDATE($G232,$F232)))),"Check Date")</f>
        <v/>
      </c>
      <c r="I232" s="12" t="str">
        <f aca="true">IF($H232="","",IF(ISNUMBER($H232),$H232-TODAY(),""))</f>
        <v/>
      </c>
      <c r="J232" s="4" t="str">
        <f aca="true">IF($D232="Manual Review","Manual Review",IF($G232="","No Data",IF(NOT(ISNUMBER($H232)),"N/A",IF($H232&lt;TODAY(),"Overdue",IF($H232&lt;=TODAY()+30,"Due within 1 Month",IF($H232&lt;=TODAY()+60,"Due within 2 Months","OK"))))))</f>
        <v>No Data</v>
      </c>
      <c r="K232" s="13"/>
    </row>
    <row r="233" customFormat="false" ht="15" hidden="false" customHeight="false" outlineLevel="0" collapsed="false">
      <c r="A233" s="9" t="str">
        <f aca="false">Vessels!B7</f>
        <v>Vessel 03</v>
      </c>
      <c r="B233" s="9" t="s">
        <v>42</v>
      </c>
      <c r="C233" s="7" t="s">
        <v>48</v>
      </c>
      <c r="D233" s="9" t="s">
        <v>45</v>
      </c>
      <c r="E233" s="9" t="s">
        <v>44</v>
      </c>
      <c r="F233" s="5" t="n">
        <v>12</v>
      </c>
      <c r="G233" s="10"/>
      <c r="H233" s="11" t="str">
        <f aca="false">IFERROR(IF($D233="Manual Review","",IF($G233="","",IF($D233="Direct Expiry",$G233,EDATE($G233,$F233)))),"Check Date")</f>
        <v/>
      </c>
      <c r="I233" s="12" t="str">
        <f aca="true">IF($H233="","",IF(ISNUMBER($H233),$H233-TODAY(),""))</f>
        <v/>
      </c>
      <c r="J233" s="4" t="str">
        <f aca="true">IF($D233="Manual Review","Manual Review",IF($G233="","No Data",IF(NOT(ISNUMBER($H233)),"N/A",IF($H233&lt;TODAY(),"Overdue",IF($H233&lt;=TODAY()+30,"Due within 1 Month",IF($H233&lt;=TODAY()+60,"Due within 2 Months","OK"))))))</f>
        <v>No Data</v>
      </c>
      <c r="K233" s="13"/>
    </row>
    <row r="234" customFormat="false" ht="15" hidden="false" customHeight="false" outlineLevel="0" collapsed="false">
      <c r="A234" s="9" t="str">
        <f aca="false">Vessels!B7</f>
        <v>Vessel 03</v>
      </c>
      <c r="B234" s="9" t="s">
        <v>42</v>
      </c>
      <c r="C234" s="7" t="s">
        <v>48</v>
      </c>
      <c r="D234" s="9" t="s">
        <v>45</v>
      </c>
      <c r="E234" s="9" t="s">
        <v>49</v>
      </c>
      <c r="F234" s="5" t="n">
        <v>60</v>
      </c>
      <c r="G234" s="10"/>
      <c r="H234" s="11" t="str">
        <f aca="false">IFERROR(IF($D234="Manual Review","",IF($G234="","",IF($D234="Direct Expiry",$G234,EDATE($G234,$F234)))),"Check Date")</f>
        <v/>
      </c>
      <c r="I234" s="12" t="str">
        <f aca="true">IF($H234="","",IF(ISNUMBER($H234),$H234-TODAY(),""))</f>
        <v/>
      </c>
      <c r="J234" s="4" t="str">
        <f aca="true">IF($D234="Manual Review","Manual Review",IF($G234="","No Data",IF(NOT(ISNUMBER($H234)),"N/A",IF($H234&lt;TODAY(),"Overdue",IF($H234&lt;=TODAY()+30,"Due within 1 Month",IF($H234&lt;=TODAY()+60,"Due within 2 Months","OK"))))))</f>
        <v>No Data</v>
      </c>
      <c r="K234" s="13"/>
    </row>
    <row r="235" customFormat="false" ht="15" hidden="false" customHeight="false" outlineLevel="0" collapsed="false">
      <c r="A235" s="9" t="str">
        <f aca="false">Vessels!B7</f>
        <v>Vessel 03</v>
      </c>
      <c r="B235" s="9" t="s">
        <v>42</v>
      </c>
      <c r="C235" s="7" t="s">
        <v>50</v>
      </c>
      <c r="D235" s="9" t="s">
        <v>45</v>
      </c>
      <c r="E235" s="9" t="s">
        <v>44</v>
      </c>
      <c r="F235" s="5" t="n">
        <v>12</v>
      </c>
      <c r="G235" s="10"/>
      <c r="H235" s="11" t="str">
        <f aca="false">IFERROR(IF($D235="Manual Review","",IF($G235="","",IF($D235="Direct Expiry",$G235,EDATE($G235,$F235)))),"Check Date")</f>
        <v/>
      </c>
      <c r="I235" s="12" t="str">
        <f aca="true">IF($H235="","",IF(ISNUMBER($H235),$H235-TODAY(),""))</f>
        <v/>
      </c>
      <c r="J235" s="4" t="str">
        <f aca="true">IF($D235="Manual Review","Manual Review",IF($G235="","No Data",IF(NOT(ISNUMBER($H235)),"N/A",IF($H235&lt;TODAY(),"Overdue",IF($H235&lt;=TODAY()+30,"Due within 1 Month",IF($H235&lt;=TODAY()+60,"Due within 2 Months","OK"))))))</f>
        <v>No Data</v>
      </c>
      <c r="K235" s="13"/>
    </row>
    <row r="236" customFormat="false" ht="15" hidden="false" customHeight="false" outlineLevel="0" collapsed="false">
      <c r="A236" s="9" t="str">
        <f aca="false">Vessels!B7</f>
        <v>Vessel 03</v>
      </c>
      <c r="B236" s="9" t="s">
        <v>42</v>
      </c>
      <c r="C236" s="7" t="s">
        <v>50</v>
      </c>
      <c r="D236" s="9" t="s">
        <v>45</v>
      </c>
      <c r="E236" s="9" t="s">
        <v>49</v>
      </c>
      <c r="F236" s="5" t="n">
        <v>60</v>
      </c>
      <c r="G236" s="10"/>
      <c r="H236" s="11" t="str">
        <f aca="false">IFERROR(IF($D236="Manual Review","",IF($G236="","",IF($D236="Direct Expiry",$G236,EDATE($G236,$F236)))),"Check Date")</f>
        <v/>
      </c>
      <c r="I236" s="12" t="str">
        <f aca="true">IF($H236="","",IF(ISNUMBER($H236),$H236-TODAY(),""))</f>
        <v/>
      </c>
      <c r="J236" s="4" t="str">
        <f aca="true">IF($D236="Manual Review","Manual Review",IF($G236="","No Data",IF(NOT(ISNUMBER($H236)),"N/A",IF($H236&lt;TODAY(),"Overdue",IF($H236&lt;=TODAY()+30,"Due within 1 Month",IF($H236&lt;=TODAY()+60,"Due within 2 Months","OK"))))))</f>
        <v>No Data</v>
      </c>
      <c r="K236" s="13"/>
    </row>
    <row r="237" customFormat="false" ht="15" hidden="false" customHeight="false" outlineLevel="0" collapsed="false">
      <c r="A237" s="9" t="str">
        <f aca="false">Vessels!B7</f>
        <v>Vessel 03</v>
      </c>
      <c r="B237" s="9" t="s">
        <v>42</v>
      </c>
      <c r="C237" s="7" t="s">
        <v>51</v>
      </c>
      <c r="D237" s="9" t="s">
        <v>45</v>
      </c>
      <c r="E237" s="9" t="s">
        <v>46</v>
      </c>
      <c r="F237" s="5" t="n">
        <v>60</v>
      </c>
      <c r="G237" s="10"/>
      <c r="H237" s="11" t="str">
        <f aca="false">IFERROR(IF($D237="Manual Review","",IF($G237="","",IF($D237="Direct Expiry",$G237,EDATE($G237,$F237)))),"Check Date")</f>
        <v/>
      </c>
      <c r="I237" s="12" t="str">
        <f aca="true">IF($H237="","",IF(ISNUMBER($H237),$H237-TODAY(),""))</f>
        <v/>
      </c>
      <c r="J237" s="4" t="str">
        <f aca="true">IF($D237="Manual Review","Manual Review",IF($G237="","No Data",IF(NOT(ISNUMBER($H237)),"N/A",IF($H237&lt;TODAY(),"Overdue",IF($H237&lt;=TODAY()+30,"Due within 1 Month",IF($H237&lt;=TODAY()+60,"Due within 2 Months","OK"))))))</f>
        <v>No Data</v>
      </c>
      <c r="K237" s="13"/>
    </row>
    <row r="238" customFormat="false" ht="15" hidden="false" customHeight="false" outlineLevel="0" collapsed="false">
      <c r="A238" s="9" t="str">
        <f aca="false">Vessels!B7</f>
        <v>Vessel 03</v>
      </c>
      <c r="B238" s="9" t="s">
        <v>42</v>
      </c>
      <c r="C238" s="7" t="s">
        <v>52</v>
      </c>
      <c r="D238" s="9" t="s">
        <v>45</v>
      </c>
      <c r="E238" s="9" t="s">
        <v>46</v>
      </c>
      <c r="F238" s="5" t="n">
        <v>60</v>
      </c>
      <c r="G238" s="10"/>
      <c r="H238" s="11" t="str">
        <f aca="false">IFERROR(IF($D238="Manual Review","",IF($G238="","",IF($D238="Direct Expiry",$G238,EDATE($G238,$F238)))),"Check Date")</f>
        <v/>
      </c>
      <c r="I238" s="12" t="str">
        <f aca="true">IF($H238="","",IF(ISNUMBER($H238),$H238-TODAY(),""))</f>
        <v/>
      </c>
      <c r="J238" s="4" t="str">
        <f aca="true">IF($D238="Manual Review","Manual Review",IF($G238="","No Data",IF(NOT(ISNUMBER($H238)),"N/A",IF($H238&lt;TODAY(),"Overdue",IF($H238&lt;=TODAY()+30,"Due within 1 Month",IF($H238&lt;=TODAY()+60,"Due within 2 Months","OK"))))))</f>
        <v>No Data</v>
      </c>
      <c r="K238" s="13"/>
    </row>
    <row r="239" customFormat="false" ht="15" hidden="false" customHeight="false" outlineLevel="0" collapsed="false">
      <c r="A239" s="9" t="str">
        <f aca="false">Vessels!B7</f>
        <v>Vessel 03</v>
      </c>
      <c r="B239" s="9" t="s">
        <v>42</v>
      </c>
      <c r="C239" s="7" t="s">
        <v>53</v>
      </c>
      <c r="D239" s="9" t="s">
        <v>45</v>
      </c>
      <c r="E239" s="9" t="s">
        <v>46</v>
      </c>
      <c r="F239" s="5" t="n">
        <v>60</v>
      </c>
      <c r="G239" s="10"/>
      <c r="H239" s="11" t="str">
        <f aca="false">IFERROR(IF($D239="Manual Review","",IF($G239="","",IF($D239="Direct Expiry",$G239,EDATE($G239,$F239)))),"Check Date")</f>
        <v/>
      </c>
      <c r="I239" s="12" t="str">
        <f aca="true">IF($H239="","",IF(ISNUMBER($H239),$H239-TODAY(),""))</f>
        <v/>
      </c>
      <c r="J239" s="4" t="str">
        <f aca="true">IF($D239="Manual Review","Manual Review",IF($G239="","No Data",IF(NOT(ISNUMBER($H239)),"N/A",IF($H239&lt;TODAY(),"Overdue",IF($H239&lt;=TODAY()+30,"Due within 1 Month",IF($H239&lt;=TODAY()+60,"Due within 2 Months","OK"))))))</f>
        <v>No Data</v>
      </c>
      <c r="K239" s="13"/>
    </row>
    <row r="240" customFormat="false" ht="15" hidden="false" customHeight="false" outlineLevel="0" collapsed="false">
      <c r="A240" s="9" t="str">
        <f aca="false">Vessels!B7</f>
        <v>Vessel 03</v>
      </c>
      <c r="B240" s="9" t="s">
        <v>42</v>
      </c>
      <c r="C240" s="7" t="s">
        <v>54</v>
      </c>
      <c r="D240" s="9" t="s">
        <v>45</v>
      </c>
      <c r="E240" s="9" t="s">
        <v>46</v>
      </c>
      <c r="F240" s="5" t="n">
        <v>60</v>
      </c>
      <c r="G240" s="10"/>
      <c r="H240" s="11" t="str">
        <f aca="false">IFERROR(IF($D240="Manual Review","",IF($G240="","",IF($D240="Direct Expiry",$G240,EDATE($G240,$F240)))),"Check Date")</f>
        <v/>
      </c>
      <c r="I240" s="12" t="str">
        <f aca="true">IF($H240="","",IF(ISNUMBER($H240),$H240-TODAY(),""))</f>
        <v/>
      </c>
      <c r="J240" s="4" t="str">
        <f aca="true">IF($D240="Manual Review","Manual Review",IF($G240="","No Data",IF(NOT(ISNUMBER($H240)),"N/A",IF($H240&lt;TODAY(),"Overdue",IF($H240&lt;=TODAY()+30,"Due within 1 Month",IF($H240&lt;=TODAY()+60,"Due within 2 Months","OK"))))))</f>
        <v>No Data</v>
      </c>
      <c r="K240" s="13"/>
    </row>
    <row r="241" customFormat="false" ht="15" hidden="false" customHeight="false" outlineLevel="0" collapsed="false">
      <c r="A241" s="9" t="str">
        <f aca="false">Vessels!B7</f>
        <v>Vessel 03</v>
      </c>
      <c r="B241" s="9" t="s">
        <v>42</v>
      </c>
      <c r="C241" s="7" t="s">
        <v>55</v>
      </c>
      <c r="D241" s="9" t="s">
        <v>45</v>
      </c>
      <c r="E241" s="9" t="s">
        <v>46</v>
      </c>
      <c r="F241" s="5" t="n">
        <v>60</v>
      </c>
      <c r="G241" s="10"/>
      <c r="H241" s="11" t="str">
        <f aca="false">IFERROR(IF($D241="Manual Review","",IF($G241="","",IF($D241="Direct Expiry",$G241,EDATE($G241,$F241)))),"Check Date")</f>
        <v/>
      </c>
      <c r="I241" s="12" t="str">
        <f aca="true">IF($H241="","",IF(ISNUMBER($H241),$H241-TODAY(),""))</f>
        <v/>
      </c>
      <c r="J241" s="4" t="str">
        <f aca="true">IF($D241="Manual Review","Manual Review",IF($G241="","No Data",IF(NOT(ISNUMBER($H241)),"N/A",IF($H241&lt;TODAY(),"Overdue",IF($H241&lt;=TODAY()+30,"Due within 1 Month",IF($H241&lt;=TODAY()+60,"Due within 2 Months","OK"))))))</f>
        <v>No Data</v>
      </c>
      <c r="K241" s="13"/>
    </row>
    <row r="242" customFormat="false" ht="15" hidden="false" customHeight="false" outlineLevel="0" collapsed="false">
      <c r="A242" s="9" t="str">
        <f aca="false">Vessels!B7</f>
        <v>Vessel 03</v>
      </c>
      <c r="B242" s="9" t="s">
        <v>42</v>
      </c>
      <c r="C242" s="7" t="s">
        <v>56</v>
      </c>
      <c r="D242" s="9" t="s">
        <v>45</v>
      </c>
      <c r="E242" s="9" t="s">
        <v>46</v>
      </c>
      <c r="F242" s="5" t="n">
        <v>60</v>
      </c>
      <c r="G242" s="10"/>
      <c r="H242" s="11" t="str">
        <f aca="false">IFERROR(IF($D242="Manual Review","",IF($G242="","",IF($D242="Direct Expiry",$G242,EDATE($G242,$F242)))),"Check Date")</f>
        <v/>
      </c>
      <c r="I242" s="12" t="str">
        <f aca="true">IF($H242="","",IF(ISNUMBER($H242),$H242-TODAY(),""))</f>
        <v/>
      </c>
      <c r="J242" s="4" t="str">
        <f aca="true">IF($D242="Manual Review","Manual Review",IF($G242="","No Data",IF(NOT(ISNUMBER($H242)),"N/A",IF($H242&lt;TODAY(),"Overdue",IF($H242&lt;=TODAY()+30,"Due within 1 Month",IF($H242&lt;=TODAY()+60,"Due within 2 Months","OK"))))))</f>
        <v>No Data</v>
      </c>
      <c r="K242" s="13"/>
    </row>
    <row r="243" customFormat="false" ht="15" hidden="false" customHeight="false" outlineLevel="0" collapsed="false">
      <c r="A243" s="9" t="str">
        <f aca="false">Vessels!B7</f>
        <v>Vessel 03</v>
      </c>
      <c r="B243" s="9" t="s">
        <v>42</v>
      </c>
      <c r="C243" s="7" t="s">
        <v>57</v>
      </c>
      <c r="D243" s="9" t="s">
        <v>59</v>
      </c>
      <c r="E243" s="9" t="s">
        <v>58</v>
      </c>
      <c r="F243" s="5"/>
      <c r="G243" s="10"/>
      <c r="H243" s="11" t="str">
        <f aca="false">IFERROR(IF($D243="Manual Review","",IF($G243="","",IF($D243="Direct Expiry",$G243,EDATE($G243,$F243)))),"Check Date")</f>
        <v/>
      </c>
      <c r="I243" s="12" t="str">
        <f aca="true">IF($H243="","",IF(ISNUMBER($H243),$H243-TODAY(),""))</f>
        <v/>
      </c>
      <c r="J243" s="4" t="str">
        <f aca="true">IF($D243="Manual Review","Manual Review",IF($G243="","No Data",IF(NOT(ISNUMBER($H243)),"N/A",IF($H243&lt;TODAY(),"Overdue",IF($H243&lt;=TODAY()+30,"Due within 1 Month",IF($H243&lt;=TODAY()+60,"Due within 2 Months","OK"))))))</f>
        <v>No Data</v>
      </c>
      <c r="K243" s="13"/>
    </row>
    <row r="244" customFormat="false" ht="15" hidden="false" customHeight="false" outlineLevel="0" collapsed="false">
      <c r="A244" s="9" t="str">
        <f aca="false">Vessels!B7</f>
        <v>Vessel 03</v>
      </c>
      <c r="B244" s="9" t="s">
        <v>42</v>
      </c>
      <c r="C244" s="7" t="s">
        <v>60</v>
      </c>
      <c r="D244" s="9" t="s">
        <v>45</v>
      </c>
      <c r="E244" s="9" t="s">
        <v>44</v>
      </c>
      <c r="F244" s="5" t="n">
        <v>12</v>
      </c>
      <c r="G244" s="10"/>
      <c r="H244" s="11" t="str">
        <f aca="false">IFERROR(IF($D244="Manual Review","",IF($G244="","",IF($D244="Direct Expiry",$G244,EDATE($G244,$F244)))),"Check Date")</f>
        <v/>
      </c>
      <c r="I244" s="12" t="str">
        <f aca="true">IF($H244="","",IF(ISNUMBER($H244),$H244-TODAY(),""))</f>
        <v/>
      </c>
      <c r="J244" s="4" t="str">
        <f aca="true">IF($D244="Manual Review","Manual Review",IF($G244="","No Data",IF(NOT(ISNUMBER($H244)),"N/A",IF($H244&lt;TODAY(),"Overdue",IF($H244&lt;=TODAY()+30,"Due within 1 Month",IF($H244&lt;=TODAY()+60,"Due within 2 Months","OK"))))))</f>
        <v>No Data</v>
      </c>
      <c r="K244" s="13"/>
    </row>
    <row r="245" customFormat="false" ht="15" hidden="false" customHeight="false" outlineLevel="0" collapsed="false">
      <c r="A245" s="9" t="str">
        <f aca="false">Vessels!B7</f>
        <v>Vessel 03</v>
      </c>
      <c r="B245" s="9" t="s">
        <v>42</v>
      </c>
      <c r="C245" s="7" t="s">
        <v>60</v>
      </c>
      <c r="D245" s="9" t="s">
        <v>45</v>
      </c>
      <c r="E245" s="9" t="s">
        <v>46</v>
      </c>
      <c r="F245" s="5" t="n">
        <v>60</v>
      </c>
      <c r="G245" s="10"/>
      <c r="H245" s="11" t="str">
        <f aca="false">IFERROR(IF($D245="Manual Review","",IF($G245="","",IF($D245="Direct Expiry",$G245,EDATE($G245,$F245)))),"Check Date")</f>
        <v/>
      </c>
      <c r="I245" s="12" t="str">
        <f aca="true">IF($H245="","",IF(ISNUMBER($H245),$H245-TODAY(),""))</f>
        <v/>
      </c>
      <c r="J245" s="4" t="str">
        <f aca="true">IF($D245="Manual Review","Manual Review",IF($G245="","No Data",IF(NOT(ISNUMBER($H245)),"N/A",IF($H245&lt;TODAY(),"Overdue",IF($H245&lt;=TODAY()+30,"Due within 1 Month",IF($H245&lt;=TODAY()+60,"Due within 2 Months","OK"))))))</f>
        <v>No Data</v>
      </c>
      <c r="K245" s="13"/>
    </row>
    <row r="246" customFormat="false" ht="15" hidden="false" customHeight="false" outlineLevel="0" collapsed="false">
      <c r="A246" s="9" t="str">
        <f aca="false">Vessels!B7</f>
        <v>Vessel 03</v>
      </c>
      <c r="B246" s="9" t="s">
        <v>42</v>
      </c>
      <c r="C246" s="7" t="s">
        <v>61</v>
      </c>
      <c r="D246" s="9" t="s">
        <v>45</v>
      </c>
      <c r="E246" s="9" t="s">
        <v>44</v>
      </c>
      <c r="F246" s="5" t="n">
        <v>12</v>
      </c>
      <c r="G246" s="10"/>
      <c r="H246" s="11" t="str">
        <f aca="false">IFERROR(IF($D246="Manual Review","",IF($G246="","",IF($D246="Direct Expiry",$G246,EDATE($G246,$F246)))),"Check Date")</f>
        <v/>
      </c>
      <c r="I246" s="12" t="str">
        <f aca="true">IF($H246="","",IF(ISNUMBER($H246),$H246-TODAY(),""))</f>
        <v/>
      </c>
      <c r="J246" s="4" t="str">
        <f aca="true">IF($D246="Manual Review","Manual Review",IF($G246="","No Data",IF(NOT(ISNUMBER($H246)),"N/A",IF($H246&lt;TODAY(),"Overdue",IF($H246&lt;=TODAY()+30,"Due within 1 Month",IF($H246&lt;=TODAY()+60,"Due within 2 Months","OK"))))))</f>
        <v>No Data</v>
      </c>
      <c r="K246" s="13"/>
    </row>
    <row r="247" customFormat="false" ht="15" hidden="false" customHeight="false" outlineLevel="0" collapsed="false">
      <c r="A247" s="9" t="str">
        <f aca="false">Vessels!B7</f>
        <v>Vessel 03</v>
      </c>
      <c r="B247" s="9" t="s">
        <v>42</v>
      </c>
      <c r="C247" s="7" t="s">
        <v>61</v>
      </c>
      <c r="D247" s="9" t="s">
        <v>45</v>
      </c>
      <c r="E247" s="9" t="s">
        <v>46</v>
      </c>
      <c r="F247" s="5" t="n">
        <v>60</v>
      </c>
      <c r="G247" s="10"/>
      <c r="H247" s="11" t="str">
        <f aca="false">IFERROR(IF($D247="Manual Review","",IF($G247="","",IF($D247="Direct Expiry",$G247,EDATE($G247,$F247)))),"Check Date")</f>
        <v/>
      </c>
      <c r="I247" s="12" t="str">
        <f aca="true">IF($H247="","",IF(ISNUMBER($H247),$H247-TODAY(),""))</f>
        <v/>
      </c>
      <c r="J247" s="4" t="str">
        <f aca="true">IF($D247="Manual Review","Manual Review",IF($G247="","No Data",IF(NOT(ISNUMBER($H247)),"N/A",IF($H247&lt;TODAY(),"Overdue",IF($H247&lt;=TODAY()+30,"Due within 1 Month",IF($H247&lt;=TODAY()+60,"Due within 2 Months","OK"))))))</f>
        <v>No Data</v>
      </c>
      <c r="K247" s="13"/>
    </row>
    <row r="248" customFormat="false" ht="15" hidden="false" customHeight="false" outlineLevel="0" collapsed="false">
      <c r="A248" s="9" t="str">
        <f aca="false">Vessels!B7</f>
        <v>Vessel 03</v>
      </c>
      <c r="B248" s="9" t="s">
        <v>42</v>
      </c>
      <c r="C248" s="7" t="s">
        <v>62</v>
      </c>
      <c r="D248" s="9" t="s">
        <v>45</v>
      </c>
      <c r="E248" s="9" t="s">
        <v>44</v>
      </c>
      <c r="F248" s="5" t="n">
        <v>12</v>
      </c>
      <c r="G248" s="10"/>
      <c r="H248" s="11" t="str">
        <f aca="false">IFERROR(IF($D248="Manual Review","",IF($G248="","",IF($D248="Direct Expiry",$G248,EDATE($G248,$F248)))),"Check Date")</f>
        <v/>
      </c>
      <c r="I248" s="12" t="str">
        <f aca="true">IF($H248="","",IF(ISNUMBER($H248),$H248-TODAY(),""))</f>
        <v/>
      </c>
      <c r="J248" s="4" t="str">
        <f aca="true">IF($D248="Manual Review","Manual Review",IF($G248="","No Data",IF(NOT(ISNUMBER($H248)),"N/A",IF($H248&lt;TODAY(),"Overdue",IF($H248&lt;=TODAY()+30,"Due within 1 Month",IF($H248&lt;=TODAY()+60,"Due within 2 Months","OK"))))))</f>
        <v>No Data</v>
      </c>
      <c r="K248" s="13"/>
    </row>
    <row r="249" customFormat="false" ht="15" hidden="false" customHeight="false" outlineLevel="0" collapsed="false">
      <c r="A249" s="9" t="str">
        <f aca="false">Vessels!B7</f>
        <v>Vessel 03</v>
      </c>
      <c r="B249" s="9" t="s">
        <v>42</v>
      </c>
      <c r="C249" s="7" t="s">
        <v>62</v>
      </c>
      <c r="D249" s="9" t="s">
        <v>45</v>
      </c>
      <c r="E249" s="9" t="s">
        <v>49</v>
      </c>
      <c r="F249" s="5" t="n">
        <v>60</v>
      </c>
      <c r="G249" s="10"/>
      <c r="H249" s="11" t="str">
        <f aca="false">IFERROR(IF($D249="Manual Review","",IF($G249="","",IF($D249="Direct Expiry",$G249,EDATE($G249,$F249)))),"Check Date")</f>
        <v/>
      </c>
      <c r="I249" s="12" t="str">
        <f aca="true">IF($H249="","",IF(ISNUMBER($H249),$H249-TODAY(),""))</f>
        <v/>
      </c>
      <c r="J249" s="4" t="str">
        <f aca="true">IF($D249="Manual Review","Manual Review",IF($G249="","No Data",IF(NOT(ISNUMBER($H249)),"N/A",IF($H249&lt;TODAY(),"Overdue",IF($H249&lt;=TODAY()+30,"Due within 1 Month",IF($H249&lt;=TODAY()+60,"Due within 2 Months","OK"))))))</f>
        <v>No Data</v>
      </c>
      <c r="K249" s="13"/>
    </row>
    <row r="250" customFormat="false" ht="15" hidden="false" customHeight="false" outlineLevel="0" collapsed="false">
      <c r="A250" s="9" t="str">
        <f aca="false">Vessels!B7</f>
        <v>Vessel 03</v>
      </c>
      <c r="B250" s="9" t="s">
        <v>42</v>
      </c>
      <c r="C250" s="7" t="s">
        <v>63</v>
      </c>
      <c r="D250" s="9" t="s">
        <v>45</v>
      </c>
      <c r="E250" s="9" t="s">
        <v>44</v>
      </c>
      <c r="F250" s="5" t="n">
        <v>12</v>
      </c>
      <c r="G250" s="10"/>
      <c r="H250" s="11" t="str">
        <f aca="false">IFERROR(IF($D250="Manual Review","",IF($G250="","",IF($D250="Direct Expiry",$G250,EDATE($G250,$F250)))),"Check Date")</f>
        <v/>
      </c>
      <c r="I250" s="12" t="str">
        <f aca="true">IF($H250="","",IF(ISNUMBER($H250),$H250-TODAY(),""))</f>
        <v/>
      </c>
      <c r="J250" s="4" t="str">
        <f aca="true">IF($D250="Manual Review","Manual Review",IF($G250="","No Data",IF(NOT(ISNUMBER($H250)),"N/A",IF($H250&lt;TODAY(),"Overdue",IF($H250&lt;=TODAY()+30,"Due within 1 Month",IF($H250&lt;=TODAY()+60,"Due within 2 Months","OK"))))))</f>
        <v>No Data</v>
      </c>
      <c r="K250" s="13"/>
    </row>
    <row r="251" customFormat="false" ht="15" hidden="false" customHeight="false" outlineLevel="0" collapsed="false">
      <c r="A251" s="9" t="str">
        <f aca="false">Vessels!B7</f>
        <v>Vessel 03</v>
      </c>
      <c r="B251" s="9" t="s">
        <v>42</v>
      </c>
      <c r="C251" s="7" t="s">
        <v>63</v>
      </c>
      <c r="D251" s="9" t="s">
        <v>45</v>
      </c>
      <c r="E251" s="9" t="s">
        <v>49</v>
      </c>
      <c r="F251" s="5" t="n">
        <v>60</v>
      </c>
      <c r="G251" s="10"/>
      <c r="H251" s="11" t="str">
        <f aca="false">IFERROR(IF($D251="Manual Review","",IF($G251="","",IF($D251="Direct Expiry",$G251,EDATE($G251,$F251)))),"Check Date")</f>
        <v/>
      </c>
      <c r="I251" s="12" t="str">
        <f aca="true">IF($H251="","",IF(ISNUMBER($H251),$H251-TODAY(),""))</f>
        <v/>
      </c>
      <c r="J251" s="4" t="str">
        <f aca="true">IF($D251="Manual Review","Manual Review",IF($G251="","No Data",IF(NOT(ISNUMBER($H251)),"N/A",IF($H251&lt;TODAY(),"Overdue",IF($H251&lt;=TODAY()+30,"Due within 1 Month",IF($H251&lt;=TODAY()+60,"Due within 2 Months","OK"))))))</f>
        <v>No Data</v>
      </c>
      <c r="K251" s="13"/>
    </row>
    <row r="252" customFormat="false" ht="15" hidden="false" customHeight="false" outlineLevel="0" collapsed="false">
      <c r="A252" s="9" t="str">
        <f aca="false">Vessels!B7</f>
        <v>Vessel 03</v>
      </c>
      <c r="B252" s="9" t="s">
        <v>42</v>
      </c>
      <c r="C252" s="7" t="s">
        <v>64</v>
      </c>
      <c r="D252" s="9" t="s">
        <v>45</v>
      </c>
      <c r="E252" s="9" t="s">
        <v>46</v>
      </c>
      <c r="F252" s="5" t="n">
        <v>60</v>
      </c>
      <c r="G252" s="10"/>
      <c r="H252" s="11" t="str">
        <f aca="false">IFERROR(IF($D252="Manual Review","",IF($G252="","",IF($D252="Direct Expiry",$G252,EDATE($G252,$F252)))),"Check Date")</f>
        <v/>
      </c>
      <c r="I252" s="12" t="str">
        <f aca="true">IF($H252="","",IF(ISNUMBER($H252),$H252-TODAY(),""))</f>
        <v/>
      </c>
      <c r="J252" s="4" t="str">
        <f aca="true">IF($D252="Manual Review","Manual Review",IF($G252="","No Data",IF(NOT(ISNUMBER($H252)),"N/A",IF($H252&lt;TODAY(),"Overdue",IF($H252&lt;=TODAY()+30,"Due within 1 Month",IF($H252&lt;=TODAY()+60,"Due within 2 Months","OK"))))))</f>
        <v>No Data</v>
      </c>
      <c r="K252" s="13"/>
    </row>
    <row r="253" customFormat="false" ht="15" hidden="false" customHeight="false" outlineLevel="0" collapsed="false">
      <c r="A253" s="9" t="str">
        <f aca="false">Vessels!B7</f>
        <v>Vessel 03</v>
      </c>
      <c r="B253" s="9" t="s">
        <v>42</v>
      </c>
      <c r="C253" s="7" t="s">
        <v>65</v>
      </c>
      <c r="D253" s="9" t="s">
        <v>45</v>
      </c>
      <c r="E253" s="9" t="s">
        <v>46</v>
      </c>
      <c r="F253" s="5" t="n">
        <v>60</v>
      </c>
      <c r="G253" s="10"/>
      <c r="H253" s="11" t="str">
        <f aca="false">IFERROR(IF($D253="Manual Review","",IF($G253="","",IF($D253="Direct Expiry",$G253,EDATE($G253,$F253)))),"Check Date")</f>
        <v/>
      </c>
      <c r="I253" s="12" t="str">
        <f aca="true">IF($H253="","",IF(ISNUMBER($H253),$H253-TODAY(),""))</f>
        <v/>
      </c>
      <c r="J253" s="4" t="str">
        <f aca="true">IF($D253="Manual Review","Manual Review",IF($G253="","No Data",IF(NOT(ISNUMBER($H253)),"N/A",IF($H253&lt;TODAY(),"Overdue",IF($H253&lt;=TODAY()+30,"Due within 1 Month",IF($H253&lt;=TODAY()+60,"Due within 2 Months","OK"))))))</f>
        <v>No Data</v>
      </c>
      <c r="K253" s="13"/>
    </row>
    <row r="254" customFormat="false" ht="15" hidden="false" customHeight="false" outlineLevel="0" collapsed="false">
      <c r="A254" s="9" t="str">
        <f aca="false">Vessels!B7</f>
        <v>Vessel 03</v>
      </c>
      <c r="B254" s="9" t="s">
        <v>42</v>
      </c>
      <c r="C254" s="7" t="s">
        <v>66</v>
      </c>
      <c r="D254" s="9" t="s">
        <v>45</v>
      </c>
      <c r="E254" s="9" t="s">
        <v>46</v>
      </c>
      <c r="F254" s="5" t="n">
        <v>60</v>
      </c>
      <c r="G254" s="10"/>
      <c r="H254" s="11" t="str">
        <f aca="false">IFERROR(IF($D254="Manual Review","",IF($G254="","",IF($D254="Direct Expiry",$G254,EDATE($G254,$F254)))),"Check Date")</f>
        <v/>
      </c>
      <c r="I254" s="12" t="str">
        <f aca="true">IF($H254="","",IF(ISNUMBER($H254),$H254-TODAY(),""))</f>
        <v/>
      </c>
      <c r="J254" s="4" t="str">
        <f aca="true">IF($D254="Manual Review","Manual Review",IF($G254="","No Data",IF(NOT(ISNUMBER($H254)),"N/A",IF($H254&lt;TODAY(),"Overdue",IF($H254&lt;=TODAY()+30,"Due within 1 Month",IF($H254&lt;=TODAY()+60,"Due within 2 Months","OK"))))))</f>
        <v>No Data</v>
      </c>
      <c r="K254" s="13"/>
    </row>
    <row r="255" customFormat="false" ht="15" hidden="false" customHeight="false" outlineLevel="0" collapsed="false">
      <c r="A255" s="9" t="str">
        <f aca="false">Vessels!B7</f>
        <v>Vessel 03</v>
      </c>
      <c r="B255" s="9" t="s">
        <v>42</v>
      </c>
      <c r="C255" s="7" t="s">
        <v>67</v>
      </c>
      <c r="D255" s="9" t="s">
        <v>45</v>
      </c>
      <c r="E255" s="9" t="s">
        <v>46</v>
      </c>
      <c r="F255" s="5" t="n">
        <v>60</v>
      </c>
      <c r="G255" s="10"/>
      <c r="H255" s="11" t="str">
        <f aca="false">IFERROR(IF($D255="Manual Review","",IF($G255="","",IF($D255="Direct Expiry",$G255,EDATE($G255,$F255)))),"Check Date")</f>
        <v/>
      </c>
      <c r="I255" s="12" t="str">
        <f aca="true">IF($H255="","",IF(ISNUMBER($H255),$H255-TODAY(),""))</f>
        <v/>
      </c>
      <c r="J255" s="4" t="str">
        <f aca="true">IF($D255="Manual Review","Manual Review",IF($G255="","No Data",IF(NOT(ISNUMBER($H255)),"N/A",IF($H255&lt;TODAY(),"Overdue",IF($H255&lt;=TODAY()+30,"Due within 1 Month",IF($H255&lt;=TODAY()+60,"Due within 2 Months","OK"))))))</f>
        <v>No Data</v>
      </c>
      <c r="K255" s="13"/>
    </row>
    <row r="256" customFormat="false" ht="15" hidden="false" customHeight="false" outlineLevel="0" collapsed="false">
      <c r="A256" s="9" t="str">
        <f aca="false">Vessels!B7</f>
        <v>Vessel 03</v>
      </c>
      <c r="B256" s="9" t="s">
        <v>42</v>
      </c>
      <c r="C256" s="7" t="s">
        <v>68</v>
      </c>
      <c r="D256" s="9" t="s">
        <v>45</v>
      </c>
      <c r="E256" s="9" t="s">
        <v>46</v>
      </c>
      <c r="F256" s="5" t="n">
        <v>60</v>
      </c>
      <c r="G256" s="10"/>
      <c r="H256" s="11" t="str">
        <f aca="false">IFERROR(IF($D256="Manual Review","",IF($G256="","",IF($D256="Direct Expiry",$G256,EDATE($G256,$F256)))),"Check Date")</f>
        <v/>
      </c>
      <c r="I256" s="12" t="str">
        <f aca="true">IF($H256="","",IF(ISNUMBER($H256),$H256-TODAY(),""))</f>
        <v/>
      </c>
      <c r="J256" s="4" t="str">
        <f aca="true">IF($D256="Manual Review","Manual Review",IF($G256="","No Data",IF(NOT(ISNUMBER($H256)),"N/A",IF($H256&lt;TODAY(),"Overdue",IF($H256&lt;=TODAY()+30,"Due within 1 Month",IF($H256&lt;=TODAY()+60,"Due within 2 Months","OK"))))))</f>
        <v>No Data</v>
      </c>
      <c r="K256" s="13"/>
    </row>
    <row r="257" customFormat="false" ht="15" hidden="false" customHeight="false" outlineLevel="0" collapsed="false">
      <c r="A257" s="9" t="str">
        <f aca="false">Vessels!B7</f>
        <v>Vessel 03</v>
      </c>
      <c r="B257" s="9" t="s">
        <v>42</v>
      </c>
      <c r="C257" s="7" t="s">
        <v>69</v>
      </c>
      <c r="D257" s="9" t="s">
        <v>45</v>
      </c>
      <c r="E257" s="9" t="s">
        <v>46</v>
      </c>
      <c r="F257" s="5" t="n">
        <v>60</v>
      </c>
      <c r="G257" s="10"/>
      <c r="H257" s="11" t="str">
        <f aca="false">IFERROR(IF($D257="Manual Review","",IF($G257="","",IF($D257="Direct Expiry",$G257,EDATE($G257,$F257)))),"Check Date")</f>
        <v/>
      </c>
      <c r="I257" s="12" t="str">
        <f aca="true">IF($H257="","",IF(ISNUMBER($H257),$H257-TODAY(),""))</f>
        <v/>
      </c>
      <c r="J257" s="4" t="str">
        <f aca="true">IF($D257="Manual Review","Manual Review",IF($G257="","No Data",IF(NOT(ISNUMBER($H257)),"N/A",IF($H257&lt;TODAY(),"Overdue",IF($H257&lt;=TODAY()+30,"Due within 1 Month",IF($H257&lt;=TODAY()+60,"Due within 2 Months","OK"))))))</f>
        <v>No Data</v>
      </c>
      <c r="K257" s="13"/>
    </row>
    <row r="258" customFormat="false" ht="15" hidden="false" customHeight="false" outlineLevel="0" collapsed="false">
      <c r="A258" s="9" t="str">
        <f aca="false">Vessels!B7</f>
        <v>Vessel 03</v>
      </c>
      <c r="B258" s="9" t="s">
        <v>42</v>
      </c>
      <c r="C258" s="7" t="s">
        <v>70</v>
      </c>
      <c r="D258" s="9" t="s">
        <v>59</v>
      </c>
      <c r="E258" s="9" t="s">
        <v>58</v>
      </c>
      <c r="F258" s="5"/>
      <c r="G258" s="10"/>
      <c r="H258" s="11" t="str">
        <f aca="false">IFERROR(IF($D258="Manual Review","",IF($G258="","",IF($D258="Direct Expiry",$G258,EDATE($G258,$F258)))),"Check Date")</f>
        <v/>
      </c>
      <c r="I258" s="12" t="str">
        <f aca="true">IF($H258="","",IF(ISNUMBER($H258),$H258-TODAY(),""))</f>
        <v/>
      </c>
      <c r="J258" s="4" t="str">
        <f aca="true">IF($D258="Manual Review","Manual Review",IF($G258="","No Data",IF(NOT(ISNUMBER($H258)),"N/A",IF($H258&lt;TODAY(),"Overdue",IF($H258&lt;=TODAY()+30,"Due within 1 Month",IF($H258&lt;=TODAY()+60,"Due within 2 Months","OK"))))))</f>
        <v>No Data</v>
      </c>
      <c r="K258" s="13"/>
    </row>
    <row r="259" customFormat="false" ht="15" hidden="false" customHeight="false" outlineLevel="0" collapsed="false">
      <c r="A259" s="9" t="str">
        <f aca="false">Vessels!B7</f>
        <v>Vessel 03</v>
      </c>
      <c r="B259" s="9" t="s">
        <v>42</v>
      </c>
      <c r="C259" s="7" t="s">
        <v>71</v>
      </c>
      <c r="D259" s="9" t="s">
        <v>45</v>
      </c>
      <c r="E259" s="9" t="s">
        <v>44</v>
      </c>
      <c r="F259" s="5" t="n">
        <v>12</v>
      </c>
      <c r="G259" s="10"/>
      <c r="H259" s="11" t="str">
        <f aca="false">IFERROR(IF($D259="Manual Review","",IF($G259="","",IF($D259="Direct Expiry",$G259,EDATE($G259,$F259)))),"Check Date")</f>
        <v/>
      </c>
      <c r="I259" s="12" t="str">
        <f aca="true">IF($H259="","",IF(ISNUMBER($H259),$H259-TODAY(),""))</f>
        <v/>
      </c>
      <c r="J259" s="4" t="str">
        <f aca="true">IF($D259="Manual Review","Manual Review",IF($G259="","No Data",IF(NOT(ISNUMBER($H259)),"N/A",IF($H259&lt;TODAY(),"Overdue",IF($H259&lt;=TODAY()+30,"Due within 1 Month",IF($H259&lt;=TODAY()+60,"Due within 2 Months","OK"))))))</f>
        <v>No Data</v>
      </c>
      <c r="K259" s="13"/>
    </row>
    <row r="260" customFormat="false" ht="15" hidden="false" customHeight="false" outlineLevel="0" collapsed="false">
      <c r="A260" s="9" t="str">
        <f aca="false">Vessels!B7</f>
        <v>Vessel 03</v>
      </c>
      <c r="B260" s="9" t="s">
        <v>42</v>
      </c>
      <c r="C260" s="7" t="s">
        <v>72</v>
      </c>
      <c r="D260" s="9" t="s">
        <v>59</v>
      </c>
      <c r="E260" s="9" t="s">
        <v>58</v>
      </c>
      <c r="F260" s="5"/>
      <c r="G260" s="10"/>
      <c r="H260" s="11" t="str">
        <f aca="false">IFERROR(IF($D260="Manual Review","",IF($G260="","",IF($D260="Direct Expiry",$G260,EDATE($G260,$F260)))),"Check Date")</f>
        <v/>
      </c>
      <c r="I260" s="12" t="str">
        <f aca="true">IF($H260="","",IF(ISNUMBER($H260),$H260-TODAY(),""))</f>
        <v/>
      </c>
      <c r="J260" s="4" t="str">
        <f aca="true">IF($D260="Manual Review","Manual Review",IF($G260="","No Data",IF(NOT(ISNUMBER($H260)),"N/A",IF($H260&lt;TODAY(),"Overdue",IF($H260&lt;=TODAY()+30,"Due within 1 Month",IF($H260&lt;=TODAY()+60,"Due within 2 Months","OK"))))))</f>
        <v>No Data</v>
      </c>
      <c r="K260" s="13"/>
    </row>
    <row r="261" customFormat="false" ht="15" hidden="false" customHeight="false" outlineLevel="0" collapsed="false">
      <c r="A261" s="9" t="str">
        <f aca="false">Vessels!B7</f>
        <v>Vessel 03</v>
      </c>
      <c r="B261" s="9" t="s">
        <v>42</v>
      </c>
      <c r="C261" s="7" t="s">
        <v>73</v>
      </c>
      <c r="D261" s="9" t="s">
        <v>45</v>
      </c>
      <c r="E261" s="9" t="s">
        <v>44</v>
      </c>
      <c r="F261" s="5" t="n">
        <v>12</v>
      </c>
      <c r="G261" s="10"/>
      <c r="H261" s="11" t="str">
        <f aca="false">IFERROR(IF($D261="Manual Review","",IF($G261="","",IF($D261="Direct Expiry",$G261,EDATE($G261,$F261)))),"Check Date")</f>
        <v/>
      </c>
      <c r="I261" s="12" t="str">
        <f aca="true">IF($H261="","",IF(ISNUMBER($H261),$H261-TODAY(),""))</f>
        <v/>
      </c>
      <c r="J261" s="4" t="str">
        <f aca="true">IF($D261="Manual Review","Manual Review",IF($G261="","No Data",IF(NOT(ISNUMBER($H261)),"N/A",IF($H261&lt;TODAY(),"Overdue",IF($H261&lt;=TODAY()+30,"Due within 1 Month",IF($H261&lt;=TODAY()+60,"Due within 2 Months","OK"))))))</f>
        <v>No Data</v>
      </c>
      <c r="K261" s="13"/>
    </row>
    <row r="262" customFormat="false" ht="15" hidden="false" customHeight="false" outlineLevel="0" collapsed="false">
      <c r="A262" s="9" t="str">
        <f aca="false">Vessels!B7</f>
        <v>Vessel 03</v>
      </c>
      <c r="B262" s="9" t="s">
        <v>42</v>
      </c>
      <c r="C262" s="7" t="s">
        <v>74</v>
      </c>
      <c r="D262" s="9" t="s">
        <v>59</v>
      </c>
      <c r="E262" s="9" t="s">
        <v>58</v>
      </c>
      <c r="F262" s="5"/>
      <c r="G262" s="10"/>
      <c r="H262" s="11" t="str">
        <f aca="false">IFERROR(IF($D262="Manual Review","",IF($G262="","",IF($D262="Direct Expiry",$G262,EDATE($G262,$F262)))),"Check Date")</f>
        <v/>
      </c>
      <c r="I262" s="12" t="str">
        <f aca="true">IF($H262="","",IF(ISNUMBER($H262),$H262-TODAY(),""))</f>
        <v/>
      </c>
      <c r="J262" s="4" t="str">
        <f aca="true">IF($D262="Manual Review","Manual Review",IF($G262="","No Data",IF(NOT(ISNUMBER($H262)),"N/A",IF($H262&lt;TODAY(),"Overdue",IF($H262&lt;=TODAY()+30,"Due within 1 Month",IF($H262&lt;=TODAY()+60,"Due within 2 Months","OK"))))))</f>
        <v>No Data</v>
      </c>
      <c r="K262" s="13"/>
    </row>
    <row r="263" customFormat="false" ht="15" hidden="false" customHeight="false" outlineLevel="0" collapsed="false">
      <c r="A263" s="9" t="str">
        <f aca="false">Vessels!B7</f>
        <v>Vessel 03</v>
      </c>
      <c r="B263" s="9" t="s">
        <v>42</v>
      </c>
      <c r="C263" s="7" t="s">
        <v>75</v>
      </c>
      <c r="D263" s="9" t="s">
        <v>45</v>
      </c>
      <c r="E263" s="9" t="s">
        <v>44</v>
      </c>
      <c r="F263" s="5" t="n">
        <v>12</v>
      </c>
      <c r="G263" s="10"/>
      <c r="H263" s="11" t="str">
        <f aca="false">IFERROR(IF($D263="Manual Review","",IF($G263="","",IF($D263="Direct Expiry",$G263,EDATE($G263,$F263)))),"Check Date")</f>
        <v/>
      </c>
      <c r="I263" s="12" t="str">
        <f aca="true">IF($H263="","",IF(ISNUMBER($H263),$H263-TODAY(),""))</f>
        <v/>
      </c>
      <c r="J263" s="4" t="str">
        <f aca="true">IF($D263="Manual Review","Manual Review",IF($G263="","No Data",IF(NOT(ISNUMBER($H263)),"N/A",IF($H263&lt;TODAY(),"Overdue",IF($H263&lt;=TODAY()+30,"Due within 1 Month",IF($H263&lt;=TODAY()+60,"Due within 2 Months","OK"))))))</f>
        <v>No Data</v>
      </c>
      <c r="K263" s="13"/>
    </row>
    <row r="264" customFormat="false" ht="15" hidden="false" customHeight="false" outlineLevel="0" collapsed="false">
      <c r="A264" s="9" t="str">
        <f aca="false">Vessels!B7</f>
        <v>Vessel 03</v>
      </c>
      <c r="B264" s="9" t="s">
        <v>42</v>
      </c>
      <c r="C264" s="7" t="s">
        <v>76</v>
      </c>
      <c r="D264" s="9" t="s">
        <v>59</v>
      </c>
      <c r="E264" s="9" t="s">
        <v>58</v>
      </c>
      <c r="F264" s="5"/>
      <c r="G264" s="10"/>
      <c r="H264" s="11" t="str">
        <f aca="false">IFERROR(IF($D264="Manual Review","",IF($G264="","",IF($D264="Direct Expiry",$G264,EDATE($G264,$F264)))),"Check Date")</f>
        <v/>
      </c>
      <c r="I264" s="12" t="str">
        <f aca="true">IF($H264="","",IF(ISNUMBER($H264),$H264-TODAY(),""))</f>
        <v/>
      </c>
      <c r="J264" s="4" t="str">
        <f aca="true">IF($D264="Manual Review","Manual Review",IF($G264="","No Data",IF(NOT(ISNUMBER($H264)),"N/A",IF($H264&lt;TODAY(),"Overdue",IF($H264&lt;=TODAY()+30,"Due within 1 Month",IF($H264&lt;=TODAY()+60,"Due within 2 Months","OK"))))))</f>
        <v>No Data</v>
      </c>
      <c r="K264" s="13"/>
    </row>
    <row r="265" customFormat="false" ht="15" hidden="false" customHeight="false" outlineLevel="0" collapsed="false">
      <c r="A265" s="9" t="str">
        <f aca="false">Vessels!B7</f>
        <v>Vessel 03</v>
      </c>
      <c r="B265" s="9" t="s">
        <v>42</v>
      </c>
      <c r="C265" s="7" t="s">
        <v>77</v>
      </c>
      <c r="D265" s="9" t="s">
        <v>59</v>
      </c>
      <c r="E265" s="9" t="s">
        <v>58</v>
      </c>
      <c r="F265" s="5"/>
      <c r="G265" s="10"/>
      <c r="H265" s="11" t="str">
        <f aca="false">IFERROR(IF($D265="Manual Review","",IF($G265="","",IF($D265="Direct Expiry",$G265,EDATE($G265,$F265)))),"Check Date")</f>
        <v/>
      </c>
      <c r="I265" s="12" t="str">
        <f aca="true">IF($H265="","",IF(ISNUMBER($H265),$H265-TODAY(),""))</f>
        <v/>
      </c>
      <c r="J265" s="4" t="str">
        <f aca="true">IF($D265="Manual Review","Manual Review",IF($G265="","No Data",IF(NOT(ISNUMBER($H265)),"N/A",IF($H265&lt;TODAY(),"Overdue",IF($H265&lt;=TODAY()+30,"Due within 1 Month",IF($H265&lt;=TODAY()+60,"Due within 2 Months","OK"))))))</f>
        <v>No Data</v>
      </c>
      <c r="K265" s="13"/>
    </row>
    <row r="266" customFormat="false" ht="15" hidden="false" customHeight="false" outlineLevel="0" collapsed="false">
      <c r="A266" s="9" t="str">
        <f aca="false">Vessels!B7</f>
        <v>Vessel 03</v>
      </c>
      <c r="B266" s="9" t="s">
        <v>42</v>
      </c>
      <c r="C266" s="7" t="s">
        <v>78</v>
      </c>
      <c r="D266" s="9" t="s">
        <v>59</v>
      </c>
      <c r="E266" s="9" t="s">
        <v>58</v>
      </c>
      <c r="F266" s="5"/>
      <c r="G266" s="10"/>
      <c r="H266" s="11" t="str">
        <f aca="false">IFERROR(IF($D266="Manual Review","",IF($G266="","",IF($D266="Direct Expiry",$G266,EDATE($G266,$F266)))),"Check Date")</f>
        <v/>
      </c>
      <c r="I266" s="12" t="str">
        <f aca="true">IF($H266="","",IF(ISNUMBER($H266),$H266-TODAY(),""))</f>
        <v/>
      </c>
      <c r="J266" s="4" t="str">
        <f aca="true">IF($D266="Manual Review","Manual Review",IF($G266="","No Data",IF(NOT(ISNUMBER($H266)),"N/A",IF($H266&lt;TODAY(),"Overdue",IF($H266&lt;=TODAY()+30,"Due within 1 Month",IF($H266&lt;=TODAY()+60,"Due within 2 Months","OK"))))))</f>
        <v>No Data</v>
      </c>
      <c r="K266" s="13"/>
    </row>
    <row r="267" customFormat="false" ht="15" hidden="false" customHeight="false" outlineLevel="0" collapsed="false">
      <c r="A267" s="9" t="str">
        <f aca="false">Vessels!B7</f>
        <v>Vessel 03</v>
      </c>
      <c r="B267" s="9" t="s">
        <v>42</v>
      </c>
      <c r="C267" s="7" t="s">
        <v>79</v>
      </c>
      <c r="D267" s="9" t="s">
        <v>45</v>
      </c>
      <c r="E267" s="9" t="s">
        <v>44</v>
      </c>
      <c r="F267" s="5" t="n">
        <v>12</v>
      </c>
      <c r="G267" s="10"/>
      <c r="H267" s="11" t="str">
        <f aca="false">IFERROR(IF($D267="Manual Review","",IF($G267="","",IF($D267="Direct Expiry",$G267,EDATE($G267,$F267)))),"Check Date")</f>
        <v/>
      </c>
      <c r="I267" s="12" t="str">
        <f aca="true">IF($H267="","",IF(ISNUMBER($H267),$H267-TODAY(),""))</f>
        <v/>
      </c>
      <c r="J267" s="4" t="str">
        <f aca="true">IF($D267="Manual Review","Manual Review",IF($G267="","No Data",IF(NOT(ISNUMBER($H267)),"N/A",IF($H267&lt;TODAY(),"Overdue",IF($H267&lt;=TODAY()+30,"Due within 1 Month",IF($H267&lt;=TODAY()+60,"Due within 2 Months","OK"))))))</f>
        <v>No Data</v>
      </c>
      <c r="K267" s="13"/>
    </row>
    <row r="268" customFormat="false" ht="15" hidden="false" customHeight="false" outlineLevel="0" collapsed="false">
      <c r="A268" s="9" t="str">
        <f aca="false">Vessels!B7</f>
        <v>Vessel 03</v>
      </c>
      <c r="B268" s="9" t="s">
        <v>42</v>
      </c>
      <c r="C268" s="7" t="s">
        <v>80</v>
      </c>
      <c r="D268" s="9" t="s">
        <v>45</v>
      </c>
      <c r="E268" s="9" t="s">
        <v>81</v>
      </c>
      <c r="F268" s="5" t="n">
        <v>36</v>
      </c>
      <c r="G268" s="10"/>
      <c r="H268" s="11" t="str">
        <f aca="false">IFERROR(IF($D268="Manual Review","",IF($G268="","",IF($D268="Direct Expiry",$G268,EDATE($G268,$F268)))),"Check Date")</f>
        <v/>
      </c>
      <c r="I268" s="12" t="str">
        <f aca="true">IF($H268="","",IF(ISNUMBER($H268),$H268-TODAY(),""))</f>
        <v/>
      </c>
      <c r="J268" s="4" t="str">
        <f aca="true">IF($D268="Manual Review","Manual Review",IF($G268="","No Data",IF(NOT(ISNUMBER($H268)),"N/A",IF($H268&lt;TODAY(),"Overdue",IF($H268&lt;=TODAY()+30,"Due within 1 Month",IF($H268&lt;=TODAY()+60,"Due within 2 Months","OK"))))))</f>
        <v>No Data</v>
      </c>
      <c r="K268" s="13"/>
    </row>
    <row r="269" customFormat="false" ht="15" hidden="false" customHeight="false" outlineLevel="0" collapsed="false">
      <c r="A269" s="9" t="str">
        <f aca="false">Vessels!B7</f>
        <v>Vessel 03</v>
      </c>
      <c r="B269" s="9" t="s">
        <v>42</v>
      </c>
      <c r="C269" s="7" t="s">
        <v>80</v>
      </c>
      <c r="D269" s="9" t="s">
        <v>45</v>
      </c>
      <c r="E269" s="9" t="s">
        <v>82</v>
      </c>
      <c r="F269" s="5" t="n">
        <v>24</v>
      </c>
      <c r="G269" s="10"/>
      <c r="H269" s="11" t="str">
        <f aca="false">IFERROR(IF($D269="Manual Review","",IF($G269="","",IF($D269="Direct Expiry",$G269,EDATE($G269,$F269)))),"Check Date")</f>
        <v/>
      </c>
      <c r="I269" s="12" t="str">
        <f aca="true">IF($H269="","",IF(ISNUMBER($H269),$H269-TODAY(),""))</f>
        <v/>
      </c>
      <c r="J269" s="4" t="str">
        <f aca="true">IF($D269="Manual Review","Manual Review",IF($G269="","No Data",IF(NOT(ISNUMBER($H269)),"N/A",IF($H269&lt;TODAY(),"Overdue",IF($H269&lt;=TODAY()+30,"Due within 1 Month",IF($H269&lt;=TODAY()+60,"Due within 2 Months","OK"))))))</f>
        <v>No Data</v>
      </c>
      <c r="K269" s="13"/>
    </row>
    <row r="270" customFormat="false" ht="15" hidden="false" customHeight="false" outlineLevel="0" collapsed="false">
      <c r="A270" s="9" t="str">
        <f aca="false">Vessels!B7</f>
        <v>Vessel 03</v>
      </c>
      <c r="B270" s="9" t="s">
        <v>42</v>
      </c>
      <c r="C270" s="7" t="s">
        <v>83</v>
      </c>
      <c r="D270" s="9" t="s">
        <v>45</v>
      </c>
      <c r="E270" s="9" t="s">
        <v>44</v>
      </c>
      <c r="F270" s="5" t="n">
        <v>12</v>
      </c>
      <c r="G270" s="10"/>
      <c r="H270" s="11" t="str">
        <f aca="false">IFERROR(IF($D270="Manual Review","",IF($G270="","",IF($D270="Direct Expiry",$G270,EDATE($G270,$F270)))),"Check Date")</f>
        <v/>
      </c>
      <c r="I270" s="12" t="str">
        <f aca="true">IF($H270="","",IF(ISNUMBER($H270),$H270-TODAY(),""))</f>
        <v/>
      </c>
      <c r="J270" s="4" t="str">
        <f aca="true">IF($D270="Manual Review","Manual Review",IF($G270="","No Data",IF(NOT(ISNUMBER($H270)),"N/A",IF($H270&lt;TODAY(),"Overdue",IF($H270&lt;=TODAY()+30,"Due within 1 Month",IF($H270&lt;=TODAY()+60,"Due within 2 Months","OK"))))))</f>
        <v>No Data</v>
      </c>
      <c r="K270" s="13"/>
    </row>
    <row r="271" customFormat="false" ht="15" hidden="false" customHeight="false" outlineLevel="0" collapsed="false">
      <c r="A271" s="9" t="str">
        <f aca="false">Vessels!B7</f>
        <v>Vessel 03</v>
      </c>
      <c r="B271" s="9" t="s">
        <v>42</v>
      </c>
      <c r="C271" s="7" t="s">
        <v>83</v>
      </c>
      <c r="D271" s="9" t="s">
        <v>45</v>
      </c>
      <c r="E271" s="9" t="s">
        <v>84</v>
      </c>
      <c r="F271" s="5" t="n">
        <v>60</v>
      </c>
      <c r="G271" s="10"/>
      <c r="H271" s="11" t="str">
        <f aca="false">IFERROR(IF($D271="Manual Review","",IF($G271="","",IF($D271="Direct Expiry",$G271,EDATE($G271,$F271)))),"Check Date")</f>
        <v/>
      </c>
      <c r="I271" s="12" t="str">
        <f aca="true">IF($H271="","",IF(ISNUMBER($H271),$H271-TODAY(),""))</f>
        <v/>
      </c>
      <c r="J271" s="4" t="str">
        <f aca="true">IF($D271="Manual Review","Manual Review",IF($G271="","No Data",IF(NOT(ISNUMBER($H271)),"N/A",IF($H271&lt;TODAY(),"Overdue",IF($H271&lt;=TODAY()+30,"Due within 1 Month",IF($H271&lt;=TODAY()+60,"Due within 2 Months","OK"))))))</f>
        <v>No Data</v>
      </c>
      <c r="K271" s="13"/>
    </row>
    <row r="272" customFormat="false" ht="15" hidden="false" customHeight="false" outlineLevel="0" collapsed="false">
      <c r="A272" s="9" t="str">
        <f aca="false">Vessels!B7</f>
        <v>Vessel 03</v>
      </c>
      <c r="B272" s="9" t="s">
        <v>42</v>
      </c>
      <c r="C272" s="7" t="s">
        <v>85</v>
      </c>
      <c r="D272" s="9" t="s">
        <v>45</v>
      </c>
      <c r="E272" s="9" t="s">
        <v>44</v>
      </c>
      <c r="F272" s="5" t="n">
        <v>12</v>
      </c>
      <c r="G272" s="10"/>
      <c r="H272" s="11" t="str">
        <f aca="false">IFERROR(IF($D272="Manual Review","",IF($G272="","",IF($D272="Direct Expiry",$G272,EDATE($G272,$F272)))),"Check Date")</f>
        <v/>
      </c>
      <c r="I272" s="12" t="str">
        <f aca="true">IF($H272="","",IF(ISNUMBER($H272),$H272-TODAY(),""))</f>
        <v/>
      </c>
      <c r="J272" s="4" t="str">
        <f aca="true">IF($D272="Manual Review","Manual Review",IF($G272="","No Data",IF(NOT(ISNUMBER($H272)),"N/A",IF($H272&lt;TODAY(),"Overdue",IF($H272&lt;=TODAY()+30,"Due within 1 Month",IF($H272&lt;=TODAY()+60,"Due within 2 Months","OK"))))))</f>
        <v>No Data</v>
      </c>
      <c r="K272" s="13"/>
    </row>
    <row r="273" customFormat="false" ht="15" hidden="false" customHeight="false" outlineLevel="0" collapsed="false">
      <c r="A273" s="9" t="str">
        <f aca="false">Vessels!B7</f>
        <v>Vessel 03</v>
      </c>
      <c r="B273" s="9" t="s">
        <v>42</v>
      </c>
      <c r="C273" s="7" t="s">
        <v>85</v>
      </c>
      <c r="D273" s="9" t="s">
        <v>45</v>
      </c>
      <c r="E273" s="9" t="s">
        <v>84</v>
      </c>
      <c r="F273" s="5" t="n">
        <v>60</v>
      </c>
      <c r="G273" s="10"/>
      <c r="H273" s="11" t="str">
        <f aca="false">IFERROR(IF($D273="Manual Review","",IF($G273="","",IF($D273="Direct Expiry",$G273,EDATE($G273,$F273)))),"Check Date")</f>
        <v/>
      </c>
      <c r="I273" s="12" t="str">
        <f aca="true">IF($H273="","",IF(ISNUMBER($H273),$H273-TODAY(),""))</f>
        <v/>
      </c>
      <c r="J273" s="4" t="str">
        <f aca="true">IF($D273="Manual Review","Manual Review",IF($G273="","No Data",IF(NOT(ISNUMBER($H273)),"N/A",IF($H273&lt;TODAY(),"Overdue",IF($H273&lt;=TODAY()+30,"Due within 1 Month",IF($H273&lt;=TODAY()+60,"Due within 2 Months","OK"))))))</f>
        <v>No Data</v>
      </c>
      <c r="K273" s="13"/>
    </row>
    <row r="274" customFormat="false" ht="15" hidden="false" customHeight="false" outlineLevel="0" collapsed="false">
      <c r="A274" s="9" t="str">
        <f aca="false">Vessels!B7</f>
        <v>Vessel 03</v>
      </c>
      <c r="B274" s="9" t="s">
        <v>42</v>
      </c>
      <c r="C274" s="7" t="s">
        <v>86</v>
      </c>
      <c r="D274" s="9" t="s">
        <v>45</v>
      </c>
      <c r="E274" s="9" t="s">
        <v>44</v>
      </c>
      <c r="F274" s="5" t="n">
        <v>12</v>
      </c>
      <c r="G274" s="10"/>
      <c r="H274" s="11" t="str">
        <f aca="false">IFERROR(IF($D274="Manual Review","",IF($G274="","",IF($D274="Direct Expiry",$G274,EDATE($G274,$F274)))),"Check Date")</f>
        <v/>
      </c>
      <c r="I274" s="12" t="str">
        <f aca="true">IF($H274="","",IF(ISNUMBER($H274),$H274-TODAY(),""))</f>
        <v/>
      </c>
      <c r="J274" s="4" t="str">
        <f aca="true">IF($D274="Manual Review","Manual Review",IF($G274="","No Data",IF(NOT(ISNUMBER($H274)),"N/A",IF($H274&lt;TODAY(),"Overdue",IF($H274&lt;=TODAY()+30,"Due within 1 Month",IF($H274&lt;=TODAY()+60,"Due within 2 Months","OK"))))))</f>
        <v>No Data</v>
      </c>
      <c r="K274" s="13"/>
    </row>
    <row r="275" customFormat="false" ht="15" hidden="false" customHeight="false" outlineLevel="0" collapsed="false">
      <c r="A275" s="9" t="str">
        <f aca="false">Vessels!B7</f>
        <v>Vessel 03</v>
      </c>
      <c r="B275" s="9" t="s">
        <v>42</v>
      </c>
      <c r="C275" s="7" t="s">
        <v>87</v>
      </c>
      <c r="D275" s="9" t="s">
        <v>45</v>
      </c>
      <c r="E275" s="9" t="s">
        <v>44</v>
      </c>
      <c r="F275" s="5" t="n">
        <v>12</v>
      </c>
      <c r="G275" s="10"/>
      <c r="H275" s="11" t="str">
        <f aca="false">IFERROR(IF($D275="Manual Review","",IF($G275="","",IF($D275="Direct Expiry",$G275,EDATE($G275,$F275)))),"Check Date")</f>
        <v/>
      </c>
      <c r="I275" s="12" t="str">
        <f aca="true">IF($H275="","",IF(ISNUMBER($H275),$H275-TODAY(),""))</f>
        <v/>
      </c>
      <c r="J275" s="4" t="str">
        <f aca="true">IF($D275="Manual Review","Manual Review",IF($G275="","No Data",IF(NOT(ISNUMBER($H275)),"N/A",IF($H275&lt;TODAY(),"Overdue",IF($H275&lt;=TODAY()+30,"Due within 1 Month",IF($H275&lt;=TODAY()+60,"Due within 2 Months","OK"))))))</f>
        <v>No Data</v>
      </c>
      <c r="K275" s="13"/>
    </row>
    <row r="276" customFormat="false" ht="15" hidden="false" customHeight="false" outlineLevel="0" collapsed="false">
      <c r="A276" s="9" t="str">
        <f aca="false">Vessels!B7</f>
        <v>Vessel 03</v>
      </c>
      <c r="B276" s="9" t="s">
        <v>88</v>
      </c>
      <c r="C276" s="7" t="s">
        <v>89</v>
      </c>
      <c r="D276" s="9" t="s">
        <v>45</v>
      </c>
      <c r="E276" s="9" t="s">
        <v>90</v>
      </c>
      <c r="F276" s="5" t="n">
        <v>36</v>
      </c>
      <c r="G276" s="10"/>
      <c r="H276" s="11" t="str">
        <f aca="false">IFERROR(IF($D276="Manual Review","",IF($G276="","",IF($D276="Direct Expiry",$G276,EDATE($G276,$F276)))),"Check Date")</f>
        <v/>
      </c>
      <c r="I276" s="12" t="str">
        <f aca="true">IF($H276="","",IF(ISNUMBER($H276),$H276-TODAY(),""))</f>
        <v/>
      </c>
      <c r="J276" s="4" t="str">
        <f aca="true">IF($D276="Manual Review","Manual Review",IF($G276="","No Data",IF(NOT(ISNUMBER($H276)),"N/A",IF($H276&lt;TODAY(),"Overdue",IF($H276&lt;=TODAY()+30,"Due within 1 Month",IF($H276&lt;=TODAY()+60,"Due within 2 Months","OK"))))))</f>
        <v>No Data</v>
      </c>
      <c r="K276" s="13"/>
    </row>
    <row r="277" customFormat="false" ht="15" hidden="false" customHeight="false" outlineLevel="0" collapsed="false">
      <c r="A277" s="9" t="str">
        <f aca="false">Vessels!B7</f>
        <v>Vessel 03</v>
      </c>
      <c r="B277" s="9" t="s">
        <v>88</v>
      </c>
      <c r="C277" s="7" t="s">
        <v>91</v>
      </c>
      <c r="D277" s="9" t="s">
        <v>45</v>
      </c>
      <c r="E277" s="9" t="s">
        <v>44</v>
      </c>
      <c r="F277" s="5" t="n">
        <v>12</v>
      </c>
      <c r="G277" s="10"/>
      <c r="H277" s="11" t="str">
        <f aca="false">IFERROR(IF($D277="Manual Review","",IF($G277="","",IF($D277="Direct Expiry",$G277,EDATE($G277,$F277)))),"Check Date")</f>
        <v/>
      </c>
      <c r="I277" s="12" t="str">
        <f aca="true">IF($H277="","",IF(ISNUMBER($H277),$H277-TODAY(),""))</f>
        <v/>
      </c>
      <c r="J277" s="4" t="str">
        <f aca="true">IF($D277="Manual Review","Manual Review",IF($G277="","No Data",IF(NOT(ISNUMBER($H277)),"N/A",IF($H277&lt;TODAY(),"Overdue",IF($H277&lt;=TODAY()+30,"Due within 1 Month",IF($H277&lt;=TODAY()+60,"Due within 2 Months","OK"))))))</f>
        <v>No Data</v>
      </c>
      <c r="K277" s="13"/>
    </row>
    <row r="278" customFormat="false" ht="15" hidden="false" customHeight="false" outlineLevel="0" collapsed="false">
      <c r="A278" s="9" t="str">
        <f aca="false">Vessels!B7</f>
        <v>Vessel 03</v>
      </c>
      <c r="B278" s="9" t="s">
        <v>88</v>
      </c>
      <c r="C278" s="7" t="s">
        <v>91</v>
      </c>
      <c r="D278" s="9" t="s">
        <v>45</v>
      </c>
      <c r="E278" s="9" t="s">
        <v>92</v>
      </c>
      <c r="F278" s="5" t="n">
        <v>120</v>
      </c>
      <c r="G278" s="10"/>
      <c r="H278" s="11" t="str">
        <f aca="false">IFERROR(IF($D278="Manual Review","",IF($G278="","",IF($D278="Direct Expiry",$G278,EDATE($G278,$F278)))),"Check Date")</f>
        <v/>
      </c>
      <c r="I278" s="12" t="str">
        <f aca="true">IF($H278="","",IF(ISNUMBER($H278),$H278-TODAY(),""))</f>
        <v/>
      </c>
      <c r="J278" s="4" t="str">
        <f aca="true">IF($D278="Manual Review","Manual Review",IF($G278="","No Data",IF(NOT(ISNUMBER($H278)),"N/A",IF($H278&lt;TODAY(),"Overdue",IF($H278&lt;=TODAY()+30,"Due within 1 Month",IF($H278&lt;=TODAY()+60,"Due within 2 Months","OK"))))))</f>
        <v>No Data</v>
      </c>
      <c r="K278" s="13"/>
    </row>
    <row r="279" customFormat="false" ht="15" hidden="false" customHeight="false" outlineLevel="0" collapsed="false">
      <c r="A279" s="9" t="str">
        <f aca="false">Vessels!B7</f>
        <v>Vessel 03</v>
      </c>
      <c r="B279" s="9" t="s">
        <v>88</v>
      </c>
      <c r="C279" s="7" t="s">
        <v>93</v>
      </c>
      <c r="D279" s="9" t="s">
        <v>45</v>
      </c>
      <c r="E279" s="9" t="s">
        <v>44</v>
      </c>
      <c r="F279" s="5" t="n">
        <v>12</v>
      </c>
      <c r="G279" s="10"/>
      <c r="H279" s="11" t="str">
        <f aca="false">IFERROR(IF($D279="Manual Review","",IF($G279="","",IF($D279="Direct Expiry",$G279,EDATE($G279,$F279)))),"Check Date")</f>
        <v/>
      </c>
      <c r="I279" s="12" t="str">
        <f aca="true">IF($H279="","",IF(ISNUMBER($H279),$H279-TODAY(),""))</f>
        <v/>
      </c>
      <c r="J279" s="4" t="str">
        <f aca="true">IF($D279="Manual Review","Manual Review",IF($G279="","No Data",IF(NOT(ISNUMBER($H279)),"N/A",IF($H279&lt;TODAY(),"Overdue",IF($H279&lt;=TODAY()+30,"Due within 1 Month",IF($H279&lt;=TODAY()+60,"Due within 2 Months","OK"))))))</f>
        <v>No Data</v>
      </c>
      <c r="K279" s="13"/>
    </row>
    <row r="280" customFormat="false" ht="15" hidden="false" customHeight="false" outlineLevel="0" collapsed="false">
      <c r="A280" s="9" t="str">
        <f aca="false">Vessels!B7</f>
        <v>Vessel 03</v>
      </c>
      <c r="B280" s="9" t="s">
        <v>88</v>
      </c>
      <c r="C280" s="7" t="s">
        <v>93</v>
      </c>
      <c r="D280" s="9" t="s">
        <v>45</v>
      </c>
      <c r="E280" s="9" t="s">
        <v>92</v>
      </c>
      <c r="F280" s="5" t="n">
        <v>120</v>
      </c>
      <c r="G280" s="10"/>
      <c r="H280" s="11" t="str">
        <f aca="false">IFERROR(IF($D280="Manual Review","",IF($G280="","",IF($D280="Direct Expiry",$G280,EDATE($G280,$F280)))),"Check Date")</f>
        <v/>
      </c>
      <c r="I280" s="12" t="str">
        <f aca="true">IF($H280="","",IF(ISNUMBER($H280),$H280-TODAY(),""))</f>
        <v/>
      </c>
      <c r="J280" s="4" t="str">
        <f aca="true">IF($D280="Manual Review","Manual Review",IF($G280="","No Data",IF(NOT(ISNUMBER($H280)),"N/A",IF($H280&lt;TODAY(),"Overdue",IF($H280&lt;=TODAY()+30,"Due within 1 Month",IF($H280&lt;=TODAY()+60,"Due within 2 Months","OK"))))))</f>
        <v>No Data</v>
      </c>
      <c r="K280" s="13"/>
    </row>
    <row r="281" customFormat="false" ht="15" hidden="false" customHeight="false" outlineLevel="0" collapsed="false">
      <c r="A281" s="9" t="str">
        <f aca="false">Vessels!B7</f>
        <v>Vessel 03</v>
      </c>
      <c r="B281" s="9" t="s">
        <v>88</v>
      </c>
      <c r="C281" s="7" t="s">
        <v>94</v>
      </c>
      <c r="D281" s="9" t="s">
        <v>45</v>
      </c>
      <c r="E281" s="9" t="s">
        <v>44</v>
      </c>
      <c r="F281" s="5" t="n">
        <v>12</v>
      </c>
      <c r="G281" s="10"/>
      <c r="H281" s="11" t="str">
        <f aca="false">IFERROR(IF($D281="Manual Review","",IF($G281="","",IF($D281="Direct Expiry",$G281,EDATE($G281,$F281)))),"Check Date")</f>
        <v/>
      </c>
      <c r="I281" s="12" t="str">
        <f aca="true">IF($H281="","",IF(ISNUMBER($H281),$H281-TODAY(),""))</f>
        <v/>
      </c>
      <c r="J281" s="4" t="str">
        <f aca="true">IF($D281="Manual Review","Manual Review",IF($G281="","No Data",IF(NOT(ISNUMBER($H281)),"N/A",IF($H281&lt;TODAY(),"Overdue",IF($H281&lt;=TODAY()+30,"Due within 1 Month",IF($H281&lt;=TODAY()+60,"Due within 2 Months","OK"))))))</f>
        <v>No Data</v>
      </c>
      <c r="K281" s="13"/>
    </row>
    <row r="282" customFormat="false" ht="15" hidden="false" customHeight="false" outlineLevel="0" collapsed="false">
      <c r="A282" s="9" t="str">
        <f aca="false">Vessels!B7</f>
        <v>Vessel 03</v>
      </c>
      <c r="B282" s="9" t="s">
        <v>88</v>
      </c>
      <c r="C282" s="7" t="s">
        <v>94</v>
      </c>
      <c r="D282" s="9" t="s">
        <v>45</v>
      </c>
      <c r="E282" s="9" t="s">
        <v>92</v>
      </c>
      <c r="F282" s="5" t="n">
        <v>120</v>
      </c>
      <c r="G282" s="10"/>
      <c r="H282" s="11" t="str">
        <f aca="false">IFERROR(IF($D282="Manual Review","",IF($G282="","",IF($D282="Direct Expiry",$G282,EDATE($G282,$F282)))),"Check Date")</f>
        <v/>
      </c>
      <c r="I282" s="12" t="str">
        <f aca="true">IF($H282="","",IF(ISNUMBER($H282),$H282-TODAY(),""))</f>
        <v/>
      </c>
      <c r="J282" s="4" t="str">
        <f aca="true">IF($D282="Manual Review","Manual Review",IF($G282="","No Data",IF(NOT(ISNUMBER($H282)),"N/A",IF($H282&lt;TODAY(),"Overdue",IF($H282&lt;=TODAY()+30,"Due within 1 Month",IF($H282&lt;=TODAY()+60,"Due within 2 Months","OK"))))))</f>
        <v>No Data</v>
      </c>
      <c r="K282" s="13"/>
    </row>
    <row r="283" customFormat="false" ht="15" hidden="false" customHeight="false" outlineLevel="0" collapsed="false">
      <c r="A283" s="9" t="str">
        <f aca="false">Vessels!B7</f>
        <v>Vessel 03</v>
      </c>
      <c r="B283" s="9" t="s">
        <v>88</v>
      </c>
      <c r="C283" s="7" t="s">
        <v>95</v>
      </c>
      <c r="D283" s="9" t="s">
        <v>45</v>
      </c>
      <c r="E283" s="9" t="s">
        <v>44</v>
      </c>
      <c r="F283" s="5" t="n">
        <v>12</v>
      </c>
      <c r="G283" s="10"/>
      <c r="H283" s="11" t="str">
        <f aca="false">IFERROR(IF($D283="Manual Review","",IF($G283="","",IF($D283="Direct Expiry",$G283,EDATE($G283,$F283)))),"Check Date")</f>
        <v/>
      </c>
      <c r="I283" s="12" t="str">
        <f aca="true">IF($H283="","",IF(ISNUMBER($H283),$H283-TODAY(),""))</f>
        <v/>
      </c>
      <c r="J283" s="4" t="str">
        <f aca="true">IF($D283="Manual Review","Manual Review",IF($G283="","No Data",IF(NOT(ISNUMBER($H283)),"N/A",IF($H283&lt;TODAY(),"Overdue",IF($H283&lt;=TODAY()+30,"Due within 1 Month",IF($H283&lt;=TODAY()+60,"Due within 2 Months","OK"))))))</f>
        <v>No Data</v>
      </c>
      <c r="K283" s="13"/>
    </row>
    <row r="284" customFormat="false" ht="15" hidden="false" customHeight="false" outlineLevel="0" collapsed="false">
      <c r="A284" s="9" t="str">
        <f aca="false">Vessels!B7</f>
        <v>Vessel 03</v>
      </c>
      <c r="B284" s="9" t="s">
        <v>88</v>
      </c>
      <c r="C284" s="7" t="s">
        <v>95</v>
      </c>
      <c r="D284" s="9" t="s">
        <v>45</v>
      </c>
      <c r="E284" s="9" t="s">
        <v>92</v>
      </c>
      <c r="F284" s="5" t="n">
        <v>120</v>
      </c>
      <c r="G284" s="10"/>
      <c r="H284" s="11" t="str">
        <f aca="false">IFERROR(IF($D284="Manual Review","",IF($G284="","",IF($D284="Direct Expiry",$G284,EDATE($G284,$F284)))),"Check Date")</f>
        <v/>
      </c>
      <c r="I284" s="12" t="str">
        <f aca="true">IF($H284="","",IF(ISNUMBER($H284),$H284-TODAY(),""))</f>
        <v/>
      </c>
      <c r="J284" s="4" t="str">
        <f aca="true">IF($D284="Manual Review","Manual Review",IF($G284="","No Data",IF(NOT(ISNUMBER($H284)),"N/A",IF($H284&lt;TODAY(),"Overdue",IF($H284&lt;=TODAY()+30,"Due within 1 Month",IF($H284&lt;=TODAY()+60,"Due within 2 Months","OK"))))))</f>
        <v>No Data</v>
      </c>
      <c r="K284" s="13"/>
    </row>
    <row r="285" customFormat="false" ht="15" hidden="false" customHeight="false" outlineLevel="0" collapsed="false">
      <c r="A285" s="9" t="str">
        <f aca="false">Vessels!B7</f>
        <v>Vessel 03</v>
      </c>
      <c r="B285" s="9" t="s">
        <v>88</v>
      </c>
      <c r="C285" s="7" t="s">
        <v>96</v>
      </c>
      <c r="D285" s="9" t="s">
        <v>45</v>
      </c>
      <c r="E285" s="9" t="s">
        <v>44</v>
      </c>
      <c r="F285" s="5" t="n">
        <v>12</v>
      </c>
      <c r="G285" s="10"/>
      <c r="H285" s="11" t="str">
        <f aca="false">IFERROR(IF($D285="Manual Review","",IF($G285="","",IF($D285="Direct Expiry",$G285,EDATE($G285,$F285)))),"Check Date")</f>
        <v/>
      </c>
      <c r="I285" s="12" t="str">
        <f aca="true">IF($H285="","",IF(ISNUMBER($H285),$H285-TODAY(),""))</f>
        <v/>
      </c>
      <c r="J285" s="4" t="str">
        <f aca="true">IF($D285="Manual Review","Manual Review",IF($G285="","No Data",IF(NOT(ISNUMBER($H285)),"N/A",IF($H285&lt;TODAY(),"Overdue",IF($H285&lt;=TODAY()+30,"Due within 1 Month",IF($H285&lt;=TODAY()+60,"Due within 2 Months","OK"))))))</f>
        <v>No Data</v>
      </c>
      <c r="K285" s="13"/>
    </row>
    <row r="286" customFormat="false" ht="15" hidden="false" customHeight="false" outlineLevel="0" collapsed="false">
      <c r="A286" s="9" t="str">
        <f aca="false">Vessels!B7</f>
        <v>Vessel 03</v>
      </c>
      <c r="B286" s="9" t="s">
        <v>88</v>
      </c>
      <c r="C286" s="7" t="s">
        <v>96</v>
      </c>
      <c r="D286" s="9" t="s">
        <v>45</v>
      </c>
      <c r="E286" s="9" t="s">
        <v>97</v>
      </c>
      <c r="F286" s="5" t="n">
        <v>120</v>
      </c>
      <c r="G286" s="10"/>
      <c r="H286" s="11" t="str">
        <f aca="false">IFERROR(IF($D286="Manual Review","",IF($G286="","",IF($D286="Direct Expiry",$G286,EDATE($G286,$F286)))),"Check Date")</f>
        <v/>
      </c>
      <c r="I286" s="12" t="str">
        <f aca="true">IF($H286="","",IF(ISNUMBER($H286),$H286-TODAY(),""))</f>
        <v/>
      </c>
      <c r="J286" s="4" t="str">
        <f aca="true">IF($D286="Manual Review","Manual Review",IF($G286="","No Data",IF(NOT(ISNUMBER($H286)),"N/A",IF($H286&lt;TODAY(),"Overdue",IF($H286&lt;=TODAY()+30,"Due within 1 Month",IF($H286&lt;=TODAY()+60,"Due within 2 Months","OK"))))))</f>
        <v>No Data</v>
      </c>
      <c r="K286" s="13"/>
    </row>
    <row r="287" customFormat="false" ht="15" hidden="false" customHeight="false" outlineLevel="0" collapsed="false">
      <c r="A287" s="9" t="str">
        <f aca="false">Vessels!B7</f>
        <v>Vessel 03</v>
      </c>
      <c r="B287" s="9" t="s">
        <v>88</v>
      </c>
      <c r="C287" s="7" t="s">
        <v>98</v>
      </c>
      <c r="D287" s="9" t="s">
        <v>45</v>
      </c>
      <c r="E287" s="9" t="s">
        <v>44</v>
      </c>
      <c r="F287" s="5" t="n">
        <v>12</v>
      </c>
      <c r="G287" s="10"/>
      <c r="H287" s="11" t="str">
        <f aca="false">IFERROR(IF($D287="Manual Review","",IF($G287="","",IF($D287="Direct Expiry",$G287,EDATE($G287,$F287)))),"Check Date")</f>
        <v/>
      </c>
      <c r="I287" s="12" t="str">
        <f aca="true">IF($H287="","",IF(ISNUMBER($H287),$H287-TODAY(),""))</f>
        <v/>
      </c>
      <c r="J287" s="4" t="str">
        <f aca="true">IF($D287="Manual Review","Manual Review",IF($G287="","No Data",IF(NOT(ISNUMBER($H287)),"N/A",IF($H287&lt;TODAY(),"Overdue",IF($H287&lt;=TODAY()+30,"Due within 1 Month",IF($H287&lt;=TODAY()+60,"Due within 2 Months","OK"))))))</f>
        <v>No Data</v>
      </c>
      <c r="K287" s="13"/>
    </row>
    <row r="288" customFormat="false" ht="15" hidden="false" customHeight="false" outlineLevel="0" collapsed="false">
      <c r="A288" s="9" t="str">
        <f aca="false">Vessels!B7</f>
        <v>Vessel 03</v>
      </c>
      <c r="B288" s="9" t="s">
        <v>88</v>
      </c>
      <c r="C288" s="7" t="s">
        <v>98</v>
      </c>
      <c r="D288" s="9" t="s">
        <v>45</v>
      </c>
      <c r="E288" s="9" t="s">
        <v>99</v>
      </c>
      <c r="F288" s="5" t="n">
        <v>60</v>
      </c>
      <c r="G288" s="10"/>
      <c r="H288" s="11" t="str">
        <f aca="false">IFERROR(IF($D288="Manual Review","",IF($G288="","",IF($D288="Direct Expiry",$G288,EDATE($G288,$F288)))),"Check Date")</f>
        <v/>
      </c>
      <c r="I288" s="12" t="str">
        <f aca="true">IF($H288="","",IF(ISNUMBER($H288),$H288-TODAY(),""))</f>
        <v/>
      </c>
      <c r="J288" s="4" t="str">
        <f aca="true">IF($D288="Manual Review","Manual Review",IF($G288="","No Data",IF(NOT(ISNUMBER($H288)),"N/A",IF($H288&lt;TODAY(),"Overdue",IF($H288&lt;=TODAY()+30,"Due within 1 Month",IF($H288&lt;=TODAY()+60,"Due within 2 Months","OK"))))))</f>
        <v>No Data</v>
      </c>
      <c r="K288" s="13"/>
    </row>
    <row r="289" customFormat="false" ht="15" hidden="false" customHeight="false" outlineLevel="0" collapsed="false">
      <c r="A289" s="9" t="str">
        <f aca="false">Vessels!B7</f>
        <v>Vessel 03</v>
      </c>
      <c r="B289" s="9" t="s">
        <v>88</v>
      </c>
      <c r="C289" s="7" t="s">
        <v>100</v>
      </c>
      <c r="D289" s="9" t="s">
        <v>45</v>
      </c>
      <c r="E289" s="9" t="s">
        <v>44</v>
      </c>
      <c r="F289" s="5" t="n">
        <v>12</v>
      </c>
      <c r="G289" s="10"/>
      <c r="H289" s="11" t="str">
        <f aca="false">IFERROR(IF($D289="Manual Review","",IF($G289="","",IF($D289="Direct Expiry",$G289,EDATE($G289,$F289)))),"Check Date")</f>
        <v/>
      </c>
      <c r="I289" s="12" t="str">
        <f aca="true">IF($H289="","",IF(ISNUMBER($H289),$H289-TODAY(),""))</f>
        <v/>
      </c>
      <c r="J289" s="4" t="str">
        <f aca="true">IF($D289="Manual Review","Manual Review",IF($G289="","No Data",IF(NOT(ISNUMBER($H289)),"N/A",IF($H289&lt;TODAY(),"Overdue",IF($H289&lt;=TODAY()+30,"Due within 1 Month",IF($H289&lt;=TODAY()+60,"Due within 2 Months","OK"))))))</f>
        <v>No Data</v>
      </c>
      <c r="K289" s="13"/>
    </row>
    <row r="290" customFormat="false" ht="15" hidden="false" customHeight="false" outlineLevel="0" collapsed="false">
      <c r="A290" s="9" t="str">
        <f aca="false">Vessels!B7</f>
        <v>Vessel 03</v>
      </c>
      <c r="B290" s="9" t="s">
        <v>88</v>
      </c>
      <c r="C290" s="7" t="s">
        <v>100</v>
      </c>
      <c r="D290" s="9" t="s">
        <v>45</v>
      </c>
      <c r="E290" s="9" t="s">
        <v>99</v>
      </c>
      <c r="F290" s="5" t="n">
        <v>60</v>
      </c>
      <c r="G290" s="10"/>
      <c r="H290" s="11" t="str">
        <f aca="false">IFERROR(IF($D290="Manual Review","",IF($G290="","",IF($D290="Direct Expiry",$G290,EDATE($G290,$F290)))),"Check Date")</f>
        <v/>
      </c>
      <c r="I290" s="12" t="str">
        <f aca="true">IF($H290="","",IF(ISNUMBER($H290),$H290-TODAY(),""))</f>
        <v/>
      </c>
      <c r="J290" s="4" t="str">
        <f aca="true">IF($D290="Manual Review","Manual Review",IF($G290="","No Data",IF(NOT(ISNUMBER($H290)),"N/A",IF($H290&lt;TODAY(),"Overdue",IF($H290&lt;=TODAY()+30,"Due within 1 Month",IF($H290&lt;=TODAY()+60,"Due within 2 Months","OK"))))))</f>
        <v>No Data</v>
      </c>
      <c r="K290" s="13"/>
    </row>
    <row r="291" customFormat="false" ht="15" hidden="false" customHeight="false" outlineLevel="0" collapsed="false">
      <c r="A291" s="9" t="str">
        <f aca="false">Vessels!B7</f>
        <v>Vessel 03</v>
      </c>
      <c r="B291" s="9" t="s">
        <v>88</v>
      </c>
      <c r="C291" s="7" t="s">
        <v>101</v>
      </c>
      <c r="D291" s="9" t="s">
        <v>45</v>
      </c>
      <c r="E291" s="9" t="s">
        <v>44</v>
      </c>
      <c r="F291" s="5" t="n">
        <v>12</v>
      </c>
      <c r="G291" s="10"/>
      <c r="H291" s="11" t="str">
        <f aca="false">IFERROR(IF($D291="Manual Review","",IF($G291="","",IF($D291="Direct Expiry",$G291,EDATE($G291,$F291)))),"Check Date")</f>
        <v/>
      </c>
      <c r="I291" s="12" t="str">
        <f aca="true">IF($H291="","",IF(ISNUMBER($H291),$H291-TODAY(),""))</f>
        <v/>
      </c>
      <c r="J291" s="4" t="str">
        <f aca="true">IF($D291="Manual Review","Manual Review",IF($G291="","No Data",IF(NOT(ISNUMBER($H291)),"N/A",IF($H291&lt;TODAY(),"Overdue",IF($H291&lt;=TODAY()+30,"Due within 1 Month",IF($H291&lt;=TODAY()+60,"Due within 2 Months","OK"))))))</f>
        <v>No Data</v>
      </c>
      <c r="K291" s="13"/>
    </row>
    <row r="292" customFormat="false" ht="23.85" hidden="false" customHeight="false" outlineLevel="0" collapsed="false">
      <c r="A292" s="9" t="str">
        <f aca="false">Vessels!B7</f>
        <v>Vessel 03</v>
      </c>
      <c r="B292" s="9" t="s">
        <v>88</v>
      </c>
      <c r="C292" s="7" t="s">
        <v>102</v>
      </c>
      <c r="D292" s="9" t="s">
        <v>45</v>
      </c>
      <c r="E292" s="9" t="s">
        <v>44</v>
      </c>
      <c r="F292" s="5" t="n">
        <v>12</v>
      </c>
      <c r="G292" s="10"/>
      <c r="H292" s="11" t="str">
        <f aca="false">IFERROR(IF($D292="Manual Review","",IF($G292="","",IF($D292="Direct Expiry",$G292,EDATE($G292,$F292)))),"Check Date")</f>
        <v/>
      </c>
      <c r="I292" s="12" t="str">
        <f aca="true">IF($H292="","",IF(ISNUMBER($H292),$H292-TODAY(),""))</f>
        <v/>
      </c>
      <c r="J292" s="4" t="str">
        <f aca="true">IF($D292="Manual Review","Manual Review",IF($G292="","No Data",IF(NOT(ISNUMBER($H292)),"N/A",IF($H292&lt;TODAY(),"Overdue",IF($H292&lt;=TODAY()+30,"Due within 1 Month",IF($H292&lt;=TODAY()+60,"Due within 2 Months","OK"))))))</f>
        <v>No Data</v>
      </c>
      <c r="K292" s="13"/>
    </row>
    <row r="293" customFormat="false" ht="23.85" hidden="false" customHeight="false" outlineLevel="0" collapsed="false">
      <c r="A293" s="9" t="str">
        <f aca="false">Vessels!B7</f>
        <v>Vessel 03</v>
      </c>
      <c r="B293" s="9" t="s">
        <v>88</v>
      </c>
      <c r="C293" s="7" t="s">
        <v>102</v>
      </c>
      <c r="D293" s="9" t="s">
        <v>45</v>
      </c>
      <c r="E293" s="9" t="s">
        <v>97</v>
      </c>
      <c r="F293" s="5" t="n">
        <v>120</v>
      </c>
      <c r="G293" s="10"/>
      <c r="H293" s="11" t="str">
        <f aca="false">IFERROR(IF($D293="Manual Review","",IF($G293="","",IF($D293="Direct Expiry",$G293,EDATE($G293,$F293)))),"Check Date")</f>
        <v/>
      </c>
      <c r="I293" s="12" t="str">
        <f aca="true">IF($H293="","",IF(ISNUMBER($H293),$H293-TODAY(),""))</f>
        <v/>
      </c>
      <c r="J293" s="4" t="str">
        <f aca="true">IF($D293="Manual Review","Manual Review",IF($G293="","No Data",IF(NOT(ISNUMBER($H293)),"N/A",IF($H293&lt;TODAY(),"Overdue",IF($H293&lt;=TODAY()+30,"Due within 1 Month",IF($H293&lt;=TODAY()+60,"Due within 2 Months","OK"))))))</f>
        <v>No Data</v>
      </c>
      <c r="K293" s="13"/>
    </row>
    <row r="294" customFormat="false" ht="15" hidden="false" customHeight="false" outlineLevel="0" collapsed="false">
      <c r="A294" s="9" t="str">
        <f aca="false">Vessels!B7</f>
        <v>Vessel 03</v>
      </c>
      <c r="B294" s="9" t="s">
        <v>88</v>
      </c>
      <c r="C294" s="7" t="s">
        <v>103</v>
      </c>
      <c r="D294" s="9" t="s">
        <v>45</v>
      </c>
      <c r="E294" s="9" t="s">
        <v>44</v>
      </c>
      <c r="F294" s="5" t="n">
        <v>12</v>
      </c>
      <c r="G294" s="10"/>
      <c r="H294" s="11" t="str">
        <f aca="false">IFERROR(IF($D294="Manual Review","",IF($G294="","",IF($D294="Direct Expiry",$G294,EDATE($G294,$F294)))),"Check Date")</f>
        <v/>
      </c>
      <c r="I294" s="12" t="str">
        <f aca="true">IF($H294="","",IF(ISNUMBER($H294),$H294-TODAY(),""))</f>
        <v/>
      </c>
      <c r="J294" s="4" t="str">
        <f aca="true">IF($D294="Manual Review","Manual Review",IF($G294="","No Data",IF(NOT(ISNUMBER($H294)),"N/A",IF($H294&lt;TODAY(),"Overdue",IF($H294&lt;=TODAY()+30,"Due within 1 Month",IF($H294&lt;=TODAY()+60,"Due within 2 Months","OK"))))))</f>
        <v>No Data</v>
      </c>
      <c r="K294" s="13"/>
    </row>
    <row r="295" customFormat="false" ht="15" hidden="false" customHeight="false" outlineLevel="0" collapsed="false">
      <c r="A295" s="9" t="str">
        <f aca="false">Vessels!B7</f>
        <v>Vessel 03</v>
      </c>
      <c r="B295" s="9" t="s">
        <v>88</v>
      </c>
      <c r="C295" s="7" t="s">
        <v>103</v>
      </c>
      <c r="D295" s="9" t="s">
        <v>45</v>
      </c>
      <c r="E295" s="9" t="s">
        <v>97</v>
      </c>
      <c r="F295" s="5" t="n">
        <v>120</v>
      </c>
      <c r="G295" s="10"/>
      <c r="H295" s="11" t="str">
        <f aca="false">IFERROR(IF($D295="Manual Review","",IF($G295="","",IF($D295="Direct Expiry",$G295,EDATE($G295,$F295)))),"Check Date")</f>
        <v/>
      </c>
      <c r="I295" s="12" t="str">
        <f aca="true">IF($H295="","",IF(ISNUMBER($H295),$H295-TODAY(),""))</f>
        <v/>
      </c>
      <c r="J295" s="4" t="str">
        <f aca="true">IF($D295="Manual Review","Manual Review",IF($G295="","No Data",IF(NOT(ISNUMBER($H295)),"N/A",IF($H295&lt;TODAY(),"Overdue",IF($H295&lt;=TODAY()+30,"Due within 1 Month",IF($H295&lt;=TODAY()+60,"Due within 2 Months","OK"))))))</f>
        <v>No Data</v>
      </c>
      <c r="K295" s="13"/>
    </row>
    <row r="296" customFormat="false" ht="15" hidden="false" customHeight="false" outlineLevel="0" collapsed="false">
      <c r="A296" s="9" t="str">
        <f aca="false">Vessels!B7</f>
        <v>Vessel 03</v>
      </c>
      <c r="B296" s="9" t="s">
        <v>88</v>
      </c>
      <c r="C296" s="7" t="s">
        <v>104</v>
      </c>
      <c r="D296" s="9" t="s">
        <v>45</v>
      </c>
      <c r="E296" s="9" t="s">
        <v>44</v>
      </c>
      <c r="F296" s="5" t="n">
        <v>12</v>
      </c>
      <c r="G296" s="10"/>
      <c r="H296" s="11" t="str">
        <f aca="false">IFERROR(IF($D296="Manual Review","",IF($G296="","",IF($D296="Direct Expiry",$G296,EDATE($G296,$F296)))),"Check Date")</f>
        <v/>
      </c>
      <c r="I296" s="12" t="str">
        <f aca="true">IF($H296="","",IF(ISNUMBER($H296),$H296-TODAY(),""))</f>
        <v/>
      </c>
      <c r="J296" s="4" t="str">
        <f aca="true">IF($D296="Manual Review","Manual Review",IF($G296="","No Data",IF(NOT(ISNUMBER($H296)),"N/A",IF($H296&lt;TODAY(),"Overdue",IF($H296&lt;=TODAY()+30,"Due within 1 Month",IF($H296&lt;=TODAY()+60,"Due within 2 Months","OK"))))))</f>
        <v>No Data</v>
      </c>
      <c r="K296" s="13"/>
    </row>
    <row r="297" customFormat="false" ht="15" hidden="false" customHeight="false" outlineLevel="0" collapsed="false">
      <c r="A297" s="9" t="str">
        <f aca="false">Vessels!B7</f>
        <v>Vessel 03</v>
      </c>
      <c r="B297" s="9" t="s">
        <v>88</v>
      </c>
      <c r="C297" s="7" t="s">
        <v>105</v>
      </c>
      <c r="D297" s="9" t="s">
        <v>45</v>
      </c>
      <c r="E297" s="9" t="s">
        <v>44</v>
      </c>
      <c r="F297" s="5" t="n">
        <v>12</v>
      </c>
      <c r="G297" s="10"/>
      <c r="H297" s="11" t="str">
        <f aca="false">IFERROR(IF($D297="Manual Review","",IF($G297="","",IF($D297="Direct Expiry",$G297,EDATE($G297,$F297)))),"Check Date")</f>
        <v/>
      </c>
      <c r="I297" s="12" t="str">
        <f aca="true">IF($H297="","",IF(ISNUMBER($H297),$H297-TODAY(),""))</f>
        <v/>
      </c>
      <c r="J297" s="4" t="str">
        <f aca="true">IF($D297="Manual Review","Manual Review",IF($G297="","No Data",IF(NOT(ISNUMBER($H297)),"N/A",IF($H297&lt;TODAY(),"Overdue",IF($H297&lt;=TODAY()+30,"Due within 1 Month",IF($H297&lt;=TODAY()+60,"Due within 2 Months","OK"))))))</f>
        <v>No Data</v>
      </c>
      <c r="K297" s="13"/>
    </row>
    <row r="298" customFormat="false" ht="15" hidden="false" customHeight="false" outlineLevel="0" collapsed="false">
      <c r="A298" s="9" t="str">
        <f aca="false">Vessels!B7</f>
        <v>Vessel 03</v>
      </c>
      <c r="B298" s="9" t="s">
        <v>88</v>
      </c>
      <c r="C298" s="7" t="s">
        <v>106</v>
      </c>
      <c r="D298" s="9" t="s">
        <v>45</v>
      </c>
      <c r="E298" s="9" t="s">
        <v>44</v>
      </c>
      <c r="F298" s="5" t="n">
        <v>12</v>
      </c>
      <c r="G298" s="10"/>
      <c r="H298" s="11" t="str">
        <f aca="false">IFERROR(IF($D298="Manual Review","",IF($G298="","",IF($D298="Direct Expiry",$G298,EDATE($G298,$F298)))),"Check Date")</f>
        <v/>
      </c>
      <c r="I298" s="12" t="str">
        <f aca="true">IF($H298="","",IF(ISNUMBER($H298),$H298-TODAY(),""))</f>
        <v/>
      </c>
      <c r="J298" s="4" t="str">
        <f aca="true">IF($D298="Manual Review","Manual Review",IF($G298="","No Data",IF(NOT(ISNUMBER($H298)),"N/A",IF($H298&lt;TODAY(),"Overdue",IF($H298&lt;=TODAY()+30,"Due within 1 Month",IF($H298&lt;=TODAY()+60,"Due within 2 Months","OK"))))))</f>
        <v>No Data</v>
      </c>
      <c r="K298" s="13"/>
    </row>
    <row r="299" customFormat="false" ht="15" hidden="false" customHeight="false" outlineLevel="0" collapsed="false">
      <c r="A299" s="9" t="str">
        <f aca="false">Vessels!B7</f>
        <v>Vessel 03</v>
      </c>
      <c r="B299" s="9" t="s">
        <v>88</v>
      </c>
      <c r="C299" s="7" t="s">
        <v>107</v>
      </c>
      <c r="D299" s="9" t="s">
        <v>45</v>
      </c>
      <c r="E299" s="9" t="s">
        <v>44</v>
      </c>
      <c r="F299" s="5" t="n">
        <v>12</v>
      </c>
      <c r="G299" s="10"/>
      <c r="H299" s="11" t="str">
        <f aca="false">IFERROR(IF($D299="Manual Review","",IF($G299="","",IF($D299="Direct Expiry",$G299,EDATE($G299,$F299)))),"Check Date")</f>
        <v/>
      </c>
      <c r="I299" s="12" t="str">
        <f aca="true">IF($H299="","",IF(ISNUMBER($H299),$H299-TODAY(),""))</f>
        <v/>
      </c>
      <c r="J299" s="4" t="str">
        <f aca="true">IF($D299="Manual Review","Manual Review",IF($G299="","No Data",IF(NOT(ISNUMBER($H299)),"N/A",IF($H299&lt;TODAY(),"Overdue",IF($H299&lt;=TODAY()+30,"Due within 1 Month",IF($H299&lt;=TODAY()+60,"Due within 2 Months","OK"))))))</f>
        <v>No Data</v>
      </c>
      <c r="K299" s="13"/>
    </row>
    <row r="300" customFormat="false" ht="15" hidden="false" customHeight="false" outlineLevel="0" collapsed="false">
      <c r="A300" s="9" t="str">
        <f aca="false">Vessels!B7</f>
        <v>Vessel 03</v>
      </c>
      <c r="B300" s="9" t="s">
        <v>88</v>
      </c>
      <c r="C300" s="7" t="s">
        <v>108</v>
      </c>
      <c r="D300" s="9" t="s">
        <v>45</v>
      </c>
      <c r="E300" s="9" t="s">
        <v>109</v>
      </c>
      <c r="F300" s="5" t="n">
        <v>12</v>
      </c>
      <c r="G300" s="10"/>
      <c r="H300" s="11" t="str">
        <f aca="false">IFERROR(IF($D300="Manual Review","",IF($G300="","",IF($D300="Direct Expiry",$G300,EDATE($G300,$F300)))),"Check Date")</f>
        <v/>
      </c>
      <c r="I300" s="12" t="str">
        <f aca="true">IF($H300="","",IF(ISNUMBER($H300),$H300-TODAY(),""))</f>
        <v/>
      </c>
      <c r="J300" s="4" t="str">
        <f aca="true">IF($D300="Manual Review","Manual Review",IF($G300="","No Data",IF(NOT(ISNUMBER($H300)),"N/A",IF($H300&lt;TODAY(),"Overdue",IF($H300&lt;=TODAY()+30,"Due within 1 Month",IF($H300&lt;=TODAY()+60,"Due within 2 Months","OK"))))))</f>
        <v>No Data</v>
      </c>
      <c r="K300" s="13"/>
    </row>
    <row r="301" customFormat="false" ht="15" hidden="false" customHeight="false" outlineLevel="0" collapsed="false">
      <c r="A301" s="9" t="str">
        <f aca="false">Vessels!B7</f>
        <v>Vessel 03</v>
      </c>
      <c r="B301" s="9" t="s">
        <v>88</v>
      </c>
      <c r="C301" s="7" t="s">
        <v>108</v>
      </c>
      <c r="D301" s="9" t="s">
        <v>45</v>
      </c>
      <c r="E301" s="9" t="s">
        <v>110</v>
      </c>
      <c r="F301" s="5" t="n">
        <v>60</v>
      </c>
      <c r="G301" s="10"/>
      <c r="H301" s="11" t="str">
        <f aca="false">IFERROR(IF($D301="Manual Review","",IF($G301="","",IF($D301="Direct Expiry",$G301,EDATE($G301,$F301)))),"Check Date")</f>
        <v/>
      </c>
      <c r="I301" s="12" t="str">
        <f aca="true">IF($H301="","",IF(ISNUMBER($H301),$H301-TODAY(),""))</f>
        <v/>
      </c>
      <c r="J301" s="4" t="str">
        <f aca="true">IF($D301="Manual Review","Manual Review",IF($G301="","No Data",IF(NOT(ISNUMBER($H301)),"N/A",IF($H301&lt;TODAY(),"Overdue",IF($H301&lt;=TODAY()+30,"Due within 1 Month",IF($H301&lt;=TODAY()+60,"Due within 2 Months","OK"))))))</f>
        <v>No Data</v>
      </c>
      <c r="K301" s="13"/>
    </row>
    <row r="302" customFormat="false" ht="15" hidden="false" customHeight="false" outlineLevel="0" collapsed="false">
      <c r="A302" s="9" t="str">
        <f aca="false">Vessels!B7</f>
        <v>Vessel 03</v>
      </c>
      <c r="B302" s="9" t="s">
        <v>88</v>
      </c>
      <c r="C302" s="7" t="s">
        <v>111</v>
      </c>
      <c r="D302" s="9" t="s">
        <v>45</v>
      </c>
      <c r="E302" s="9" t="s">
        <v>44</v>
      </c>
      <c r="F302" s="5" t="n">
        <v>12</v>
      </c>
      <c r="G302" s="10"/>
      <c r="H302" s="11" t="str">
        <f aca="false">IFERROR(IF($D302="Manual Review","",IF($G302="","",IF($D302="Direct Expiry",$G302,EDATE($G302,$F302)))),"Check Date")</f>
        <v/>
      </c>
      <c r="I302" s="12" t="str">
        <f aca="true">IF($H302="","",IF(ISNUMBER($H302),$H302-TODAY(),""))</f>
        <v/>
      </c>
      <c r="J302" s="4" t="str">
        <f aca="true">IF($D302="Manual Review","Manual Review",IF($G302="","No Data",IF(NOT(ISNUMBER($H302)),"N/A",IF($H302&lt;TODAY(),"Overdue",IF($H302&lt;=TODAY()+30,"Due within 1 Month",IF($H302&lt;=TODAY()+60,"Due within 2 Months","OK"))))))</f>
        <v>No Data</v>
      </c>
      <c r="K302" s="13"/>
    </row>
    <row r="303" customFormat="false" ht="15" hidden="false" customHeight="false" outlineLevel="0" collapsed="false">
      <c r="A303" s="9" t="str">
        <f aca="false">Vessels!B7</f>
        <v>Vessel 03</v>
      </c>
      <c r="B303" s="9" t="s">
        <v>88</v>
      </c>
      <c r="C303" s="7" t="s">
        <v>112</v>
      </c>
      <c r="D303" s="9" t="s">
        <v>45</v>
      </c>
      <c r="E303" s="9" t="s">
        <v>44</v>
      </c>
      <c r="F303" s="5" t="n">
        <v>12</v>
      </c>
      <c r="G303" s="10"/>
      <c r="H303" s="11" t="str">
        <f aca="false">IFERROR(IF($D303="Manual Review","",IF($G303="","",IF($D303="Direct Expiry",$G303,EDATE($G303,$F303)))),"Check Date")</f>
        <v/>
      </c>
      <c r="I303" s="12" t="str">
        <f aca="true">IF($H303="","",IF(ISNUMBER($H303),$H303-TODAY(),""))</f>
        <v/>
      </c>
      <c r="J303" s="4" t="str">
        <f aca="true">IF($D303="Manual Review","Manual Review",IF($G303="","No Data",IF(NOT(ISNUMBER($H303)),"N/A",IF($H303&lt;TODAY(),"Overdue",IF($H303&lt;=TODAY()+30,"Due within 1 Month",IF($H303&lt;=TODAY()+60,"Due within 2 Months","OK"))))))</f>
        <v>No Data</v>
      </c>
      <c r="K303" s="13"/>
    </row>
    <row r="304" customFormat="false" ht="15" hidden="false" customHeight="false" outlineLevel="0" collapsed="false">
      <c r="A304" s="9" t="str">
        <f aca="false">Vessels!B7</f>
        <v>Vessel 03</v>
      </c>
      <c r="B304" s="9" t="s">
        <v>88</v>
      </c>
      <c r="C304" s="7" t="s">
        <v>113</v>
      </c>
      <c r="D304" s="9" t="s">
        <v>115</v>
      </c>
      <c r="E304" s="9" t="s">
        <v>114</v>
      </c>
      <c r="F304" s="5"/>
      <c r="G304" s="10"/>
      <c r="H304" s="11" t="str">
        <f aca="false">IFERROR(IF($D304="Manual Review","",IF($G304="","",IF($D304="Direct Expiry",$G304,EDATE($G304,$F304)))),"Check Date")</f>
        <v/>
      </c>
      <c r="I304" s="12" t="str">
        <f aca="true">IF($H304="","",IF(ISNUMBER($H304),$H304-TODAY(),""))</f>
        <v/>
      </c>
      <c r="J304" s="4" t="str">
        <f aca="true">IF($D304="Manual Review","Manual Review",IF($G304="","No Data",IF(NOT(ISNUMBER($H304)),"N/A",IF($H304&lt;TODAY(),"Overdue",IF($H304&lt;=TODAY()+30,"Due within 1 Month",IF($H304&lt;=TODAY()+60,"Due within 2 Months","OK"))))))</f>
        <v>Manual Review</v>
      </c>
      <c r="K304" s="13"/>
    </row>
    <row r="305" customFormat="false" ht="15" hidden="false" customHeight="false" outlineLevel="0" collapsed="false">
      <c r="A305" s="9" t="str">
        <f aca="false">Vessels!B7</f>
        <v>Vessel 03</v>
      </c>
      <c r="B305" s="9" t="s">
        <v>88</v>
      </c>
      <c r="C305" s="7" t="s">
        <v>116</v>
      </c>
      <c r="D305" s="9" t="s">
        <v>115</v>
      </c>
      <c r="E305" s="9" t="s">
        <v>114</v>
      </c>
      <c r="F305" s="5"/>
      <c r="G305" s="10"/>
      <c r="H305" s="11" t="str">
        <f aca="false">IFERROR(IF($D305="Manual Review","",IF($G305="","",IF($D305="Direct Expiry",$G305,EDATE($G305,$F305)))),"Check Date")</f>
        <v/>
      </c>
      <c r="I305" s="12" t="str">
        <f aca="true">IF($H305="","",IF(ISNUMBER($H305),$H305-TODAY(),""))</f>
        <v/>
      </c>
      <c r="J305" s="4" t="str">
        <f aca="true">IF($D305="Manual Review","Manual Review",IF($G305="","No Data",IF(NOT(ISNUMBER($H305)),"N/A",IF($H305&lt;TODAY(),"Overdue",IF($H305&lt;=TODAY()+30,"Due within 1 Month",IF($H305&lt;=TODAY()+60,"Due within 2 Months","OK"))))))</f>
        <v>Manual Review</v>
      </c>
      <c r="K305" s="13"/>
    </row>
    <row r="306" customFormat="false" ht="15" hidden="false" customHeight="false" outlineLevel="0" collapsed="false">
      <c r="A306" s="9" t="str">
        <f aca="false">Vessels!B7</f>
        <v>Vessel 03</v>
      </c>
      <c r="B306" s="9" t="s">
        <v>117</v>
      </c>
      <c r="C306" s="7" t="s">
        <v>118</v>
      </c>
      <c r="D306" s="9" t="s">
        <v>59</v>
      </c>
      <c r="E306" s="9" t="s">
        <v>119</v>
      </c>
      <c r="F306" s="5"/>
      <c r="G306" s="10"/>
      <c r="H306" s="11" t="str">
        <f aca="false">IFERROR(IF($D306="Manual Review","",IF($G306="","",IF($D306="Direct Expiry",$G306,EDATE($G306,$F306)))),"Check Date")</f>
        <v/>
      </c>
      <c r="I306" s="12" t="str">
        <f aca="true">IF($H306="","",IF(ISNUMBER($H306),$H306-TODAY(),""))</f>
        <v/>
      </c>
      <c r="J306" s="4" t="str">
        <f aca="true">IF($D306="Manual Review","Manual Review",IF($G306="","No Data",IF(NOT(ISNUMBER($H306)),"N/A",IF($H306&lt;TODAY(),"Overdue",IF($H306&lt;=TODAY()+30,"Due within 1 Month",IF($H306&lt;=TODAY()+60,"Due within 2 Months","OK"))))))</f>
        <v>No Data</v>
      </c>
      <c r="K306" s="13"/>
    </row>
    <row r="307" customFormat="false" ht="15" hidden="false" customHeight="false" outlineLevel="0" collapsed="false">
      <c r="A307" s="9" t="str">
        <f aca="false">Vessels!B7</f>
        <v>Vessel 03</v>
      </c>
      <c r="B307" s="9" t="s">
        <v>117</v>
      </c>
      <c r="C307" s="7" t="s">
        <v>120</v>
      </c>
      <c r="D307" s="9" t="s">
        <v>45</v>
      </c>
      <c r="E307" s="9" t="s">
        <v>44</v>
      </c>
      <c r="F307" s="5" t="n">
        <v>12</v>
      </c>
      <c r="G307" s="10"/>
      <c r="H307" s="11" t="str">
        <f aca="false">IFERROR(IF($D307="Manual Review","",IF($G307="","",IF($D307="Direct Expiry",$G307,EDATE($G307,$F307)))),"Check Date")</f>
        <v/>
      </c>
      <c r="I307" s="12" t="str">
        <f aca="true">IF($H307="","",IF(ISNUMBER($H307),$H307-TODAY(),""))</f>
        <v/>
      </c>
      <c r="J307" s="4" t="str">
        <f aca="true">IF($D307="Manual Review","Manual Review",IF($G307="","No Data",IF(NOT(ISNUMBER($H307)),"N/A",IF($H307&lt;TODAY(),"Overdue",IF($H307&lt;=TODAY()+30,"Due within 1 Month",IF($H307&lt;=TODAY()+60,"Due within 2 Months","OK"))))))</f>
        <v>No Data</v>
      </c>
      <c r="K307" s="13"/>
    </row>
    <row r="308" customFormat="false" ht="15" hidden="false" customHeight="false" outlineLevel="0" collapsed="false">
      <c r="A308" s="9" t="str">
        <f aca="false">Vessels!B7</f>
        <v>Vessel 03</v>
      </c>
      <c r="B308" s="9" t="s">
        <v>117</v>
      </c>
      <c r="C308" s="7" t="s">
        <v>121</v>
      </c>
      <c r="D308" s="9" t="s">
        <v>45</v>
      </c>
      <c r="E308" s="9" t="s">
        <v>44</v>
      </c>
      <c r="F308" s="5" t="n">
        <v>12</v>
      </c>
      <c r="G308" s="10"/>
      <c r="H308" s="11" t="str">
        <f aca="false">IFERROR(IF($D308="Manual Review","",IF($G308="","",IF($D308="Direct Expiry",$G308,EDATE($G308,$F308)))),"Check Date")</f>
        <v/>
      </c>
      <c r="I308" s="12" t="str">
        <f aca="true">IF($H308="","",IF(ISNUMBER($H308),$H308-TODAY(),""))</f>
        <v/>
      </c>
      <c r="J308" s="4" t="str">
        <f aca="true">IF($D308="Manual Review","Manual Review",IF($G308="","No Data",IF(NOT(ISNUMBER($H308)),"N/A",IF($H308&lt;TODAY(),"Overdue",IF($H308&lt;=TODAY()+30,"Due within 1 Month",IF($H308&lt;=TODAY()+60,"Due within 2 Months","OK"))))))</f>
        <v>No Data</v>
      </c>
      <c r="K308" s="13"/>
    </row>
    <row r="309" customFormat="false" ht="15" hidden="false" customHeight="false" outlineLevel="0" collapsed="false">
      <c r="A309" s="9" t="str">
        <f aca="false">Vessels!B7</f>
        <v>Vessel 03</v>
      </c>
      <c r="B309" s="9" t="s">
        <v>117</v>
      </c>
      <c r="C309" s="7" t="s">
        <v>122</v>
      </c>
      <c r="D309" s="9" t="s">
        <v>45</v>
      </c>
      <c r="E309" s="9" t="s">
        <v>123</v>
      </c>
      <c r="F309" s="5" t="n">
        <v>24</v>
      </c>
      <c r="G309" s="10"/>
      <c r="H309" s="11" t="str">
        <f aca="false">IFERROR(IF($D309="Manual Review","",IF($G309="","",IF($D309="Direct Expiry",$G309,EDATE($G309,$F309)))),"Check Date")</f>
        <v/>
      </c>
      <c r="I309" s="12" t="str">
        <f aca="true">IF($H309="","",IF(ISNUMBER($H309),$H309-TODAY(),""))</f>
        <v/>
      </c>
      <c r="J309" s="4" t="str">
        <f aca="true">IF($D309="Manual Review","Manual Review",IF($G309="","No Data",IF(NOT(ISNUMBER($H309)),"N/A",IF($H309&lt;TODAY(),"Overdue",IF($H309&lt;=TODAY()+30,"Due within 1 Month",IF($H309&lt;=TODAY()+60,"Due within 2 Months","OK"))))))</f>
        <v>No Data</v>
      </c>
      <c r="K309" s="13"/>
    </row>
    <row r="310" customFormat="false" ht="15" hidden="false" customHeight="false" outlineLevel="0" collapsed="false">
      <c r="A310" s="9" t="str">
        <f aca="false">Vessels!B7</f>
        <v>Vessel 03</v>
      </c>
      <c r="B310" s="9" t="s">
        <v>117</v>
      </c>
      <c r="C310" s="7" t="s">
        <v>124</v>
      </c>
      <c r="D310" s="9" t="s">
        <v>59</v>
      </c>
      <c r="E310" s="9" t="s">
        <v>58</v>
      </c>
      <c r="F310" s="5"/>
      <c r="G310" s="10"/>
      <c r="H310" s="11" t="str">
        <f aca="false">IFERROR(IF($D310="Manual Review","",IF($G310="","",IF($D310="Direct Expiry",$G310,EDATE($G310,$F310)))),"Check Date")</f>
        <v/>
      </c>
      <c r="I310" s="12" t="str">
        <f aca="true">IF($H310="","",IF(ISNUMBER($H310),$H310-TODAY(),""))</f>
        <v/>
      </c>
      <c r="J310" s="4" t="str">
        <f aca="true">IF($D310="Manual Review","Manual Review",IF($G310="","No Data",IF(NOT(ISNUMBER($H310)),"N/A",IF($H310&lt;TODAY(),"Overdue",IF($H310&lt;=TODAY()+30,"Due within 1 Month",IF($H310&lt;=TODAY()+60,"Due within 2 Months","OK"))))))</f>
        <v>No Data</v>
      </c>
      <c r="K310" s="13"/>
    </row>
    <row r="311" customFormat="false" ht="15" hidden="false" customHeight="false" outlineLevel="0" collapsed="false">
      <c r="A311" s="9" t="str">
        <f aca="false">Vessels!B7</f>
        <v>Vessel 03</v>
      </c>
      <c r="B311" s="9" t="s">
        <v>117</v>
      </c>
      <c r="C311" s="7" t="s">
        <v>125</v>
      </c>
      <c r="D311" s="9" t="s">
        <v>59</v>
      </c>
      <c r="E311" s="9" t="s">
        <v>58</v>
      </c>
      <c r="F311" s="5"/>
      <c r="G311" s="10"/>
      <c r="H311" s="11" t="str">
        <f aca="false">IFERROR(IF($D311="Manual Review","",IF($G311="","",IF($D311="Direct Expiry",$G311,EDATE($G311,$F311)))),"Check Date")</f>
        <v/>
      </c>
      <c r="I311" s="12" t="str">
        <f aca="true">IF($H311="","",IF(ISNUMBER($H311),$H311-TODAY(),""))</f>
        <v/>
      </c>
      <c r="J311" s="4" t="str">
        <f aca="true">IF($D311="Manual Review","Manual Review",IF($G311="","No Data",IF(NOT(ISNUMBER($H311)),"N/A",IF($H311&lt;TODAY(),"Overdue",IF($H311&lt;=TODAY()+30,"Due within 1 Month",IF($H311&lt;=TODAY()+60,"Due within 2 Months","OK"))))))</f>
        <v>No Data</v>
      </c>
      <c r="K311" s="13"/>
    </row>
    <row r="312" customFormat="false" ht="15" hidden="false" customHeight="false" outlineLevel="0" collapsed="false">
      <c r="A312" s="9" t="str">
        <f aca="false">Vessels!B7</f>
        <v>Vessel 03</v>
      </c>
      <c r="B312" s="9" t="s">
        <v>117</v>
      </c>
      <c r="C312" s="7" t="s">
        <v>126</v>
      </c>
      <c r="D312" s="9" t="s">
        <v>45</v>
      </c>
      <c r="E312" s="9" t="s">
        <v>44</v>
      </c>
      <c r="F312" s="5" t="n">
        <v>12</v>
      </c>
      <c r="G312" s="10"/>
      <c r="H312" s="11" t="str">
        <f aca="false">IFERROR(IF($D312="Manual Review","",IF($G312="","",IF($D312="Direct Expiry",$G312,EDATE($G312,$F312)))),"Check Date")</f>
        <v/>
      </c>
      <c r="I312" s="12" t="str">
        <f aca="true">IF($H312="","",IF(ISNUMBER($H312),$H312-TODAY(),""))</f>
        <v/>
      </c>
      <c r="J312" s="4" t="str">
        <f aca="true">IF($D312="Manual Review","Manual Review",IF($G312="","No Data",IF(NOT(ISNUMBER($H312)),"N/A",IF($H312&lt;TODAY(),"Overdue",IF($H312&lt;=TODAY()+30,"Due within 1 Month",IF($H312&lt;=TODAY()+60,"Due within 2 Months","OK"))))))</f>
        <v>No Data</v>
      </c>
      <c r="K312" s="13"/>
    </row>
    <row r="313" customFormat="false" ht="15" hidden="false" customHeight="false" outlineLevel="0" collapsed="false">
      <c r="A313" s="9" t="str">
        <f aca="false">Vessels!B7</f>
        <v>Vessel 03</v>
      </c>
      <c r="B313" s="9" t="s">
        <v>117</v>
      </c>
      <c r="C313" s="7" t="s">
        <v>127</v>
      </c>
      <c r="D313" s="9" t="s">
        <v>59</v>
      </c>
      <c r="E313" s="9" t="s">
        <v>58</v>
      </c>
      <c r="F313" s="5"/>
      <c r="G313" s="10"/>
      <c r="H313" s="11" t="str">
        <f aca="false">IFERROR(IF($D313="Manual Review","",IF($G313="","",IF($D313="Direct Expiry",$G313,EDATE($G313,$F313)))),"Check Date")</f>
        <v/>
      </c>
      <c r="I313" s="12" t="str">
        <f aca="true">IF($H313="","",IF(ISNUMBER($H313),$H313-TODAY(),""))</f>
        <v/>
      </c>
      <c r="J313" s="4" t="str">
        <f aca="true">IF($D313="Manual Review","Manual Review",IF($G313="","No Data",IF(NOT(ISNUMBER($H313)),"N/A",IF($H313&lt;TODAY(),"Overdue",IF($H313&lt;=TODAY()+30,"Due within 1 Month",IF($H313&lt;=TODAY()+60,"Due within 2 Months","OK"))))))</f>
        <v>No Data</v>
      </c>
      <c r="K313" s="13"/>
    </row>
    <row r="314" customFormat="false" ht="15" hidden="false" customHeight="false" outlineLevel="0" collapsed="false">
      <c r="A314" s="9" t="str">
        <f aca="false">Vessels!B7</f>
        <v>Vessel 03</v>
      </c>
      <c r="B314" s="9" t="s">
        <v>117</v>
      </c>
      <c r="C314" s="7" t="s">
        <v>128</v>
      </c>
      <c r="D314" s="9" t="s">
        <v>59</v>
      </c>
      <c r="E314" s="9" t="s">
        <v>58</v>
      </c>
      <c r="F314" s="5"/>
      <c r="G314" s="10"/>
      <c r="H314" s="11" t="str">
        <f aca="false">IFERROR(IF($D314="Manual Review","",IF($G314="","",IF($D314="Direct Expiry",$G314,EDATE($G314,$F314)))),"Check Date")</f>
        <v/>
      </c>
      <c r="I314" s="12" t="str">
        <f aca="true">IF($H314="","",IF(ISNUMBER($H314),$H314-TODAY(),""))</f>
        <v/>
      </c>
      <c r="J314" s="4" t="str">
        <f aca="true">IF($D314="Manual Review","Manual Review",IF($G314="","No Data",IF(NOT(ISNUMBER($H314)),"N/A",IF($H314&lt;TODAY(),"Overdue",IF($H314&lt;=TODAY()+30,"Due within 1 Month",IF($H314&lt;=TODAY()+60,"Due within 2 Months","OK"))))))</f>
        <v>No Data</v>
      </c>
      <c r="K314" s="13"/>
    </row>
    <row r="315" customFormat="false" ht="15" hidden="false" customHeight="false" outlineLevel="0" collapsed="false">
      <c r="A315" s="9" t="str">
        <f aca="false">Vessels!B7</f>
        <v>Vessel 03</v>
      </c>
      <c r="B315" s="9" t="s">
        <v>117</v>
      </c>
      <c r="C315" s="7" t="s">
        <v>129</v>
      </c>
      <c r="D315" s="9" t="s">
        <v>59</v>
      </c>
      <c r="E315" s="9" t="s">
        <v>58</v>
      </c>
      <c r="F315" s="5"/>
      <c r="G315" s="10"/>
      <c r="H315" s="11" t="str">
        <f aca="false">IFERROR(IF($D315="Manual Review","",IF($G315="","",IF($D315="Direct Expiry",$G315,EDATE($G315,$F315)))),"Check Date")</f>
        <v/>
      </c>
      <c r="I315" s="12" t="str">
        <f aca="true">IF($H315="","",IF(ISNUMBER($H315),$H315-TODAY(),""))</f>
        <v/>
      </c>
      <c r="J315" s="4" t="str">
        <f aca="true">IF($D315="Manual Review","Manual Review",IF($G315="","No Data",IF(NOT(ISNUMBER($H315)),"N/A",IF($H315&lt;TODAY(),"Overdue",IF($H315&lt;=TODAY()+30,"Due within 1 Month",IF($H315&lt;=TODAY()+60,"Due within 2 Months","OK"))))))</f>
        <v>No Data</v>
      </c>
      <c r="K315" s="13"/>
    </row>
    <row r="316" customFormat="false" ht="15" hidden="false" customHeight="false" outlineLevel="0" collapsed="false">
      <c r="A316" s="9" t="str">
        <f aca="false">Vessels!B7</f>
        <v>Vessel 03</v>
      </c>
      <c r="B316" s="9" t="s">
        <v>117</v>
      </c>
      <c r="C316" s="7" t="s">
        <v>130</v>
      </c>
      <c r="D316" s="9" t="s">
        <v>45</v>
      </c>
      <c r="E316" s="9" t="s">
        <v>44</v>
      </c>
      <c r="F316" s="5" t="n">
        <v>12</v>
      </c>
      <c r="G316" s="10"/>
      <c r="H316" s="11" t="str">
        <f aca="false">IFERROR(IF($D316="Manual Review","",IF($G316="","",IF($D316="Direct Expiry",$G316,EDATE($G316,$F316)))),"Check Date")</f>
        <v/>
      </c>
      <c r="I316" s="12" t="str">
        <f aca="true">IF($H316="","",IF(ISNUMBER($H316),$H316-TODAY(),""))</f>
        <v/>
      </c>
      <c r="J316" s="4" t="str">
        <f aca="true">IF($D316="Manual Review","Manual Review",IF($G316="","No Data",IF(NOT(ISNUMBER($H316)),"N/A",IF($H316&lt;TODAY(),"Overdue",IF($H316&lt;=TODAY()+30,"Due within 1 Month",IF($H316&lt;=TODAY()+60,"Due within 2 Months","OK"))))))</f>
        <v>No Data</v>
      </c>
      <c r="K316" s="13"/>
    </row>
    <row r="317" customFormat="false" ht="15" hidden="false" customHeight="false" outlineLevel="0" collapsed="false">
      <c r="A317" s="9" t="str">
        <f aca="false">Vessels!B7</f>
        <v>Vessel 03</v>
      </c>
      <c r="B317" s="9" t="s">
        <v>117</v>
      </c>
      <c r="C317" s="7" t="s">
        <v>131</v>
      </c>
      <c r="D317" s="9" t="s">
        <v>45</v>
      </c>
      <c r="E317" s="9" t="s">
        <v>44</v>
      </c>
      <c r="F317" s="5" t="n">
        <v>12</v>
      </c>
      <c r="G317" s="10"/>
      <c r="H317" s="11" t="str">
        <f aca="false">IFERROR(IF($D317="Manual Review","",IF($G317="","",IF($D317="Direct Expiry",$G317,EDATE($G317,$F317)))),"Check Date")</f>
        <v/>
      </c>
      <c r="I317" s="12" t="str">
        <f aca="true">IF($H317="","",IF(ISNUMBER($H317),$H317-TODAY(),""))</f>
        <v/>
      </c>
      <c r="J317" s="4" t="str">
        <f aca="true">IF($D317="Manual Review","Manual Review",IF($G317="","No Data",IF(NOT(ISNUMBER($H317)),"N/A",IF($H317&lt;TODAY(),"Overdue",IF($H317&lt;=TODAY()+30,"Due within 1 Month",IF($H317&lt;=TODAY()+60,"Due within 2 Months","OK"))))))</f>
        <v>No Data</v>
      </c>
      <c r="K317" s="13"/>
    </row>
    <row r="318" customFormat="false" ht="15" hidden="false" customHeight="false" outlineLevel="0" collapsed="false">
      <c r="A318" s="9" t="str">
        <f aca="false">Vessels!B7</f>
        <v>Vessel 03</v>
      </c>
      <c r="B318" s="9" t="s">
        <v>117</v>
      </c>
      <c r="C318" s="7" t="s">
        <v>132</v>
      </c>
      <c r="D318" s="9" t="s">
        <v>45</v>
      </c>
      <c r="E318" s="9" t="s">
        <v>44</v>
      </c>
      <c r="F318" s="5" t="n">
        <v>12</v>
      </c>
      <c r="G318" s="10"/>
      <c r="H318" s="11" t="str">
        <f aca="false">IFERROR(IF($D318="Manual Review","",IF($G318="","",IF($D318="Direct Expiry",$G318,EDATE($G318,$F318)))),"Check Date")</f>
        <v/>
      </c>
      <c r="I318" s="12" t="str">
        <f aca="true">IF($H318="","",IF(ISNUMBER($H318),$H318-TODAY(),""))</f>
        <v/>
      </c>
      <c r="J318" s="4" t="str">
        <f aca="true">IF($D318="Manual Review","Manual Review",IF($G318="","No Data",IF(NOT(ISNUMBER($H318)),"N/A",IF($H318&lt;TODAY(),"Overdue",IF($H318&lt;=TODAY()+30,"Due within 1 Month",IF($H318&lt;=TODAY()+60,"Due within 2 Months","OK"))))))</f>
        <v>No Data</v>
      </c>
      <c r="K318" s="13"/>
    </row>
    <row r="319" customFormat="false" ht="15" hidden="false" customHeight="false" outlineLevel="0" collapsed="false">
      <c r="A319" s="9" t="str">
        <f aca="false">Vessels!B7</f>
        <v>Vessel 03</v>
      </c>
      <c r="B319" s="9" t="s">
        <v>117</v>
      </c>
      <c r="C319" s="7" t="s">
        <v>133</v>
      </c>
      <c r="D319" s="9" t="s">
        <v>45</v>
      </c>
      <c r="E319" s="9" t="s">
        <v>44</v>
      </c>
      <c r="F319" s="5" t="n">
        <v>12</v>
      </c>
      <c r="G319" s="10"/>
      <c r="H319" s="11" t="str">
        <f aca="false">IFERROR(IF($D319="Manual Review","",IF($G319="","",IF($D319="Direct Expiry",$G319,EDATE($G319,$F319)))),"Check Date")</f>
        <v/>
      </c>
      <c r="I319" s="12" t="str">
        <f aca="true">IF($H319="","",IF(ISNUMBER($H319),$H319-TODAY(),""))</f>
        <v/>
      </c>
      <c r="J319" s="4" t="str">
        <f aca="true">IF($D319="Manual Review","Manual Review",IF($G319="","No Data",IF(NOT(ISNUMBER($H319)),"N/A",IF($H319&lt;TODAY(),"Overdue",IF($H319&lt;=TODAY()+30,"Due within 1 Month",IF($H319&lt;=TODAY()+60,"Due within 2 Months","OK"))))))</f>
        <v>No Data</v>
      </c>
      <c r="K319" s="13"/>
    </row>
    <row r="320" customFormat="false" ht="15" hidden="false" customHeight="false" outlineLevel="0" collapsed="false">
      <c r="A320" s="9" t="str">
        <f aca="false">Vessels!B7</f>
        <v>Vessel 03</v>
      </c>
      <c r="B320" s="9" t="s">
        <v>117</v>
      </c>
      <c r="C320" s="7" t="s">
        <v>134</v>
      </c>
      <c r="D320" s="9" t="s">
        <v>45</v>
      </c>
      <c r="E320" s="9" t="s">
        <v>44</v>
      </c>
      <c r="F320" s="5" t="n">
        <v>12</v>
      </c>
      <c r="G320" s="10"/>
      <c r="H320" s="11" t="str">
        <f aca="false">IFERROR(IF($D320="Manual Review","",IF($G320="","",IF($D320="Direct Expiry",$G320,EDATE($G320,$F320)))),"Check Date")</f>
        <v/>
      </c>
      <c r="I320" s="12" t="str">
        <f aca="true">IF($H320="","",IF(ISNUMBER($H320),$H320-TODAY(),""))</f>
        <v/>
      </c>
      <c r="J320" s="4" t="str">
        <f aca="true">IF($D320="Manual Review","Manual Review",IF($G320="","No Data",IF(NOT(ISNUMBER($H320)),"N/A",IF($H320&lt;TODAY(),"Overdue",IF($H320&lt;=TODAY()+30,"Due within 1 Month",IF($H320&lt;=TODAY()+60,"Due within 2 Months","OK"))))))</f>
        <v>No Data</v>
      </c>
      <c r="K320" s="13"/>
    </row>
    <row r="321" customFormat="false" ht="15" hidden="false" customHeight="false" outlineLevel="0" collapsed="false">
      <c r="A321" s="9" t="str">
        <f aca="false">Vessels!B7</f>
        <v>Vessel 03</v>
      </c>
      <c r="B321" s="9" t="s">
        <v>117</v>
      </c>
      <c r="C321" s="7" t="s">
        <v>135</v>
      </c>
      <c r="D321" s="9" t="s">
        <v>45</v>
      </c>
      <c r="E321" s="9" t="s">
        <v>44</v>
      </c>
      <c r="F321" s="5" t="n">
        <v>12</v>
      </c>
      <c r="G321" s="10"/>
      <c r="H321" s="11" t="str">
        <f aca="false">IFERROR(IF($D321="Manual Review","",IF($G321="","",IF($D321="Direct Expiry",$G321,EDATE($G321,$F321)))),"Check Date")</f>
        <v/>
      </c>
      <c r="I321" s="12" t="str">
        <f aca="true">IF($H321="","",IF(ISNUMBER($H321),$H321-TODAY(),""))</f>
        <v/>
      </c>
      <c r="J321" s="4" t="str">
        <f aca="true">IF($D321="Manual Review","Manual Review",IF($G321="","No Data",IF(NOT(ISNUMBER($H321)),"N/A",IF($H321&lt;TODAY(),"Overdue",IF($H321&lt;=TODAY()+30,"Due within 1 Month",IF($H321&lt;=TODAY()+60,"Due within 2 Months","OK"))))))</f>
        <v>No Data</v>
      </c>
      <c r="K321" s="13"/>
    </row>
    <row r="322" customFormat="false" ht="15" hidden="false" customHeight="false" outlineLevel="0" collapsed="false">
      <c r="A322" s="9" t="str">
        <f aca="false">Vessels!B7</f>
        <v>Vessel 03</v>
      </c>
      <c r="B322" s="9" t="s">
        <v>136</v>
      </c>
      <c r="C322" s="7" t="s">
        <v>137</v>
      </c>
      <c r="D322" s="9" t="s">
        <v>45</v>
      </c>
      <c r="E322" s="9" t="s">
        <v>44</v>
      </c>
      <c r="F322" s="5" t="n">
        <v>12</v>
      </c>
      <c r="G322" s="10"/>
      <c r="H322" s="11" t="str">
        <f aca="false">IFERROR(IF($D322="Manual Review","",IF($G322="","",IF($D322="Direct Expiry",$G322,EDATE($G322,$F322)))),"Check Date")</f>
        <v/>
      </c>
      <c r="I322" s="12" t="str">
        <f aca="true">IF($H322="","",IF(ISNUMBER($H322),$H322-TODAY(),""))</f>
        <v/>
      </c>
      <c r="J322" s="4" t="str">
        <f aca="true">IF($D322="Manual Review","Manual Review",IF($G322="","No Data",IF(NOT(ISNUMBER($H322)),"N/A",IF($H322&lt;TODAY(),"Overdue",IF($H322&lt;=TODAY()+30,"Due within 1 Month",IF($H322&lt;=TODAY()+60,"Due within 2 Months","OK"))))))</f>
        <v>No Data</v>
      </c>
      <c r="K322" s="13"/>
    </row>
    <row r="323" customFormat="false" ht="15" hidden="false" customHeight="false" outlineLevel="0" collapsed="false">
      <c r="A323" s="9" t="str">
        <f aca="false">Vessels!B7</f>
        <v>Vessel 03</v>
      </c>
      <c r="B323" s="9" t="s">
        <v>136</v>
      </c>
      <c r="C323" s="7" t="s">
        <v>138</v>
      </c>
      <c r="D323" s="9" t="s">
        <v>45</v>
      </c>
      <c r="E323" s="9" t="s">
        <v>44</v>
      </c>
      <c r="F323" s="5" t="n">
        <v>12</v>
      </c>
      <c r="G323" s="10"/>
      <c r="H323" s="11" t="str">
        <f aca="false">IFERROR(IF($D323="Manual Review","",IF($G323="","",IF($D323="Direct Expiry",$G323,EDATE($G323,$F323)))),"Check Date")</f>
        <v/>
      </c>
      <c r="I323" s="12" t="str">
        <f aca="true">IF($H323="","",IF(ISNUMBER($H323),$H323-TODAY(),""))</f>
        <v/>
      </c>
      <c r="J323" s="4" t="str">
        <f aca="true">IF($D323="Manual Review","Manual Review",IF($G323="","No Data",IF(NOT(ISNUMBER($H323)),"N/A",IF($H323&lt;TODAY(),"Overdue",IF($H323&lt;=TODAY()+30,"Due within 1 Month",IF($H323&lt;=TODAY()+60,"Due within 2 Months","OK"))))))</f>
        <v>No Data</v>
      </c>
      <c r="K323" s="13"/>
    </row>
    <row r="324" customFormat="false" ht="15" hidden="false" customHeight="false" outlineLevel="0" collapsed="false">
      <c r="A324" s="9" t="str">
        <f aca="false">Vessels!B7</f>
        <v>Vessel 03</v>
      </c>
      <c r="B324" s="9" t="s">
        <v>136</v>
      </c>
      <c r="C324" s="7" t="s">
        <v>139</v>
      </c>
      <c r="D324" s="9" t="s">
        <v>45</v>
      </c>
      <c r="E324" s="9" t="s">
        <v>140</v>
      </c>
      <c r="F324" s="5" t="n">
        <v>12</v>
      </c>
      <c r="G324" s="10"/>
      <c r="H324" s="11" t="str">
        <f aca="false">IFERROR(IF($D324="Manual Review","",IF($G324="","",IF($D324="Direct Expiry",$G324,EDATE($G324,$F324)))),"Check Date")</f>
        <v/>
      </c>
      <c r="I324" s="12" t="str">
        <f aca="true">IF($H324="","",IF(ISNUMBER($H324),$H324-TODAY(),""))</f>
        <v/>
      </c>
      <c r="J324" s="4" t="str">
        <f aca="true">IF($D324="Manual Review","Manual Review",IF($G324="","No Data",IF(NOT(ISNUMBER($H324)),"N/A",IF($H324&lt;TODAY(),"Overdue",IF($H324&lt;=TODAY()+30,"Due within 1 Month",IF($H324&lt;=TODAY()+60,"Due within 2 Months","OK"))))))</f>
        <v>No Data</v>
      </c>
      <c r="K324" s="13"/>
    </row>
    <row r="325" customFormat="false" ht="15" hidden="false" customHeight="false" outlineLevel="0" collapsed="false">
      <c r="A325" s="9" t="str">
        <f aca="false">Vessels!B7</f>
        <v>Vessel 03</v>
      </c>
      <c r="B325" s="9" t="s">
        <v>136</v>
      </c>
      <c r="C325" s="7" t="s">
        <v>141</v>
      </c>
      <c r="D325" s="9" t="s">
        <v>45</v>
      </c>
      <c r="E325" s="9" t="s">
        <v>44</v>
      </c>
      <c r="F325" s="5" t="n">
        <v>12</v>
      </c>
      <c r="G325" s="10"/>
      <c r="H325" s="11" t="str">
        <f aca="false">IFERROR(IF($D325="Manual Review","",IF($G325="","",IF($D325="Direct Expiry",$G325,EDATE($G325,$F325)))),"Check Date")</f>
        <v/>
      </c>
      <c r="I325" s="12" t="str">
        <f aca="true">IF($H325="","",IF(ISNUMBER($H325),$H325-TODAY(),""))</f>
        <v/>
      </c>
      <c r="J325" s="4" t="str">
        <f aca="true">IF($D325="Manual Review","Manual Review",IF($G325="","No Data",IF(NOT(ISNUMBER($H325)),"N/A",IF($H325&lt;TODAY(),"Overdue",IF($H325&lt;=TODAY()+30,"Due within 1 Month",IF($H325&lt;=TODAY()+60,"Due within 2 Months","OK"))))))</f>
        <v>No Data</v>
      </c>
      <c r="K325" s="13"/>
    </row>
    <row r="326" customFormat="false" ht="15" hidden="false" customHeight="false" outlineLevel="0" collapsed="false">
      <c r="A326" s="9" t="str">
        <f aca="false">Vessels!B7</f>
        <v>Vessel 03</v>
      </c>
      <c r="B326" s="9" t="s">
        <v>136</v>
      </c>
      <c r="C326" s="7" t="s">
        <v>142</v>
      </c>
      <c r="D326" s="9" t="s">
        <v>115</v>
      </c>
      <c r="E326" s="9" t="s">
        <v>143</v>
      </c>
      <c r="F326" s="5"/>
      <c r="G326" s="10"/>
      <c r="H326" s="11" t="str">
        <f aca="false">IFERROR(IF($D326="Manual Review","",IF($G326="","",IF($D326="Direct Expiry",$G326,EDATE($G326,$F326)))),"Check Date")</f>
        <v/>
      </c>
      <c r="I326" s="12" t="str">
        <f aca="true">IF($H326="","",IF(ISNUMBER($H326),$H326-TODAY(),""))</f>
        <v/>
      </c>
      <c r="J326" s="4" t="str">
        <f aca="true">IF($D326="Manual Review","Manual Review",IF($G326="","No Data",IF(NOT(ISNUMBER($H326)),"N/A",IF($H326&lt;TODAY(),"Overdue",IF($H326&lt;=TODAY()+30,"Due within 1 Month",IF($H326&lt;=TODAY()+60,"Due within 2 Months","OK"))))))</f>
        <v>Manual Review</v>
      </c>
      <c r="K326" s="13"/>
    </row>
    <row r="327" customFormat="false" ht="15" hidden="false" customHeight="false" outlineLevel="0" collapsed="false">
      <c r="A327" s="9" t="str">
        <f aca="false">Vessels!B7</f>
        <v>Vessel 03</v>
      </c>
      <c r="B327" s="9" t="s">
        <v>136</v>
      </c>
      <c r="C327" s="7" t="s">
        <v>144</v>
      </c>
      <c r="D327" s="9" t="s">
        <v>45</v>
      </c>
      <c r="E327" s="9" t="s">
        <v>44</v>
      </c>
      <c r="F327" s="5" t="n">
        <v>12</v>
      </c>
      <c r="G327" s="10"/>
      <c r="H327" s="11" t="str">
        <f aca="false">IFERROR(IF($D327="Manual Review","",IF($G327="","",IF($D327="Direct Expiry",$G327,EDATE($G327,$F327)))),"Check Date")</f>
        <v/>
      </c>
      <c r="I327" s="12" t="str">
        <f aca="true">IF($H327="","",IF(ISNUMBER($H327),$H327-TODAY(),""))</f>
        <v/>
      </c>
      <c r="J327" s="4" t="str">
        <f aca="true">IF($D327="Manual Review","Manual Review",IF($G327="","No Data",IF(NOT(ISNUMBER($H327)),"N/A",IF($H327&lt;TODAY(),"Overdue",IF($H327&lt;=TODAY()+30,"Due within 1 Month",IF($H327&lt;=TODAY()+60,"Due within 2 Months","OK"))))))</f>
        <v>No Data</v>
      </c>
      <c r="K327" s="13"/>
    </row>
    <row r="328" customFormat="false" ht="15" hidden="false" customHeight="false" outlineLevel="0" collapsed="false">
      <c r="A328" s="9" t="str">
        <f aca="false">Vessels!B7</f>
        <v>Vessel 03</v>
      </c>
      <c r="B328" s="9" t="s">
        <v>136</v>
      </c>
      <c r="C328" s="7" t="s">
        <v>145</v>
      </c>
      <c r="D328" s="9" t="s">
        <v>45</v>
      </c>
      <c r="E328" s="9" t="s">
        <v>44</v>
      </c>
      <c r="F328" s="5" t="n">
        <v>12</v>
      </c>
      <c r="G328" s="10"/>
      <c r="H328" s="11" t="str">
        <f aca="false">IFERROR(IF($D328="Manual Review","",IF($G328="","",IF($D328="Direct Expiry",$G328,EDATE($G328,$F328)))),"Check Date")</f>
        <v/>
      </c>
      <c r="I328" s="12" t="str">
        <f aca="true">IF($H328="","",IF(ISNUMBER($H328),$H328-TODAY(),""))</f>
        <v/>
      </c>
      <c r="J328" s="4" t="str">
        <f aca="true">IF($D328="Manual Review","Manual Review",IF($G328="","No Data",IF(NOT(ISNUMBER($H328)),"N/A",IF($H328&lt;TODAY(),"Overdue",IF($H328&lt;=TODAY()+30,"Due within 1 Month",IF($H328&lt;=TODAY()+60,"Due within 2 Months","OK"))))))</f>
        <v>No Data</v>
      </c>
      <c r="K328" s="13"/>
    </row>
    <row r="329" customFormat="false" ht="15" hidden="false" customHeight="false" outlineLevel="0" collapsed="false">
      <c r="A329" s="9" t="str">
        <f aca="false">Vessels!B7</f>
        <v>Vessel 03</v>
      </c>
      <c r="B329" s="9" t="s">
        <v>136</v>
      </c>
      <c r="C329" s="7" t="s">
        <v>146</v>
      </c>
      <c r="D329" s="9" t="s">
        <v>45</v>
      </c>
      <c r="E329" s="9" t="s">
        <v>44</v>
      </c>
      <c r="F329" s="5" t="n">
        <v>12</v>
      </c>
      <c r="G329" s="10"/>
      <c r="H329" s="11" t="str">
        <f aca="false">IFERROR(IF($D329="Manual Review","",IF($G329="","",IF($D329="Direct Expiry",$G329,EDATE($G329,$F329)))),"Check Date")</f>
        <v/>
      </c>
      <c r="I329" s="12" t="str">
        <f aca="true">IF($H329="","",IF(ISNUMBER($H329),$H329-TODAY(),""))</f>
        <v/>
      </c>
      <c r="J329" s="4" t="str">
        <f aca="true">IF($D329="Manual Review","Manual Review",IF($G329="","No Data",IF(NOT(ISNUMBER($H329)),"N/A",IF($H329&lt;TODAY(),"Overdue",IF($H329&lt;=TODAY()+30,"Due within 1 Month",IF($H329&lt;=TODAY()+60,"Due within 2 Months","OK"))))))</f>
        <v>No Data</v>
      </c>
      <c r="K329" s="13"/>
    </row>
    <row r="330" customFormat="false" ht="15" hidden="false" customHeight="false" outlineLevel="0" collapsed="false">
      <c r="A330" s="9" t="str">
        <f aca="false">Vessels!B7</f>
        <v>Vessel 03</v>
      </c>
      <c r="B330" s="9" t="s">
        <v>136</v>
      </c>
      <c r="C330" s="7" t="s">
        <v>147</v>
      </c>
      <c r="D330" s="9" t="s">
        <v>45</v>
      </c>
      <c r="E330" s="9" t="s">
        <v>44</v>
      </c>
      <c r="F330" s="5" t="n">
        <v>12</v>
      </c>
      <c r="G330" s="10"/>
      <c r="H330" s="11" t="str">
        <f aca="false">IFERROR(IF($D330="Manual Review","",IF($G330="","",IF($D330="Direct Expiry",$G330,EDATE($G330,$F330)))),"Check Date")</f>
        <v/>
      </c>
      <c r="I330" s="12" t="str">
        <f aca="true">IF($H330="","",IF(ISNUMBER($H330),$H330-TODAY(),""))</f>
        <v/>
      </c>
      <c r="J330" s="4" t="str">
        <f aca="true">IF($D330="Manual Review","Manual Review",IF($G330="","No Data",IF(NOT(ISNUMBER($H330)),"N/A",IF($H330&lt;TODAY(),"Overdue",IF($H330&lt;=TODAY()+30,"Due within 1 Month",IF($H330&lt;=TODAY()+60,"Due within 2 Months","OK"))))))</f>
        <v>No Data</v>
      </c>
      <c r="K330" s="13"/>
    </row>
    <row r="331" customFormat="false" ht="15" hidden="false" customHeight="false" outlineLevel="0" collapsed="false">
      <c r="A331" s="9" t="str">
        <f aca="false">Vessels!B7</f>
        <v>Vessel 03</v>
      </c>
      <c r="B331" s="9" t="s">
        <v>136</v>
      </c>
      <c r="C331" s="7" t="s">
        <v>148</v>
      </c>
      <c r="D331" s="9" t="s">
        <v>45</v>
      </c>
      <c r="E331" s="9" t="s">
        <v>44</v>
      </c>
      <c r="F331" s="5" t="n">
        <v>12</v>
      </c>
      <c r="G331" s="10"/>
      <c r="H331" s="11" t="str">
        <f aca="false">IFERROR(IF($D331="Manual Review","",IF($G331="","",IF($D331="Direct Expiry",$G331,EDATE($G331,$F331)))),"Check Date")</f>
        <v/>
      </c>
      <c r="I331" s="12" t="str">
        <f aca="true">IF($H331="","",IF(ISNUMBER($H331),$H331-TODAY(),""))</f>
        <v/>
      </c>
      <c r="J331" s="4" t="str">
        <f aca="true">IF($D331="Manual Review","Manual Review",IF($G331="","No Data",IF(NOT(ISNUMBER($H331)),"N/A",IF($H331&lt;TODAY(),"Overdue",IF($H331&lt;=TODAY()+30,"Due within 1 Month",IF($H331&lt;=TODAY()+60,"Due within 2 Months","OK"))))))</f>
        <v>No Data</v>
      </c>
      <c r="K331" s="13"/>
    </row>
    <row r="332" customFormat="false" ht="15" hidden="false" customHeight="false" outlineLevel="0" collapsed="false">
      <c r="A332" s="9" t="str">
        <f aca="false">Vessels!B7</f>
        <v>Vessel 03</v>
      </c>
      <c r="B332" s="9" t="s">
        <v>136</v>
      </c>
      <c r="C332" s="7" t="s">
        <v>149</v>
      </c>
      <c r="D332" s="9" t="s">
        <v>45</v>
      </c>
      <c r="E332" s="9" t="s">
        <v>44</v>
      </c>
      <c r="F332" s="5" t="n">
        <v>12</v>
      </c>
      <c r="G332" s="10"/>
      <c r="H332" s="11" t="str">
        <f aca="false">IFERROR(IF($D332="Manual Review","",IF($G332="","",IF($D332="Direct Expiry",$G332,EDATE($G332,$F332)))),"Check Date")</f>
        <v/>
      </c>
      <c r="I332" s="12" t="str">
        <f aca="true">IF($H332="","",IF(ISNUMBER($H332),$H332-TODAY(),""))</f>
        <v/>
      </c>
      <c r="J332" s="4" t="str">
        <f aca="true">IF($D332="Manual Review","Manual Review",IF($G332="","No Data",IF(NOT(ISNUMBER($H332)),"N/A",IF($H332&lt;TODAY(),"Overdue",IF($H332&lt;=TODAY()+30,"Due within 1 Month",IF($H332&lt;=TODAY()+60,"Due within 2 Months","OK"))))))</f>
        <v>No Data</v>
      </c>
      <c r="K332" s="13"/>
    </row>
    <row r="333" customFormat="false" ht="15" hidden="false" customHeight="false" outlineLevel="0" collapsed="false">
      <c r="A333" s="9" t="str">
        <f aca="false">Vessels!B7</f>
        <v>Vessel 03</v>
      </c>
      <c r="B333" s="9" t="s">
        <v>136</v>
      </c>
      <c r="C333" s="7" t="s">
        <v>150</v>
      </c>
      <c r="D333" s="9" t="s">
        <v>45</v>
      </c>
      <c r="E333" s="9" t="s">
        <v>44</v>
      </c>
      <c r="F333" s="5" t="n">
        <v>12</v>
      </c>
      <c r="G333" s="10"/>
      <c r="H333" s="11" t="str">
        <f aca="false">IFERROR(IF($D333="Manual Review","",IF($G333="","",IF($D333="Direct Expiry",$G333,EDATE($G333,$F333)))),"Check Date")</f>
        <v/>
      </c>
      <c r="I333" s="12" t="str">
        <f aca="true">IF($H333="","",IF(ISNUMBER($H333),$H333-TODAY(),""))</f>
        <v/>
      </c>
      <c r="J333" s="4" t="str">
        <f aca="true">IF($D333="Manual Review","Manual Review",IF($G333="","No Data",IF(NOT(ISNUMBER($H333)),"N/A",IF($H333&lt;TODAY(),"Overdue",IF($H333&lt;=TODAY()+30,"Due within 1 Month",IF($H333&lt;=TODAY()+60,"Due within 2 Months","OK"))))))</f>
        <v>No Data</v>
      </c>
      <c r="K333" s="13"/>
    </row>
    <row r="334" customFormat="false" ht="15" hidden="false" customHeight="false" outlineLevel="0" collapsed="false">
      <c r="A334" s="9" t="str">
        <f aca="false">Vessels!B7</f>
        <v>Vessel 03</v>
      </c>
      <c r="B334" s="9" t="s">
        <v>136</v>
      </c>
      <c r="C334" s="7" t="s">
        <v>151</v>
      </c>
      <c r="D334" s="9" t="s">
        <v>45</v>
      </c>
      <c r="E334" s="9" t="s">
        <v>44</v>
      </c>
      <c r="F334" s="5" t="n">
        <v>12</v>
      </c>
      <c r="G334" s="10"/>
      <c r="H334" s="11" t="str">
        <f aca="false">IFERROR(IF($D334="Manual Review","",IF($G334="","",IF($D334="Direct Expiry",$G334,EDATE($G334,$F334)))),"Check Date")</f>
        <v/>
      </c>
      <c r="I334" s="12" t="str">
        <f aca="true">IF($H334="","",IF(ISNUMBER($H334),$H334-TODAY(),""))</f>
        <v/>
      </c>
      <c r="J334" s="4" t="str">
        <f aca="true">IF($D334="Manual Review","Manual Review",IF($G334="","No Data",IF(NOT(ISNUMBER($H334)),"N/A",IF($H334&lt;TODAY(),"Overdue",IF($H334&lt;=TODAY()+30,"Due within 1 Month",IF($H334&lt;=TODAY()+60,"Due within 2 Months","OK"))))))</f>
        <v>No Data</v>
      </c>
      <c r="K334" s="13"/>
    </row>
    <row r="335" customFormat="false" ht="15" hidden="false" customHeight="false" outlineLevel="0" collapsed="false">
      <c r="A335" s="9" t="str">
        <f aca="false">Vessels!B7</f>
        <v>Vessel 03</v>
      </c>
      <c r="B335" s="9" t="s">
        <v>136</v>
      </c>
      <c r="C335" s="7" t="s">
        <v>152</v>
      </c>
      <c r="D335" s="9" t="s">
        <v>45</v>
      </c>
      <c r="E335" s="9" t="s">
        <v>44</v>
      </c>
      <c r="F335" s="5" t="n">
        <v>12</v>
      </c>
      <c r="G335" s="10"/>
      <c r="H335" s="11" t="str">
        <f aca="false">IFERROR(IF($D335="Manual Review","",IF($G335="","",IF($D335="Direct Expiry",$G335,EDATE($G335,$F335)))),"Check Date")</f>
        <v/>
      </c>
      <c r="I335" s="12" t="str">
        <f aca="true">IF($H335="","",IF(ISNUMBER($H335),$H335-TODAY(),""))</f>
        <v/>
      </c>
      <c r="J335" s="4" t="str">
        <f aca="true">IF($D335="Manual Review","Manual Review",IF($G335="","No Data",IF(NOT(ISNUMBER($H335)),"N/A",IF($H335&lt;TODAY(),"Overdue",IF($H335&lt;=TODAY()+30,"Due within 1 Month",IF($H335&lt;=TODAY()+60,"Due within 2 Months","OK"))))))</f>
        <v>No Data</v>
      </c>
      <c r="K335" s="13"/>
    </row>
    <row r="336" customFormat="false" ht="15" hidden="false" customHeight="false" outlineLevel="0" collapsed="false">
      <c r="A336" s="9" t="str">
        <f aca="false">Vessels!B7</f>
        <v>Vessel 03</v>
      </c>
      <c r="B336" s="9" t="s">
        <v>136</v>
      </c>
      <c r="C336" s="7" t="s">
        <v>153</v>
      </c>
      <c r="D336" s="9" t="s">
        <v>45</v>
      </c>
      <c r="E336" s="9" t="s">
        <v>44</v>
      </c>
      <c r="F336" s="5" t="n">
        <v>12</v>
      </c>
      <c r="G336" s="10"/>
      <c r="H336" s="11" t="str">
        <f aca="false">IFERROR(IF($D336="Manual Review","",IF($G336="","",IF($D336="Direct Expiry",$G336,EDATE($G336,$F336)))),"Check Date")</f>
        <v/>
      </c>
      <c r="I336" s="12" t="str">
        <f aca="true">IF($H336="","",IF(ISNUMBER($H336),$H336-TODAY(),""))</f>
        <v/>
      </c>
      <c r="J336" s="4" t="str">
        <f aca="true">IF($D336="Manual Review","Manual Review",IF($G336="","No Data",IF(NOT(ISNUMBER($H336)),"N/A",IF($H336&lt;TODAY(),"Overdue",IF($H336&lt;=TODAY()+30,"Due within 1 Month",IF($H336&lt;=TODAY()+60,"Due within 2 Months","OK"))))))</f>
        <v>No Data</v>
      </c>
      <c r="K336" s="13"/>
    </row>
    <row r="337" customFormat="false" ht="15" hidden="false" customHeight="false" outlineLevel="0" collapsed="false">
      <c r="A337" s="9" t="str">
        <f aca="false">Vessels!B7</f>
        <v>Vessel 03</v>
      </c>
      <c r="B337" s="9" t="s">
        <v>136</v>
      </c>
      <c r="C337" s="7" t="s">
        <v>154</v>
      </c>
      <c r="D337" s="9" t="s">
        <v>45</v>
      </c>
      <c r="E337" s="9" t="s">
        <v>44</v>
      </c>
      <c r="F337" s="5" t="n">
        <v>12</v>
      </c>
      <c r="G337" s="10"/>
      <c r="H337" s="11" t="str">
        <f aca="false">IFERROR(IF($D337="Manual Review","",IF($G337="","",IF($D337="Direct Expiry",$G337,EDATE($G337,$F337)))),"Check Date")</f>
        <v/>
      </c>
      <c r="I337" s="12" t="str">
        <f aca="true">IF($H337="","",IF(ISNUMBER($H337),$H337-TODAY(),""))</f>
        <v/>
      </c>
      <c r="J337" s="4" t="str">
        <f aca="true">IF($D337="Manual Review","Manual Review",IF($G337="","No Data",IF(NOT(ISNUMBER($H337)),"N/A",IF($H337&lt;TODAY(),"Overdue",IF($H337&lt;=TODAY()+30,"Due within 1 Month",IF($H337&lt;=TODAY()+60,"Due within 2 Months","OK"))))))</f>
        <v>No Data</v>
      </c>
      <c r="K337" s="13"/>
    </row>
    <row r="338" customFormat="false" ht="15" hidden="false" customHeight="false" outlineLevel="0" collapsed="false">
      <c r="A338" s="9" t="str">
        <f aca="false">Vessels!B7</f>
        <v>Vessel 03</v>
      </c>
      <c r="B338" s="9" t="s">
        <v>136</v>
      </c>
      <c r="C338" s="7" t="s">
        <v>155</v>
      </c>
      <c r="D338" s="9" t="s">
        <v>45</v>
      </c>
      <c r="E338" s="9" t="s">
        <v>44</v>
      </c>
      <c r="F338" s="5" t="n">
        <v>12</v>
      </c>
      <c r="G338" s="10"/>
      <c r="H338" s="11" t="str">
        <f aca="false">IFERROR(IF($D338="Manual Review","",IF($G338="","",IF($D338="Direct Expiry",$G338,EDATE($G338,$F338)))),"Check Date")</f>
        <v/>
      </c>
      <c r="I338" s="12" t="str">
        <f aca="true">IF($H338="","",IF(ISNUMBER($H338),$H338-TODAY(),""))</f>
        <v/>
      </c>
      <c r="J338" s="4" t="str">
        <f aca="true">IF($D338="Manual Review","Manual Review",IF($G338="","No Data",IF(NOT(ISNUMBER($H338)),"N/A",IF($H338&lt;TODAY(),"Overdue",IF($H338&lt;=TODAY()+30,"Due within 1 Month",IF($H338&lt;=TODAY()+60,"Due within 2 Months","OK"))))))</f>
        <v>No Data</v>
      </c>
      <c r="K338" s="13"/>
    </row>
    <row r="339" customFormat="false" ht="15" hidden="false" customHeight="false" outlineLevel="0" collapsed="false">
      <c r="A339" s="9" t="str">
        <f aca="false">Vessels!B7</f>
        <v>Vessel 03</v>
      </c>
      <c r="B339" s="9" t="s">
        <v>136</v>
      </c>
      <c r="C339" s="7" t="s">
        <v>156</v>
      </c>
      <c r="D339" s="9" t="s">
        <v>45</v>
      </c>
      <c r="E339" s="9" t="s">
        <v>44</v>
      </c>
      <c r="F339" s="5" t="n">
        <v>12</v>
      </c>
      <c r="G339" s="10"/>
      <c r="H339" s="11" t="str">
        <f aca="false">IFERROR(IF($D339="Manual Review","",IF($G339="","",IF($D339="Direct Expiry",$G339,EDATE($G339,$F339)))),"Check Date")</f>
        <v/>
      </c>
      <c r="I339" s="12" t="str">
        <f aca="true">IF($H339="","",IF(ISNUMBER($H339),$H339-TODAY(),""))</f>
        <v/>
      </c>
      <c r="J339" s="4" t="str">
        <f aca="true">IF($D339="Manual Review","Manual Review",IF($G339="","No Data",IF(NOT(ISNUMBER($H339)),"N/A",IF($H339&lt;TODAY(),"Overdue",IF($H339&lt;=TODAY()+30,"Due within 1 Month",IF($H339&lt;=TODAY()+60,"Due within 2 Months","OK"))))))</f>
        <v>No Data</v>
      </c>
      <c r="K339" s="13"/>
    </row>
    <row r="340" customFormat="false" ht="15" hidden="false" customHeight="false" outlineLevel="0" collapsed="false">
      <c r="A340" s="9" t="str">
        <f aca="false">Vessels!B7</f>
        <v>Vessel 03</v>
      </c>
      <c r="B340" s="9" t="s">
        <v>136</v>
      </c>
      <c r="C340" s="7" t="s">
        <v>157</v>
      </c>
      <c r="D340" s="9" t="s">
        <v>45</v>
      </c>
      <c r="E340" s="9" t="s">
        <v>44</v>
      </c>
      <c r="F340" s="5" t="n">
        <v>12</v>
      </c>
      <c r="G340" s="10"/>
      <c r="H340" s="11" t="str">
        <f aca="false">IFERROR(IF($D340="Manual Review","",IF($G340="","",IF($D340="Direct Expiry",$G340,EDATE($G340,$F340)))),"Check Date")</f>
        <v/>
      </c>
      <c r="I340" s="12" t="str">
        <f aca="true">IF($H340="","",IF(ISNUMBER($H340),$H340-TODAY(),""))</f>
        <v/>
      </c>
      <c r="J340" s="4" t="str">
        <f aca="true">IF($D340="Manual Review","Manual Review",IF($G340="","No Data",IF(NOT(ISNUMBER($H340)),"N/A",IF($H340&lt;TODAY(),"Overdue",IF($H340&lt;=TODAY()+30,"Due within 1 Month",IF($H340&lt;=TODAY()+60,"Due within 2 Months","OK"))))))</f>
        <v>No Data</v>
      </c>
      <c r="K340" s="13"/>
    </row>
    <row r="341" customFormat="false" ht="15" hidden="false" customHeight="false" outlineLevel="0" collapsed="false">
      <c r="A341" s="9" t="str">
        <f aca="false">Vessels!B8</f>
        <v>Vessel 04</v>
      </c>
      <c r="B341" s="9" t="s">
        <v>42</v>
      </c>
      <c r="C341" s="7" t="s">
        <v>43</v>
      </c>
      <c r="D341" s="9" t="s">
        <v>45</v>
      </c>
      <c r="E341" s="9" t="s">
        <v>44</v>
      </c>
      <c r="F341" s="5" t="n">
        <v>12</v>
      </c>
      <c r="G341" s="10"/>
      <c r="H341" s="11" t="str">
        <f aca="false">IFERROR(IF($D341="Manual Review","",IF($G341="","",IF($D341="Direct Expiry",$G341,EDATE($G341,$F341)))),"Check Date")</f>
        <v/>
      </c>
      <c r="I341" s="12" t="str">
        <f aca="true">IF($H341="","",IF(ISNUMBER($H341),$H341-TODAY(),""))</f>
        <v/>
      </c>
      <c r="J341" s="4" t="str">
        <f aca="true">IF($D341="Manual Review","Manual Review",IF($G341="","No Data",IF(NOT(ISNUMBER($H341)),"N/A",IF($H341&lt;TODAY(),"Overdue",IF($H341&lt;=TODAY()+30,"Due within 1 Month",IF($H341&lt;=TODAY()+60,"Due within 2 Months","OK"))))))</f>
        <v>No Data</v>
      </c>
      <c r="K341" s="13"/>
    </row>
    <row r="342" customFormat="false" ht="15" hidden="false" customHeight="false" outlineLevel="0" collapsed="false">
      <c r="A342" s="9" t="str">
        <f aca="false">Vessels!B8</f>
        <v>Vessel 04</v>
      </c>
      <c r="B342" s="9" t="s">
        <v>42</v>
      </c>
      <c r="C342" s="7" t="s">
        <v>43</v>
      </c>
      <c r="D342" s="9" t="s">
        <v>45</v>
      </c>
      <c r="E342" s="9" t="s">
        <v>46</v>
      </c>
      <c r="F342" s="5" t="n">
        <v>60</v>
      </c>
      <c r="G342" s="10"/>
      <c r="H342" s="11" t="str">
        <f aca="false">IFERROR(IF($D342="Manual Review","",IF($G342="","",IF($D342="Direct Expiry",$G342,EDATE($G342,$F342)))),"Check Date")</f>
        <v/>
      </c>
      <c r="I342" s="12" t="str">
        <f aca="true">IF($H342="","",IF(ISNUMBER($H342),$H342-TODAY(),""))</f>
        <v/>
      </c>
      <c r="J342" s="4" t="str">
        <f aca="true">IF($D342="Manual Review","Manual Review",IF($G342="","No Data",IF(NOT(ISNUMBER($H342)),"N/A",IF($H342&lt;TODAY(),"Overdue",IF($H342&lt;=TODAY()+30,"Due within 1 Month",IF($H342&lt;=TODAY()+60,"Due within 2 Months","OK"))))))</f>
        <v>No Data</v>
      </c>
      <c r="K342" s="13"/>
    </row>
    <row r="343" customFormat="false" ht="15" hidden="false" customHeight="false" outlineLevel="0" collapsed="false">
      <c r="A343" s="9" t="str">
        <f aca="false">Vessels!B8</f>
        <v>Vessel 04</v>
      </c>
      <c r="B343" s="9" t="s">
        <v>42</v>
      </c>
      <c r="C343" s="7" t="s">
        <v>47</v>
      </c>
      <c r="D343" s="9" t="s">
        <v>45</v>
      </c>
      <c r="E343" s="9" t="s">
        <v>44</v>
      </c>
      <c r="F343" s="5" t="n">
        <v>12</v>
      </c>
      <c r="G343" s="10"/>
      <c r="H343" s="11" t="str">
        <f aca="false">IFERROR(IF($D343="Manual Review","",IF($G343="","",IF($D343="Direct Expiry",$G343,EDATE($G343,$F343)))),"Check Date")</f>
        <v/>
      </c>
      <c r="I343" s="12" t="str">
        <f aca="true">IF($H343="","",IF(ISNUMBER($H343),$H343-TODAY(),""))</f>
        <v/>
      </c>
      <c r="J343" s="4" t="str">
        <f aca="true">IF($D343="Manual Review","Manual Review",IF($G343="","No Data",IF(NOT(ISNUMBER($H343)),"N/A",IF($H343&lt;TODAY(),"Overdue",IF($H343&lt;=TODAY()+30,"Due within 1 Month",IF($H343&lt;=TODAY()+60,"Due within 2 Months","OK"))))))</f>
        <v>No Data</v>
      </c>
      <c r="K343" s="13"/>
    </row>
    <row r="344" customFormat="false" ht="15" hidden="false" customHeight="false" outlineLevel="0" collapsed="false">
      <c r="A344" s="9" t="str">
        <f aca="false">Vessels!B8</f>
        <v>Vessel 04</v>
      </c>
      <c r="B344" s="9" t="s">
        <v>42</v>
      </c>
      <c r="C344" s="7" t="s">
        <v>47</v>
      </c>
      <c r="D344" s="9" t="s">
        <v>45</v>
      </c>
      <c r="E344" s="9" t="s">
        <v>46</v>
      </c>
      <c r="F344" s="5" t="n">
        <v>60</v>
      </c>
      <c r="G344" s="10"/>
      <c r="H344" s="11" t="str">
        <f aca="false">IFERROR(IF($D344="Manual Review","",IF($G344="","",IF($D344="Direct Expiry",$G344,EDATE($G344,$F344)))),"Check Date")</f>
        <v/>
      </c>
      <c r="I344" s="12" t="str">
        <f aca="true">IF($H344="","",IF(ISNUMBER($H344),$H344-TODAY(),""))</f>
        <v/>
      </c>
      <c r="J344" s="4" t="str">
        <f aca="true">IF($D344="Manual Review","Manual Review",IF($G344="","No Data",IF(NOT(ISNUMBER($H344)),"N/A",IF($H344&lt;TODAY(),"Overdue",IF($H344&lt;=TODAY()+30,"Due within 1 Month",IF($H344&lt;=TODAY()+60,"Due within 2 Months","OK"))))))</f>
        <v>No Data</v>
      </c>
      <c r="K344" s="13"/>
    </row>
    <row r="345" customFormat="false" ht="15" hidden="false" customHeight="false" outlineLevel="0" collapsed="false">
      <c r="A345" s="9" t="str">
        <f aca="false">Vessels!B8</f>
        <v>Vessel 04</v>
      </c>
      <c r="B345" s="9" t="s">
        <v>42</v>
      </c>
      <c r="C345" s="7" t="s">
        <v>48</v>
      </c>
      <c r="D345" s="9" t="s">
        <v>45</v>
      </c>
      <c r="E345" s="9" t="s">
        <v>44</v>
      </c>
      <c r="F345" s="5" t="n">
        <v>12</v>
      </c>
      <c r="G345" s="10"/>
      <c r="H345" s="11" t="str">
        <f aca="false">IFERROR(IF($D345="Manual Review","",IF($G345="","",IF($D345="Direct Expiry",$G345,EDATE($G345,$F345)))),"Check Date")</f>
        <v/>
      </c>
      <c r="I345" s="12" t="str">
        <f aca="true">IF($H345="","",IF(ISNUMBER($H345),$H345-TODAY(),""))</f>
        <v/>
      </c>
      <c r="J345" s="4" t="str">
        <f aca="true">IF($D345="Manual Review","Manual Review",IF($G345="","No Data",IF(NOT(ISNUMBER($H345)),"N/A",IF($H345&lt;TODAY(),"Overdue",IF($H345&lt;=TODAY()+30,"Due within 1 Month",IF($H345&lt;=TODAY()+60,"Due within 2 Months","OK"))))))</f>
        <v>No Data</v>
      </c>
      <c r="K345" s="13"/>
    </row>
    <row r="346" customFormat="false" ht="15" hidden="false" customHeight="false" outlineLevel="0" collapsed="false">
      <c r="A346" s="9" t="str">
        <f aca="false">Vessels!B8</f>
        <v>Vessel 04</v>
      </c>
      <c r="B346" s="9" t="s">
        <v>42</v>
      </c>
      <c r="C346" s="7" t="s">
        <v>48</v>
      </c>
      <c r="D346" s="9" t="s">
        <v>45</v>
      </c>
      <c r="E346" s="9" t="s">
        <v>49</v>
      </c>
      <c r="F346" s="5" t="n">
        <v>60</v>
      </c>
      <c r="G346" s="10"/>
      <c r="H346" s="11" t="str">
        <f aca="false">IFERROR(IF($D346="Manual Review","",IF($G346="","",IF($D346="Direct Expiry",$G346,EDATE($G346,$F346)))),"Check Date")</f>
        <v/>
      </c>
      <c r="I346" s="12" t="str">
        <f aca="true">IF($H346="","",IF(ISNUMBER($H346),$H346-TODAY(),""))</f>
        <v/>
      </c>
      <c r="J346" s="4" t="str">
        <f aca="true">IF($D346="Manual Review","Manual Review",IF($G346="","No Data",IF(NOT(ISNUMBER($H346)),"N/A",IF($H346&lt;TODAY(),"Overdue",IF($H346&lt;=TODAY()+30,"Due within 1 Month",IF($H346&lt;=TODAY()+60,"Due within 2 Months","OK"))))))</f>
        <v>No Data</v>
      </c>
      <c r="K346" s="13"/>
    </row>
    <row r="347" customFormat="false" ht="15" hidden="false" customHeight="false" outlineLevel="0" collapsed="false">
      <c r="A347" s="9" t="str">
        <f aca="false">Vessels!B8</f>
        <v>Vessel 04</v>
      </c>
      <c r="B347" s="9" t="s">
        <v>42</v>
      </c>
      <c r="C347" s="7" t="s">
        <v>50</v>
      </c>
      <c r="D347" s="9" t="s">
        <v>45</v>
      </c>
      <c r="E347" s="9" t="s">
        <v>44</v>
      </c>
      <c r="F347" s="5" t="n">
        <v>12</v>
      </c>
      <c r="G347" s="10"/>
      <c r="H347" s="11" t="str">
        <f aca="false">IFERROR(IF($D347="Manual Review","",IF($G347="","",IF($D347="Direct Expiry",$G347,EDATE($G347,$F347)))),"Check Date")</f>
        <v/>
      </c>
      <c r="I347" s="12" t="str">
        <f aca="true">IF($H347="","",IF(ISNUMBER($H347),$H347-TODAY(),""))</f>
        <v/>
      </c>
      <c r="J347" s="4" t="str">
        <f aca="true">IF($D347="Manual Review","Manual Review",IF($G347="","No Data",IF(NOT(ISNUMBER($H347)),"N/A",IF($H347&lt;TODAY(),"Overdue",IF($H347&lt;=TODAY()+30,"Due within 1 Month",IF($H347&lt;=TODAY()+60,"Due within 2 Months","OK"))))))</f>
        <v>No Data</v>
      </c>
      <c r="K347" s="13"/>
    </row>
    <row r="348" customFormat="false" ht="15" hidden="false" customHeight="false" outlineLevel="0" collapsed="false">
      <c r="A348" s="9" t="str">
        <f aca="false">Vessels!B8</f>
        <v>Vessel 04</v>
      </c>
      <c r="B348" s="9" t="s">
        <v>42</v>
      </c>
      <c r="C348" s="7" t="s">
        <v>50</v>
      </c>
      <c r="D348" s="9" t="s">
        <v>45</v>
      </c>
      <c r="E348" s="9" t="s">
        <v>49</v>
      </c>
      <c r="F348" s="5" t="n">
        <v>60</v>
      </c>
      <c r="G348" s="10"/>
      <c r="H348" s="11" t="str">
        <f aca="false">IFERROR(IF($D348="Manual Review","",IF($G348="","",IF($D348="Direct Expiry",$G348,EDATE($G348,$F348)))),"Check Date")</f>
        <v/>
      </c>
      <c r="I348" s="12" t="str">
        <f aca="true">IF($H348="","",IF(ISNUMBER($H348),$H348-TODAY(),""))</f>
        <v/>
      </c>
      <c r="J348" s="4" t="str">
        <f aca="true">IF($D348="Manual Review","Manual Review",IF($G348="","No Data",IF(NOT(ISNUMBER($H348)),"N/A",IF($H348&lt;TODAY(),"Overdue",IF($H348&lt;=TODAY()+30,"Due within 1 Month",IF($H348&lt;=TODAY()+60,"Due within 2 Months","OK"))))))</f>
        <v>No Data</v>
      </c>
      <c r="K348" s="13"/>
    </row>
    <row r="349" customFormat="false" ht="15" hidden="false" customHeight="false" outlineLevel="0" collapsed="false">
      <c r="A349" s="9" t="str">
        <f aca="false">Vessels!B8</f>
        <v>Vessel 04</v>
      </c>
      <c r="B349" s="9" t="s">
        <v>42</v>
      </c>
      <c r="C349" s="7" t="s">
        <v>51</v>
      </c>
      <c r="D349" s="9" t="s">
        <v>45</v>
      </c>
      <c r="E349" s="9" t="s">
        <v>46</v>
      </c>
      <c r="F349" s="5" t="n">
        <v>60</v>
      </c>
      <c r="G349" s="10"/>
      <c r="H349" s="11" t="str">
        <f aca="false">IFERROR(IF($D349="Manual Review","",IF($G349="","",IF($D349="Direct Expiry",$G349,EDATE($G349,$F349)))),"Check Date")</f>
        <v/>
      </c>
      <c r="I349" s="12" t="str">
        <f aca="true">IF($H349="","",IF(ISNUMBER($H349),$H349-TODAY(),""))</f>
        <v/>
      </c>
      <c r="J349" s="4" t="str">
        <f aca="true">IF($D349="Manual Review","Manual Review",IF($G349="","No Data",IF(NOT(ISNUMBER($H349)),"N/A",IF($H349&lt;TODAY(),"Overdue",IF($H349&lt;=TODAY()+30,"Due within 1 Month",IF($H349&lt;=TODAY()+60,"Due within 2 Months","OK"))))))</f>
        <v>No Data</v>
      </c>
      <c r="K349" s="13"/>
    </row>
    <row r="350" customFormat="false" ht="15" hidden="false" customHeight="false" outlineLevel="0" collapsed="false">
      <c r="A350" s="9" t="str">
        <f aca="false">Vessels!B8</f>
        <v>Vessel 04</v>
      </c>
      <c r="B350" s="9" t="s">
        <v>42</v>
      </c>
      <c r="C350" s="7" t="s">
        <v>52</v>
      </c>
      <c r="D350" s="9" t="s">
        <v>45</v>
      </c>
      <c r="E350" s="9" t="s">
        <v>46</v>
      </c>
      <c r="F350" s="5" t="n">
        <v>60</v>
      </c>
      <c r="G350" s="10"/>
      <c r="H350" s="11" t="str">
        <f aca="false">IFERROR(IF($D350="Manual Review","",IF($G350="","",IF($D350="Direct Expiry",$G350,EDATE($G350,$F350)))),"Check Date")</f>
        <v/>
      </c>
      <c r="I350" s="12" t="str">
        <f aca="true">IF($H350="","",IF(ISNUMBER($H350),$H350-TODAY(),""))</f>
        <v/>
      </c>
      <c r="J350" s="4" t="str">
        <f aca="true">IF($D350="Manual Review","Manual Review",IF($G350="","No Data",IF(NOT(ISNUMBER($H350)),"N/A",IF($H350&lt;TODAY(),"Overdue",IF($H350&lt;=TODAY()+30,"Due within 1 Month",IF($H350&lt;=TODAY()+60,"Due within 2 Months","OK"))))))</f>
        <v>No Data</v>
      </c>
      <c r="K350" s="13"/>
    </row>
    <row r="351" customFormat="false" ht="15" hidden="false" customHeight="false" outlineLevel="0" collapsed="false">
      <c r="A351" s="9" t="str">
        <f aca="false">Vessels!B8</f>
        <v>Vessel 04</v>
      </c>
      <c r="B351" s="9" t="s">
        <v>42</v>
      </c>
      <c r="C351" s="7" t="s">
        <v>53</v>
      </c>
      <c r="D351" s="9" t="s">
        <v>45</v>
      </c>
      <c r="E351" s="9" t="s">
        <v>46</v>
      </c>
      <c r="F351" s="5" t="n">
        <v>60</v>
      </c>
      <c r="G351" s="10"/>
      <c r="H351" s="11" t="str">
        <f aca="false">IFERROR(IF($D351="Manual Review","",IF($G351="","",IF($D351="Direct Expiry",$G351,EDATE($G351,$F351)))),"Check Date")</f>
        <v/>
      </c>
      <c r="I351" s="12" t="str">
        <f aca="true">IF($H351="","",IF(ISNUMBER($H351),$H351-TODAY(),""))</f>
        <v/>
      </c>
      <c r="J351" s="4" t="str">
        <f aca="true">IF($D351="Manual Review","Manual Review",IF($G351="","No Data",IF(NOT(ISNUMBER($H351)),"N/A",IF($H351&lt;TODAY(),"Overdue",IF($H351&lt;=TODAY()+30,"Due within 1 Month",IF($H351&lt;=TODAY()+60,"Due within 2 Months","OK"))))))</f>
        <v>No Data</v>
      </c>
      <c r="K351" s="13"/>
    </row>
    <row r="352" customFormat="false" ht="15" hidden="false" customHeight="false" outlineLevel="0" collapsed="false">
      <c r="A352" s="9" t="str">
        <f aca="false">Vessels!B8</f>
        <v>Vessel 04</v>
      </c>
      <c r="B352" s="9" t="s">
        <v>42</v>
      </c>
      <c r="C352" s="7" t="s">
        <v>54</v>
      </c>
      <c r="D352" s="9" t="s">
        <v>45</v>
      </c>
      <c r="E352" s="9" t="s">
        <v>46</v>
      </c>
      <c r="F352" s="5" t="n">
        <v>60</v>
      </c>
      <c r="G352" s="10"/>
      <c r="H352" s="11" t="str">
        <f aca="false">IFERROR(IF($D352="Manual Review","",IF($G352="","",IF($D352="Direct Expiry",$G352,EDATE($G352,$F352)))),"Check Date")</f>
        <v/>
      </c>
      <c r="I352" s="12" t="str">
        <f aca="true">IF($H352="","",IF(ISNUMBER($H352),$H352-TODAY(),""))</f>
        <v/>
      </c>
      <c r="J352" s="4" t="str">
        <f aca="true">IF($D352="Manual Review","Manual Review",IF($G352="","No Data",IF(NOT(ISNUMBER($H352)),"N/A",IF($H352&lt;TODAY(),"Overdue",IF($H352&lt;=TODAY()+30,"Due within 1 Month",IF($H352&lt;=TODAY()+60,"Due within 2 Months","OK"))))))</f>
        <v>No Data</v>
      </c>
      <c r="K352" s="13"/>
    </row>
    <row r="353" customFormat="false" ht="15" hidden="false" customHeight="false" outlineLevel="0" collapsed="false">
      <c r="A353" s="9" t="str">
        <f aca="false">Vessels!B8</f>
        <v>Vessel 04</v>
      </c>
      <c r="B353" s="9" t="s">
        <v>42</v>
      </c>
      <c r="C353" s="7" t="s">
        <v>55</v>
      </c>
      <c r="D353" s="9" t="s">
        <v>45</v>
      </c>
      <c r="E353" s="9" t="s">
        <v>46</v>
      </c>
      <c r="F353" s="5" t="n">
        <v>60</v>
      </c>
      <c r="G353" s="10"/>
      <c r="H353" s="11" t="str">
        <f aca="false">IFERROR(IF($D353="Manual Review","",IF($G353="","",IF($D353="Direct Expiry",$G353,EDATE($G353,$F353)))),"Check Date")</f>
        <v/>
      </c>
      <c r="I353" s="12" t="str">
        <f aca="true">IF($H353="","",IF(ISNUMBER($H353),$H353-TODAY(),""))</f>
        <v/>
      </c>
      <c r="J353" s="4" t="str">
        <f aca="true">IF($D353="Manual Review","Manual Review",IF($G353="","No Data",IF(NOT(ISNUMBER($H353)),"N/A",IF($H353&lt;TODAY(),"Overdue",IF($H353&lt;=TODAY()+30,"Due within 1 Month",IF($H353&lt;=TODAY()+60,"Due within 2 Months","OK"))))))</f>
        <v>No Data</v>
      </c>
      <c r="K353" s="13"/>
    </row>
    <row r="354" customFormat="false" ht="15" hidden="false" customHeight="false" outlineLevel="0" collapsed="false">
      <c r="A354" s="9" t="str">
        <f aca="false">Vessels!B8</f>
        <v>Vessel 04</v>
      </c>
      <c r="B354" s="9" t="s">
        <v>42</v>
      </c>
      <c r="C354" s="7" t="s">
        <v>56</v>
      </c>
      <c r="D354" s="9" t="s">
        <v>45</v>
      </c>
      <c r="E354" s="9" t="s">
        <v>46</v>
      </c>
      <c r="F354" s="5" t="n">
        <v>60</v>
      </c>
      <c r="G354" s="10"/>
      <c r="H354" s="11" t="str">
        <f aca="false">IFERROR(IF($D354="Manual Review","",IF($G354="","",IF($D354="Direct Expiry",$G354,EDATE($G354,$F354)))),"Check Date")</f>
        <v/>
      </c>
      <c r="I354" s="12" t="str">
        <f aca="true">IF($H354="","",IF(ISNUMBER($H354),$H354-TODAY(),""))</f>
        <v/>
      </c>
      <c r="J354" s="4" t="str">
        <f aca="true">IF($D354="Manual Review","Manual Review",IF($G354="","No Data",IF(NOT(ISNUMBER($H354)),"N/A",IF($H354&lt;TODAY(),"Overdue",IF($H354&lt;=TODAY()+30,"Due within 1 Month",IF($H354&lt;=TODAY()+60,"Due within 2 Months","OK"))))))</f>
        <v>No Data</v>
      </c>
      <c r="K354" s="13"/>
    </row>
    <row r="355" customFormat="false" ht="15" hidden="false" customHeight="false" outlineLevel="0" collapsed="false">
      <c r="A355" s="9" t="str">
        <f aca="false">Vessels!B8</f>
        <v>Vessel 04</v>
      </c>
      <c r="B355" s="9" t="s">
        <v>42</v>
      </c>
      <c r="C355" s="7" t="s">
        <v>57</v>
      </c>
      <c r="D355" s="9" t="s">
        <v>59</v>
      </c>
      <c r="E355" s="9" t="s">
        <v>58</v>
      </c>
      <c r="F355" s="5"/>
      <c r="G355" s="10"/>
      <c r="H355" s="11" t="str">
        <f aca="false">IFERROR(IF($D355="Manual Review","",IF($G355="","",IF($D355="Direct Expiry",$G355,EDATE($G355,$F355)))),"Check Date")</f>
        <v/>
      </c>
      <c r="I355" s="12" t="str">
        <f aca="true">IF($H355="","",IF(ISNUMBER($H355),$H355-TODAY(),""))</f>
        <v/>
      </c>
      <c r="J355" s="4" t="str">
        <f aca="true">IF($D355="Manual Review","Manual Review",IF($G355="","No Data",IF(NOT(ISNUMBER($H355)),"N/A",IF($H355&lt;TODAY(),"Overdue",IF($H355&lt;=TODAY()+30,"Due within 1 Month",IF($H355&lt;=TODAY()+60,"Due within 2 Months","OK"))))))</f>
        <v>No Data</v>
      </c>
      <c r="K355" s="13"/>
    </row>
    <row r="356" customFormat="false" ht="15" hidden="false" customHeight="false" outlineLevel="0" collapsed="false">
      <c r="A356" s="9" t="str">
        <f aca="false">Vessels!B8</f>
        <v>Vessel 04</v>
      </c>
      <c r="B356" s="9" t="s">
        <v>42</v>
      </c>
      <c r="C356" s="7" t="s">
        <v>60</v>
      </c>
      <c r="D356" s="9" t="s">
        <v>45</v>
      </c>
      <c r="E356" s="9" t="s">
        <v>44</v>
      </c>
      <c r="F356" s="5" t="n">
        <v>12</v>
      </c>
      <c r="G356" s="10"/>
      <c r="H356" s="11" t="str">
        <f aca="false">IFERROR(IF($D356="Manual Review","",IF($G356="","",IF($D356="Direct Expiry",$G356,EDATE($G356,$F356)))),"Check Date")</f>
        <v/>
      </c>
      <c r="I356" s="12" t="str">
        <f aca="true">IF($H356="","",IF(ISNUMBER($H356),$H356-TODAY(),""))</f>
        <v/>
      </c>
      <c r="J356" s="4" t="str">
        <f aca="true">IF($D356="Manual Review","Manual Review",IF($G356="","No Data",IF(NOT(ISNUMBER($H356)),"N/A",IF($H356&lt;TODAY(),"Overdue",IF($H356&lt;=TODAY()+30,"Due within 1 Month",IF($H356&lt;=TODAY()+60,"Due within 2 Months","OK"))))))</f>
        <v>No Data</v>
      </c>
      <c r="K356" s="13"/>
    </row>
    <row r="357" customFormat="false" ht="15" hidden="false" customHeight="false" outlineLevel="0" collapsed="false">
      <c r="A357" s="9" t="str">
        <f aca="false">Vessels!B8</f>
        <v>Vessel 04</v>
      </c>
      <c r="B357" s="9" t="s">
        <v>42</v>
      </c>
      <c r="C357" s="7" t="s">
        <v>60</v>
      </c>
      <c r="D357" s="9" t="s">
        <v>45</v>
      </c>
      <c r="E357" s="9" t="s">
        <v>46</v>
      </c>
      <c r="F357" s="5" t="n">
        <v>60</v>
      </c>
      <c r="G357" s="10"/>
      <c r="H357" s="11" t="str">
        <f aca="false">IFERROR(IF($D357="Manual Review","",IF($G357="","",IF($D357="Direct Expiry",$G357,EDATE($G357,$F357)))),"Check Date")</f>
        <v/>
      </c>
      <c r="I357" s="12" t="str">
        <f aca="true">IF($H357="","",IF(ISNUMBER($H357),$H357-TODAY(),""))</f>
        <v/>
      </c>
      <c r="J357" s="4" t="str">
        <f aca="true">IF($D357="Manual Review","Manual Review",IF($G357="","No Data",IF(NOT(ISNUMBER($H357)),"N/A",IF($H357&lt;TODAY(),"Overdue",IF($H357&lt;=TODAY()+30,"Due within 1 Month",IF($H357&lt;=TODAY()+60,"Due within 2 Months","OK"))))))</f>
        <v>No Data</v>
      </c>
      <c r="K357" s="13"/>
    </row>
    <row r="358" customFormat="false" ht="15" hidden="false" customHeight="false" outlineLevel="0" collapsed="false">
      <c r="A358" s="9" t="str">
        <f aca="false">Vessels!B8</f>
        <v>Vessel 04</v>
      </c>
      <c r="B358" s="9" t="s">
        <v>42</v>
      </c>
      <c r="C358" s="7" t="s">
        <v>61</v>
      </c>
      <c r="D358" s="9" t="s">
        <v>45</v>
      </c>
      <c r="E358" s="9" t="s">
        <v>44</v>
      </c>
      <c r="F358" s="5" t="n">
        <v>12</v>
      </c>
      <c r="G358" s="10"/>
      <c r="H358" s="11" t="str">
        <f aca="false">IFERROR(IF($D358="Manual Review","",IF($G358="","",IF($D358="Direct Expiry",$G358,EDATE($G358,$F358)))),"Check Date")</f>
        <v/>
      </c>
      <c r="I358" s="12" t="str">
        <f aca="true">IF($H358="","",IF(ISNUMBER($H358),$H358-TODAY(),""))</f>
        <v/>
      </c>
      <c r="J358" s="4" t="str">
        <f aca="true">IF($D358="Manual Review","Manual Review",IF($G358="","No Data",IF(NOT(ISNUMBER($H358)),"N/A",IF($H358&lt;TODAY(),"Overdue",IF($H358&lt;=TODAY()+30,"Due within 1 Month",IF($H358&lt;=TODAY()+60,"Due within 2 Months","OK"))))))</f>
        <v>No Data</v>
      </c>
      <c r="K358" s="13"/>
    </row>
    <row r="359" customFormat="false" ht="15" hidden="false" customHeight="false" outlineLevel="0" collapsed="false">
      <c r="A359" s="9" t="str">
        <f aca="false">Vessels!B8</f>
        <v>Vessel 04</v>
      </c>
      <c r="B359" s="9" t="s">
        <v>42</v>
      </c>
      <c r="C359" s="7" t="s">
        <v>61</v>
      </c>
      <c r="D359" s="9" t="s">
        <v>45</v>
      </c>
      <c r="E359" s="9" t="s">
        <v>46</v>
      </c>
      <c r="F359" s="5" t="n">
        <v>60</v>
      </c>
      <c r="G359" s="10"/>
      <c r="H359" s="11" t="str">
        <f aca="false">IFERROR(IF($D359="Manual Review","",IF($G359="","",IF($D359="Direct Expiry",$G359,EDATE($G359,$F359)))),"Check Date")</f>
        <v/>
      </c>
      <c r="I359" s="12" t="str">
        <f aca="true">IF($H359="","",IF(ISNUMBER($H359),$H359-TODAY(),""))</f>
        <v/>
      </c>
      <c r="J359" s="4" t="str">
        <f aca="true">IF($D359="Manual Review","Manual Review",IF($G359="","No Data",IF(NOT(ISNUMBER($H359)),"N/A",IF($H359&lt;TODAY(),"Overdue",IF($H359&lt;=TODAY()+30,"Due within 1 Month",IF($H359&lt;=TODAY()+60,"Due within 2 Months","OK"))))))</f>
        <v>No Data</v>
      </c>
      <c r="K359" s="13"/>
    </row>
    <row r="360" customFormat="false" ht="15" hidden="false" customHeight="false" outlineLevel="0" collapsed="false">
      <c r="A360" s="9" t="str">
        <f aca="false">Vessels!B8</f>
        <v>Vessel 04</v>
      </c>
      <c r="B360" s="9" t="s">
        <v>42</v>
      </c>
      <c r="C360" s="7" t="s">
        <v>62</v>
      </c>
      <c r="D360" s="9" t="s">
        <v>45</v>
      </c>
      <c r="E360" s="9" t="s">
        <v>44</v>
      </c>
      <c r="F360" s="5" t="n">
        <v>12</v>
      </c>
      <c r="G360" s="10"/>
      <c r="H360" s="11" t="str">
        <f aca="false">IFERROR(IF($D360="Manual Review","",IF($G360="","",IF($D360="Direct Expiry",$G360,EDATE($G360,$F360)))),"Check Date")</f>
        <v/>
      </c>
      <c r="I360" s="12" t="str">
        <f aca="true">IF($H360="","",IF(ISNUMBER($H360),$H360-TODAY(),""))</f>
        <v/>
      </c>
      <c r="J360" s="4" t="str">
        <f aca="true">IF($D360="Manual Review","Manual Review",IF($G360="","No Data",IF(NOT(ISNUMBER($H360)),"N/A",IF($H360&lt;TODAY(),"Overdue",IF($H360&lt;=TODAY()+30,"Due within 1 Month",IF($H360&lt;=TODAY()+60,"Due within 2 Months","OK"))))))</f>
        <v>No Data</v>
      </c>
      <c r="K360" s="13"/>
    </row>
    <row r="361" customFormat="false" ht="15" hidden="false" customHeight="false" outlineLevel="0" collapsed="false">
      <c r="A361" s="9" t="str">
        <f aca="false">Vessels!B8</f>
        <v>Vessel 04</v>
      </c>
      <c r="B361" s="9" t="s">
        <v>42</v>
      </c>
      <c r="C361" s="7" t="s">
        <v>62</v>
      </c>
      <c r="D361" s="9" t="s">
        <v>45</v>
      </c>
      <c r="E361" s="9" t="s">
        <v>49</v>
      </c>
      <c r="F361" s="5" t="n">
        <v>60</v>
      </c>
      <c r="G361" s="10"/>
      <c r="H361" s="11" t="str">
        <f aca="false">IFERROR(IF($D361="Manual Review","",IF($G361="","",IF($D361="Direct Expiry",$G361,EDATE($G361,$F361)))),"Check Date")</f>
        <v/>
      </c>
      <c r="I361" s="12" t="str">
        <f aca="true">IF($H361="","",IF(ISNUMBER($H361),$H361-TODAY(),""))</f>
        <v/>
      </c>
      <c r="J361" s="4" t="str">
        <f aca="true">IF($D361="Manual Review","Manual Review",IF($G361="","No Data",IF(NOT(ISNUMBER($H361)),"N/A",IF($H361&lt;TODAY(),"Overdue",IF($H361&lt;=TODAY()+30,"Due within 1 Month",IF($H361&lt;=TODAY()+60,"Due within 2 Months","OK"))))))</f>
        <v>No Data</v>
      </c>
      <c r="K361" s="13"/>
    </row>
    <row r="362" customFormat="false" ht="15" hidden="false" customHeight="false" outlineLevel="0" collapsed="false">
      <c r="A362" s="9" t="str">
        <f aca="false">Vessels!B8</f>
        <v>Vessel 04</v>
      </c>
      <c r="B362" s="9" t="s">
        <v>42</v>
      </c>
      <c r="C362" s="7" t="s">
        <v>63</v>
      </c>
      <c r="D362" s="9" t="s">
        <v>45</v>
      </c>
      <c r="E362" s="9" t="s">
        <v>44</v>
      </c>
      <c r="F362" s="5" t="n">
        <v>12</v>
      </c>
      <c r="G362" s="10"/>
      <c r="H362" s="11" t="str">
        <f aca="false">IFERROR(IF($D362="Manual Review","",IF($G362="","",IF($D362="Direct Expiry",$G362,EDATE($G362,$F362)))),"Check Date")</f>
        <v/>
      </c>
      <c r="I362" s="12" t="str">
        <f aca="true">IF($H362="","",IF(ISNUMBER($H362),$H362-TODAY(),""))</f>
        <v/>
      </c>
      <c r="J362" s="4" t="str">
        <f aca="true">IF($D362="Manual Review","Manual Review",IF($G362="","No Data",IF(NOT(ISNUMBER($H362)),"N/A",IF($H362&lt;TODAY(),"Overdue",IF($H362&lt;=TODAY()+30,"Due within 1 Month",IF($H362&lt;=TODAY()+60,"Due within 2 Months","OK"))))))</f>
        <v>No Data</v>
      </c>
      <c r="K362" s="13"/>
    </row>
    <row r="363" customFormat="false" ht="15" hidden="false" customHeight="false" outlineLevel="0" collapsed="false">
      <c r="A363" s="9" t="str">
        <f aca="false">Vessels!B8</f>
        <v>Vessel 04</v>
      </c>
      <c r="B363" s="9" t="s">
        <v>42</v>
      </c>
      <c r="C363" s="7" t="s">
        <v>63</v>
      </c>
      <c r="D363" s="9" t="s">
        <v>45</v>
      </c>
      <c r="E363" s="9" t="s">
        <v>49</v>
      </c>
      <c r="F363" s="5" t="n">
        <v>60</v>
      </c>
      <c r="G363" s="10"/>
      <c r="H363" s="11" t="str">
        <f aca="false">IFERROR(IF($D363="Manual Review","",IF($G363="","",IF($D363="Direct Expiry",$G363,EDATE($G363,$F363)))),"Check Date")</f>
        <v/>
      </c>
      <c r="I363" s="12" t="str">
        <f aca="true">IF($H363="","",IF(ISNUMBER($H363),$H363-TODAY(),""))</f>
        <v/>
      </c>
      <c r="J363" s="4" t="str">
        <f aca="true">IF($D363="Manual Review","Manual Review",IF($G363="","No Data",IF(NOT(ISNUMBER($H363)),"N/A",IF($H363&lt;TODAY(),"Overdue",IF($H363&lt;=TODAY()+30,"Due within 1 Month",IF($H363&lt;=TODAY()+60,"Due within 2 Months","OK"))))))</f>
        <v>No Data</v>
      </c>
      <c r="K363" s="13"/>
    </row>
    <row r="364" customFormat="false" ht="15" hidden="false" customHeight="false" outlineLevel="0" collapsed="false">
      <c r="A364" s="9" t="str">
        <f aca="false">Vessels!B8</f>
        <v>Vessel 04</v>
      </c>
      <c r="B364" s="9" t="s">
        <v>42</v>
      </c>
      <c r="C364" s="7" t="s">
        <v>64</v>
      </c>
      <c r="D364" s="9" t="s">
        <v>45</v>
      </c>
      <c r="E364" s="9" t="s">
        <v>46</v>
      </c>
      <c r="F364" s="5" t="n">
        <v>60</v>
      </c>
      <c r="G364" s="10"/>
      <c r="H364" s="11" t="str">
        <f aca="false">IFERROR(IF($D364="Manual Review","",IF($G364="","",IF($D364="Direct Expiry",$G364,EDATE($G364,$F364)))),"Check Date")</f>
        <v/>
      </c>
      <c r="I364" s="12" t="str">
        <f aca="true">IF($H364="","",IF(ISNUMBER($H364),$H364-TODAY(),""))</f>
        <v/>
      </c>
      <c r="J364" s="4" t="str">
        <f aca="true">IF($D364="Manual Review","Manual Review",IF($G364="","No Data",IF(NOT(ISNUMBER($H364)),"N/A",IF($H364&lt;TODAY(),"Overdue",IF($H364&lt;=TODAY()+30,"Due within 1 Month",IF($H364&lt;=TODAY()+60,"Due within 2 Months","OK"))))))</f>
        <v>No Data</v>
      </c>
      <c r="K364" s="13"/>
    </row>
    <row r="365" customFormat="false" ht="15" hidden="false" customHeight="false" outlineLevel="0" collapsed="false">
      <c r="A365" s="9" t="str">
        <f aca="false">Vessels!B8</f>
        <v>Vessel 04</v>
      </c>
      <c r="B365" s="9" t="s">
        <v>42</v>
      </c>
      <c r="C365" s="7" t="s">
        <v>65</v>
      </c>
      <c r="D365" s="9" t="s">
        <v>45</v>
      </c>
      <c r="E365" s="9" t="s">
        <v>46</v>
      </c>
      <c r="F365" s="5" t="n">
        <v>60</v>
      </c>
      <c r="G365" s="10"/>
      <c r="H365" s="11" t="str">
        <f aca="false">IFERROR(IF($D365="Manual Review","",IF($G365="","",IF($D365="Direct Expiry",$G365,EDATE($G365,$F365)))),"Check Date")</f>
        <v/>
      </c>
      <c r="I365" s="12" t="str">
        <f aca="true">IF($H365="","",IF(ISNUMBER($H365),$H365-TODAY(),""))</f>
        <v/>
      </c>
      <c r="J365" s="4" t="str">
        <f aca="true">IF($D365="Manual Review","Manual Review",IF($G365="","No Data",IF(NOT(ISNUMBER($H365)),"N/A",IF($H365&lt;TODAY(),"Overdue",IF($H365&lt;=TODAY()+30,"Due within 1 Month",IF($H365&lt;=TODAY()+60,"Due within 2 Months","OK"))))))</f>
        <v>No Data</v>
      </c>
      <c r="K365" s="13"/>
    </row>
    <row r="366" customFormat="false" ht="15" hidden="false" customHeight="false" outlineLevel="0" collapsed="false">
      <c r="A366" s="9" t="str">
        <f aca="false">Vessels!B8</f>
        <v>Vessel 04</v>
      </c>
      <c r="B366" s="9" t="s">
        <v>42</v>
      </c>
      <c r="C366" s="7" t="s">
        <v>66</v>
      </c>
      <c r="D366" s="9" t="s">
        <v>45</v>
      </c>
      <c r="E366" s="9" t="s">
        <v>46</v>
      </c>
      <c r="F366" s="5" t="n">
        <v>60</v>
      </c>
      <c r="G366" s="10"/>
      <c r="H366" s="11" t="str">
        <f aca="false">IFERROR(IF($D366="Manual Review","",IF($G366="","",IF($D366="Direct Expiry",$G366,EDATE($G366,$F366)))),"Check Date")</f>
        <v/>
      </c>
      <c r="I366" s="12" t="str">
        <f aca="true">IF($H366="","",IF(ISNUMBER($H366),$H366-TODAY(),""))</f>
        <v/>
      </c>
      <c r="J366" s="4" t="str">
        <f aca="true">IF($D366="Manual Review","Manual Review",IF($G366="","No Data",IF(NOT(ISNUMBER($H366)),"N/A",IF($H366&lt;TODAY(),"Overdue",IF($H366&lt;=TODAY()+30,"Due within 1 Month",IF($H366&lt;=TODAY()+60,"Due within 2 Months","OK"))))))</f>
        <v>No Data</v>
      </c>
      <c r="K366" s="13"/>
    </row>
    <row r="367" customFormat="false" ht="15" hidden="false" customHeight="false" outlineLevel="0" collapsed="false">
      <c r="A367" s="9" t="str">
        <f aca="false">Vessels!B8</f>
        <v>Vessel 04</v>
      </c>
      <c r="B367" s="9" t="s">
        <v>42</v>
      </c>
      <c r="C367" s="7" t="s">
        <v>67</v>
      </c>
      <c r="D367" s="9" t="s">
        <v>45</v>
      </c>
      <c r="E367" s="9" t="s">
        <v>46</v>
      </c>
      <c r="F367" s="5" t="n">
        <v>60</v>
      </c>
      <c r="G367" s="10"/>
      <c r="H367" s="11" t="str">
        <f aca="false">IFERROR(IF($D367="Manual Review","",IF($G367="","",IF($D367="Direct Expiry",$G367,EDATE($G367,$F367)))),"Check Date")</f>
        <v/>
      </c>
      <c r="I367" s="12" t="str">
        <f aca="true">IF($H367="","",IF(ISNUMBER($H367),$H367-TODAY(),""))</f>
        <v/>
      </c>
      <c r="J367" s="4" t="str">
        <f aca="true">IF($D367="Manual Review","Manual Review",IF($G367="","No Data",IF(NOT(ISNUMBER($H367)),"N/A",IF($H367&lt;TODAY(),"Overdue",IF($H367&lt;=TODAY()+30,"Due within 1 Month",IF($H367&lt;=TODAY()+60,"Due within 2 Months","OK"))))))</f>
        <v>No Data</v>
      </c>
      <c r="K367" s="13"/>
    </row>
    <row r="368" customFormat="false" ht="15" hidden="false" customHeight="false" outlineLevel="0" collapsed="false">
      <c r="A368" s="9" t="str">
        <f aca="false">Vessels!B8</f>
        <v>Vessel 04</v>
      </c>
      <c r="B368" s="9" t="s">
        <v>42</v>
      </c>
      <c r="C368" s="7" t="s">
        <v>68</v>
      </c>
      <c r="D368" s="9" t="s">
        <v>45</v>
      </c>
      <c r="E368" s="9" t="s">
        <v>46</v>
      </c>
      <c r="F368" s="5" t="n">
        <v>60</v>
      </c>
      <c r="G368" s="10"/>
      <c r="H368" s="11" t="str">
        <f aca="false">IFERROR(IF($D368="Manual Review","",IF($G368="","",IF($D368="Direct Expiry",$G368,EDATE($G368,$F368)))),"Check Date")</f>
        <v/>
      </c>
      <c r="I368" s="12" t="str">
        <f aca="true">IF($H368="","",IF(ISNUMBER($H368),$H368-TODAY(),""))</f>
        <v/>
      </c>
      <c r="J368" s="4" t="str">
        <f aca="true">IF($D368="Manual Review","Manual Review",IF($G368="","No Data",IF(NOT(ISNUMBER($H368)),"N/A",IF($H368&lt;TODAY(),"Overdue",IF($H368&lt;=TODAY()+30,"Due within 1 Month",IF($H368&lt;=TODAY()+60,"Due within 2 Months","OK"))))))</f>
        <v>No Data</v>
      </c>
      <c r="K368" s="13"/>
    </row>
    <row r="369" customFormat="false" ht="15" hidden="false" customHeight="false" outlineLevel="0" collapsed="false">
      <c r="A369" s="9" t="str">
        <f aca="false">Vessels!B8</f>
        <v>Vessel 04</v>
      </c>
      <c r="B369" s="9" t="s">
        <v>42</v>
      </c>
      <c r="C369" s="7" t="s">
        <v>69</v>
      </c>
      <c r="D369" s="9" t="s">
        <v>45</v>
      </c>
      <c r="E369" s="9" t="s">
        <v>46</v>
      </c>
      <c r="F369" s="5" t="n">
        <v>60</v>
      </c>
      <c r="G369" s="10"/>
      <c r="H369" s="11" t="str">
        <f aca="false">IFERROR(IF($D369="Manual Review","",IF($G369="","",IF($D369="Direct Expiry",$G369,EDATE($G369,$F369)))),"Check Date")</f>
        <v/>
      </c>
      <c r="I369" s="12" t="str">
        <f aca="true">IF($H369="","",IF(ISNUMBER($H369),$H369-TODAY(),""))</f>
        <v/>
      </c>
      <c r="J369" s="4" t="str">
        <f aca="true">IF($D369="Manual Review","Manual Review",IF($G369="","No Data",IF(NOT(ISNUMBER($H369)),"N/A",IF($H369&lt;TODAY(),"Overdue",IF($H369&lt;=TODAY()+30,"Due within 1 Month",IF($H369&lt;=TODAY()+60,"Due within 2 Months","OK"))))))</f>
        <v>No Data</v>
      </c>
      <c r="K369" s="13"/>
    </row>
    <row r="370" customFormat="false" ht="15" hidden="false" customHeight="false" outlineLevel="0" collapsed="false">
      <c r="A370" s="9" t="str">
        <f aca="false">Vessels!B8</f>
        <v>Vessel 04</v>
      </c>
      <c r="B370" s="9" t="s">
        <v>42</v>
      </c>
      <c r="C370" s="7" t="s">
        <v>70</v>
      </c>
      <c r="D370" s="9" t="s">
        <v>59</v>
      </c>
      <c r="E370" s="9" t="s">
        <v>58</v>
      </c>
      <c r="F370" s="5"/>
      <c r="G370" s="10"/>
      <c r="H370" s="11" t="str">
        <f aca="false">IFERROR(IF($D370="Manual Review","",IF($G370="","",IF($D370="Direct Expiry",$G370,EDATE($G370,$F370)))),"Check Date")</f>
        <v/>
      </c>
      <c r="I370" s="12" t="str">
        <f aca="true">IF($H370="","",IF(ISNUMBER($H370),$H370-TODAY(),""))</f>
        <v/>
      </c>
      <c r="J370" s="4" t="str">
        <f aca="true">IF($D370="Manual Review","Manual Review",IF($G370="","No Data",IF(NOT(ISNUMBER($H370)),"N/A",IF($H370&lt;TODAY(),"Overdue",IF($H370&lt;=TODAY()+30,"Due within 1 Month",IF($H370&lt;=TODAY()+60,"Due within 2 Months","OK"))))))</f>
        <v>No Data</v>
      </c>
      <c r="K370" s="13"/>
    </row>
    <row r="371" customFormat="false" ht="15" hidden="false" customHeight="false" outlineLevel="0" collapsed="false">
      <c r="A371" s="9" t="str">
        <f aca="false">Vessels!B8</f>
        <v>Vessel 04</v>
      </c>
      <c r="B371" s="9" t="s">
        <v>42</v>
      </c>
      <c r="C371" s="7" t="s">
        <v>71</v>
      </c>
      <c r="D371" s="9" t="s">
        <v>45</v>
      </c>
      <c r="E371" s="9" t="s">
        <v>44</v>
      </c>
      <c r="F371" s="5" t="n">
        <v>12</v>
      </c>
      <c r="G371" s="10"/>
      <c r="H371" s="11" t="str">
        <f aca="false">IFERROR(IF($D371="Manual Review","",IF($G371="","",IF($D371="Direct Expiry",$G371,EDATE($G371,$F371)))),"Check Date")</f>
        <v/>
      </c>
      <c r="I371" s="12" t="str">
        <f aca="true">IF($H371="","",IF(ISNUMBER($H371),$H371-TODAY(),""))</f>
        <v/>
      </c>
      <c r="J371" s="4" t="str">
        <f aca="true">IF($D371="Manual Review","Manual Review",IF($G371="","No Data",IF(NOT(ISNUMBER($H371)),"N/A",IF($H371&lt;TODAY(),"Overdue",IF($H371&lt;=TODAY()+30,"Due within 1 Month",IF($H371&lt;=TODAY()+60,"Due within 2 Months","OK"))))))</f>
        <v>No Data</v>
      </c>
      <c r="K371" s="13"/>
    </row>
    <row r="372" customFormat="false" ht="15" hidden="false" customHeight="false" outlineLevel="0" collapsed="false">
      <c r="A372" s="9" t="str">
        <f aca="false">Vessels!B8</f>
        <v>Vessel 04</v>
      </c>
      <c r="B372" s="9" t="s">
        <v>42</v>
      </c>
      <c r="C372" s="7" t="s">
        <v>72</v>
      </c>
      <c r="D372" s="9" t="s">
        <v>59</v>
      </c>
      <c r="E372" s="9" t="s">
        <v>58</v>
      </c>
      <c r="F372" s="5"/>
      <c r="G372" s="10"/>
      <c r="H372" s="11" t="str">
        <f aca="false">IFERROR(IF($D372="Manual Review","",IF($G372="","",IF($D372="Direct Expiry",$G372,EDATE($G372,$F372)))),"Check Date")</f>
        <v/>
      </c>
      <c r="I372" s="12" t="str">
        <f aca="true">IF($H372="","",IF(ISNUMBER($H372),$H372-TODAY(),""))</f>
        <v/>
      </c>
      <c r="J372" s="4" t="str">
        <f aca="true">IF($D372="Manual Review","Manual Review",IF($G372="","No Data",IF(NOT(ISNUMBER($H372)),"N/A",IF($H372&lt;TODAY(),"Overdue",IF($H372&lt;=TODAY()+30,"Due within 1 Month",IF($H372&lt;=TODAY()+60,"Due within 2 Months","OK"))))))</f>
        <v>No Data</v>
      </c>
      <c r="K372" s="13"/>
    </row>
    <row r="373" customFormat="false" ht="15" hidden="false" customHeight="false" outlineLevel="0" collapsed="false">
      <c r="A373" s="9" t="str">
        <f aca="false">Vessels!B8</f>
        <v>Vessel 04</v>
      </c>
      <c r="B373" s="9" t="s">
        <v>42</v>
      </c>
      <c r="C373" s="7" t="s">
        <v>73</v>
      </c>
      <c r="D373" s="9" t="s">
        <v>45</v>
      </c>
      <c r="E373" s="9" t="s">
        <v>44</v>
      </c>
      <c r="F373" s="5" t="n">
        <v>12</v>
      </c>
      <c r="G373" s="10"/>
      <c r="H373" s="11" t="str">
        <f aca="false">IFERROR(IF($D373="Manual Review","",IF($G373="","",IF($D373="Direct Expiry",$G373,EDATE($G373,$F373)))),"Check Date")</f>
        <v/>
      </c>
      <c r="I373" s="12" t="str">
        <f aca="true">IF($H373="","",IF(ISNUMBER($H373),$H373-TODAY(),""))</f>
        <v/>
      </c>
      <c r="J373" s="4" t="str">
        <f aca="true">IF($D373="Manual Review","Manual Review",IF($G373="","No Data",IF(NOT(ISNUMBER($H373)),"N/A",IF($H373&lt;TODAY(),"Overdue",IF($H373&lt;=TODAY()+30,"Due within 1 Month",IF($H373&lt;=TODAY()+60,"Due within 2 Months","OK"))))))</f>
        <v>No Data</v>
      </c>
      <c r="K373" s="13"/>
    </row>
    <row r="374" customFormat="false" ht="15" hidden="false" customHeight="false" outlineLevel="0" collapsed="false">
      <c r="A374" s="9" t="str">
        <f aca="false">Vessels!B8</f>
        <v>Vessel 04</v>
      </c>
      <c r="B374" s="9" t="s">
        <v>42</v>
      </c>
      <c r="C374" s="7" t="s">
        <v>74</v>
      </c>
      <c r="D374" s="9" t="s">
        <v>59</v>
      </c>
      <c r="E374" s="9" t="s">
        <v>58</v>
      </c>
      <c r="F374" s="5"/>
      <c r="G374" s="10"/>
      <c r="H374" s="11" t="str">
        <f aca="false">IFERROR(IF($D374="Manual Review","",IF($G374="","",IF($D374="Direct Expiry",$G374,EDATE($G374,$F374)))),"Check Date")</f>
        <v/>
      </c>
      <c r="I374" s="12" t="str">
        <f aca="true">IF($H374="","",IF(ISNUMBER($H374),$H374-TODAY(),""))</f>
        <v/>
      </c>
      <c r="J374" s="4" t="str">
        <f aca="true">IF($D374="Manual Review","Manual Review",IF($G374="","No Data",IF(NOT(ISNUMBER($H374)),"N/A",IF($H374&lt;TODAY(),"Overdue",IF($H374&lt;=TODAY()+30,"Due within 1 Month",IF($H374&lt;=TODAY()+60,"Due within 2 Months","OK"))))))</f>
        <v>No Data</v>
      </c>
      <c r="K374" s="13"/>
    </row>
    <row r="375" customFormat="false" ht="15" hidden="false" customHeight="false" outlineLevel="0" collapsed="false">
      <c r="A375" s="9" t="str">
        <f aca="false">Vessels!B8</f>
        <v>Vessel 04</v>
      </c>
      <c r="B375" s="9" t="s">
        <v>42</v>
      </c>
      <c r="C375" s="7" t="s">
        <v>75</v>
      </c>
      <c r="D375" s="9" t="s">
        <v>45</v>
      </c>
      <c r="E375" s="9" t="s">
        <v>44</v>
      </c>
      <c r="F375" s="5" t="n">
        <v>12</v>
      </c>
      <c r="G375" s="10"/>
      <c r="H375" s="11" t="str">
        <f aca="false">IFERROR(IF($D375="Manual Review","",IF($G375="","",IF($D375="Direct Expiry",$G375,EDATE($G375,$F375)))),"Check Date")</f>
        <v/>
      </c>
      <c r="I375" s="12" t="str">
        <f aca="true">IF($H375="","",IF(ISNUMBER($H375),$H375-TODAY(),""))</f>
        <v/>
      </c>
      <c r="J375" s="4" t="str">
        <f aca="true">IF($D375="Manual Review","Manual Review",IF($G375="","No Data",IF(NOT(ISNUMBER($H375)),"N/A",IF($H375&lt;TODAY(),"Overdue",IF($H375&lt;=TODAY()+30,"Due within 1 Month",IF($H375&lt;=TODAY()+60,"Due within 2 Months","OK"))))))</f>
        <v>No Data</v>
      </c>
      <c r="K375" s="13"/>
    </row>
    <row r="376" customFormat="false" ht="15" hidden="false" customHeight="false" outlineLevel="0" collapsed="false">
      <c r="A376" s="9" t="str">
        <f aca="false">Vessels!B8</f>
        <v>Vessel 04</v>
      </c>
      <c r="B376" s="9" t="s">
        <v>42</v>
      </c>
      <c r="C376" s="7" t="s">
        <v>76</v>
      </c>
      <c r="D376" s="9" t="s">
        <v>59</v>
      </c>
      <c r="E376" s="9" t="s">
        <v>58</v>
      </c>
      <c r="F376" s="5"/>
      <c r="G376" s="10"/>
      <c r="H376" s="11" t="str">
        <f aca="false">IFERROR(IF($D376="Manual Review","",IF($G376="","",IF($D376="Direct Expiry",$G376,EDATE($G376,$F376)))),"Check Date")</f>
        <v/>
      </c>
      <c r="I376" s="12" t="str">
        <f aca="true">IF($H376="","",IF(ISNUMBER($H376),$H376-TODAY(),""))</f>
        <v/>
      </c>
      <c r="J376" s="4" t="str">
        <f aca="true">IF($D376="Manual Review","Manual Review",IF($G376="","No Data",IF(NOT(ISNUMBER($H376)),"N/A",IF($H376&lt;TODAY(),"Overdue",IF($H376&lt;=TODAY()+30,"Due within 1 Month",IF($H376&lt;=TODAY()+60,"Due within 2 Months","OK"))))))</f>
        <v>No Data</v>
      </c>
      <c r="K376" s="13"/>
    </row>
    <row r="377" customFormat="false" ht="15" hidden="false" customHeight="false" outlineLevel="0" collapsed="false">
      <c r="A377" s="9" t="str">
        <f aca="false">Vessels!B8</f>
        <v>Vessel 04</v>
      </c>
      <c r="B377" s="9" t="s">
        <v>42</v>
      </c>
      <c r="C377" s="7" t="s">
        <v>77</v>
      </c>
      <c r="D377" s="9" t="s">
        <v>59</v>
      </c>
      <c r="E377" s="9" t="s">
        <v>58</v>
      </c>
      <c r="F377" s="5"/>
      <c r="G377" s="10"/>
      <c r="H377" s="11" t="str">
        <f aca="false">IFERROR(IF($D377="Manual Review","",IF($G377="","",IF($D377="Direct Expiry",$G377,EDATE($G377,$F377)))),"Check Date")</f>
        <v/>
      </c>
      <c r="I377" s="12" t="str">
        <f aca="true">IF($H377="","",IF(ISNUMBER($H377),$H377-TODAY(),""))</f>
        <v/>
      </c>
      <c r="J377" s="4" t="str">
        <f aca="true">IF($D377="Manual Review","Manual Review",IF($G377="","No Data",IF(NOT(ISNUMBER($H377)),"N/A",IF($H377&lt;TODAY(),"Overdue",IF($H377&lt;=TODAY()+30,"Due within 1 Month",IF($H377&lt;=TODAY()+60,"Due within 2 Months","OK"))))))</f>
        <v>No Data</v>
      </c>
      <c r="K377" s="13"/>
    </row>
    <row r="378" customFormat="false" ht="15" hidden="false" customHeight="false" outlineLevel="0" collapsed="false">
      <c r="A378" s="9" t="str">
        <f aca="false">Vessels!B8</f>
        <v>Vessel 04</v>
      </c>
      <c r="B378" s="9" t="s">
        <v>42</v>
      </c>
      <c r="C378" s="7" t="s">
        <v>78</v>
      </c>
      <c r="D378" s="9" t="s">
        <v>59</v>
      </c>
      <c r="E378" s="9" t="s">
        <v>58</v>
      </c>
      <c r="F378" s="5"/>
      <c r="G378" s="10"/>
      <c r="H378" s="11" t="str">
        <f aca="false">IFERROR(IF($D378="Manual Review","",IF($G378="","",IF($D378="Direct Expiry",$G378,EDATE($G378,$F378)))),"Check Date")</f>
        <v/>
      </c>
      <c r="I378" s="12" t="str">
        <f aca="true">IF($H378="","",IF(ISNUMBER($H378),$H378-TODAY(),""))</f>
        <v/>
      </c>
      <c r="J378" s="4" t="str">
        <f aca="true">IF($D378="Manual Review","Manual Review",IF($G378="","No Data",IF(NOT(ISNUMBER($H378)),"N/A",IF($H378&lt;TODAY(),"Overdue",IF($H378&lt;=TODAY()+30,"Due within 1 Month",IF($H378&lt;=TODAY()+60,"Due within 2 Months","OK"))))))</f>
        <v>No Data</v>
      </c>
      <c r="K378" s="13"/>
    </row>
    <row r="379" customFormat="false" ht="15" hidden="false" customHeight="false" outlineLevel="0" collapsed="false">
      <c r="A379" s="9" t="str">
        <f aca="false">Vessels!B8</f>
        <v>Vessel 04</v>
      </c>
      <c r="B379" s="9" t="s">
        <v>42</v>
      </c>
      <c r="C379" s="7" t="s">
        <v>79</v>
      </c>
      <c r="D379" s="9" t="s">
        <v>45</v>
      </c>
      <c r="E379" s="9" t="s">
        <v>44</v>
      </c>
      <c r="F379" s="5" t="n">
        <v>12</v>
      </c>
      <c r="G379" s="10"/>
      <c r="H379" s="11" t="str">
        <f aca="false">IFERROR(IF($D379="Manual Review","",IF($G379="","",IF($D379="Direct Expiry",$G379,EDATE($G379,$F379)))),"Check Date")</f>
        <v/>
      </c>
      <c r="I379" s="12" t="str">
        <f aca="true">IF($H379="","",IF(ISNUMBER($H379),$H379-TODAY(),""))</f>
        <v/>
      </c>
      <c r="J379" s="4" t="str">
        <f aca="true">IF($D379="Manual Review","Manual Review",IF($G379="","No Data",IF(NOT(ISNUMBER($H379)),"N/A",IF($H379&lt;TODAY(),"Overdue",IF($H379&lt;=TODAY()+30,"Due within 1 Month",IF($H379&lt;=TODAY()+60,"Due within 2 Months","OK"))))))</f>
        <v>No Data</v>
      </c>
      <c r="K379" s="13"/>
    </row>
    <row r="380" customFormat="false" ht="15" hidden="false" customHeight="false" outlineLevel="0" collapsed="false">
      <c r="A380" s="9" t="str">
        <f aca="false">Vessels!B8</f>
        <v>Vessel 04</v>
      </c>
      <c r="B380" s="9" t="s">
        <v>42</v>
      </c>
      <c r="C380" s="7" t="s">
        <v>80</v>
      </c>
      <c r="D380" s="9" t="s">
        <v>45</v>
      </c>
      <c r="E380" s="9" t="s">
        <v>81</v>
      </c>
      <c r="F380" s="5" t="n">
        <v>36</v>
      </c>
      <c r="G380" s="10"/>
      <c r="H380" s="11" t="str">
        <f aca="false">IFERROR(IF($D380="Manual Review","",IF($G380="","",IF($D380="Direct Expiry",$G380,EDATE($G380,$F380)))),"Check Date")</f>
        <v/>
      </c>
      <c r="I380" s="12" t="str">
        <f aca="true">IF($H380="","",IF(ISNUMBER($H380),$H380-TODAY(),""))</f>
        <v/>
      </c>
      <c r="J380" s="4" t="str">
        <f aca="true">IF($D380="Manual Review","Manual Review",IF($G380="","No Data",IF(NOT(ISNUMBER($H380)),"N/A",IF($H380&lt;TODAY(),"Overdue",IF($H380&lt;=TODAY()+30,"Due within 1 Month",IF($H380&lt;=TODAY()+60,"Due within 2 Months","OK"))))))</f>
        <v>No Data</v>
      </c>
      <c r="K380" s="13"/>
    </row>
    <row r="381" customFormat="false" ht="15" hidden="false" customHeight="false" outlineLevel="0" collapsed="false">
      <c r="A381" s="9" t="str">
        <f aca="false">Vessels!B8</f>
        <v>Vessel 04</v>
      </c>
      <c r="B381" s="9" t="s">
        <v>42</v>
      </c>
      <c r="C381" s="7" t="s">
        <v>80</v>
      </c>
      <c r="D381" s="9" t="s">
        <v>45</v>
      </c>
      <c r="E381" s="9" t="s">
        <v>82</v>
      </c>
      <c r="F381" s="5" t="n">
        <v>24</v>
      </c>
      <c r="G381" s="10"/>
      <c r="H381" s="11" t="str">
        <f aca="false">IFERROR(IF($D381="Manual Review","",IF($G381="","",IF($D381="Direct Expiry",$G381,EDATE($G381,$F381)))),"Check Date")</f>
        <v/>
      </c>
      <c r="I381" s="12" t="str">
        <f aca="true">IF($H381="","",IF(ISNUMBER($H381),$H381-TODAY(),""))</f>
        <v/>
      </c>
      <c r="J381" s="4" t="str">
        <f aca="true">IF($D381="Manual Review","Manual Review",IF($G381="","No Data",IF(NOT(ISNUMBER($H381)),"N/A",IF($H381&lt;TODAY(),"Overdue",IF($H381&lt;=TODAY()+30,"Due within 1 Month",IF($H381&lt;=TODAY()+60,"Due within 2 Months","OK"))))))</f>
        <v>No Data</v>
      </c>
      <c r="K381" s="13"/>
    </row>
    <row r="382" customFormat="false" ht="15" hidden="false" customHeight="false" outlineLevel="0" collapsed="false">
      <c r="A382" s="9" t="str">
        <f aca="false">Vessels!B8</f>
        <v>Vessel 04</v>
      </c>
      <c r="B382" s="9" t="s">
        <v>42</v>
      </c>
      <c r="C382" s="7" t="s">
        <v>83</v>
      </c>
      <c r="D382" s="9" t="s">
        <v>45</v>
      </c>
      <c r="E382" s="9" t="s">
        <v>44</v>
      </c>
      <c r="F382" s="5" t="n">
        <v>12</v>
      </c>
      <c r="G382" s="10"/>
      <c r="H382" s="11" t="str">
        <f aca="false">IFERROR(IF($D382="Manual Review","",IF($G382="","",IF($D382="Direct Expiry",$G382,EDATE($G382,$F382)))),"Check Date")</f>
        <v/>
      </c>
      <c r="I382" s="12" t="str">
        <f aca="true">IF($H382="","",IF(ISNUMBER($H382),$H382-TODAY(),""))</f>
        <v/>
      </c>
      <c r="J382" s="4" t="str">
        <f aca="true">IF($D382="Manual Review","Manual Review",IF($G382="","No Data",IF(NOT(ISNUMBER($H382)),"N/A",IF($H382&lt;TODAY(),"Overdue",IF($H382&lt;=TODAY()+30,"Due within 1 Month",IF($H382&lt;=TODAY()+60,"Due within 2 Months","OK"))))))</f>
        <v>No Data</v>
      </c>
      <c r="K382" s="13"/>
    </row>
    <row r="383" customFormat="false" ht="15" hidden="false" customHeight="false" outlineLevel="0" collapsed="false">
      <c r="A383" s="9" t="str">
        <f aca="false">Vessels!B8</f>
        <v>Vessel 04</v>
      </c>
      <c r="B383" s="9" t="s">
        <v>42</v>
      </c>
      <c r="C383" s="7" t="s">
        <v>83</v>
      </c>
      <c r="D383" s="9" t="s">
        <v>45</v>
      </c>
      <c r="E383" s="9" t="s">
        <v>84</v>
      </c>
      <c r="F383" s="5" t="n">
        <v>60</v>
      </c>
      <c r="G383" s="10"/>
      <c r="H383" s="11" t="str">
        <f aca="false">IFERROR(IF($D383="Manual Review","",IF($G383="","",IF($D383="Direct Expiry",$G383,EDATE($G383,$F383)))),"Check Date")</f>
        <v/>
      </c>
      <c r="I383" s="12" t="str">
        <f aca="true">IF($H383="","",IF(ISNUMBER($H383),$H383-TODAY(),""))</f>
        <v/>
      </c>
      <c r="J383" s="4" t="str">
        <f aca="true">IF($D383="Manual Review","Manual Review",IF($G383="","No Data",IF(NOT(ISNUMBER($H383)),"N/A",IF($H383&lt;TODAY(),"Overdue",IF($H383&lt;=TODAY()+30,"Due within 1 Month",IF($H383&lt;=TODAY()+60,"Due within 2 Months","OK"))))))</f>
        <v>No Data</v>
      </c>
      <c r="K383" s="13"/>
    </row>
    <row r="384" customFormat="false" ht="15" hidden="false" customHeight="false" outlineLevel="0" collapsed="false">
      <c r="A384" s="9" t="str">
        <f aca="false">Vessels!B8</f>
        <v>Vessel 04</v>
      </c>
      <c r="B384" s="9" t="s">
        <v>42</v>
      </c>
      <c r="C384" s="7" t="s">
        <v>85</v>
      </c>
      <c r="D384" s="9" t="s">
        <v>45</v>
      </c>
      <c r="E384" s="9" t="s">
        <v>44</v>
      </c>
      <c r="F384" s="5" t="n">
        <v>12</v>
      </c>
      <c r="G384" s="10"/>
      <c r="H384" s="11" t="str">
        <f aca="false">IFERROR(IF($D384="Manual Review","",IF($G384="","",IF($D384="Direct Expiry",$G384,EDATE($G384,$F384)))),"Check Date")</f>
        <v/>
      </c>
      <c r="I384" s="12" t="str">
        <f aca="true">IF($H384="","",IF(ISNUMBER($H384),$H384-TODAY(),""))</f>
        <v/>
      </c>
      <c r="J384" s="4" t="str">
        <f aca="true">IF($D384="Manual Review","Manual Review",IF($G384="","No Data",IF(NOT(ISNUMBER($H384)),"N/A",IF($H384&lt;TODAY(),"Overdue",IF($H384&lt;=TODAY()+30,"Due within 1 Month",IF($H384&lt;=TODAY()+60,"Due within 2 Months","OK"))))))</f>
        <v>No Data</v>
      </c>
      <c r="K384" s="13"/>
    </row>
    <row r="385" customFormat="false" ht="15" hidden="false" customHeight="false" outlineLevel="0" collapsed="false">
      <c r="A385" s="9" t="str">
        <f aca="false">Vessels!B8</f>
        <v>Vessel 04</v>
      </c>
      <c r="B385" s="9" t="s">
        <v>42</v>
      </c>
      <c r="C385" s="7" t="s">
        <v>85</v>
      </c>
      <c r="D385" s="9" t="s">
        <v>45</v>
      </c>
      <c r="E385" s="9" t="s">
        <v>84</v>
      </c>
      <c r="F385" s="5" t="n">
        <v>60</v>
      </c>
      <c r="G385" s="10"/>
      <c r="H385" s="11" t="str">
        <f aca="false">IFERROR(IF($D385="Manual Review","",IF($G385="","",IF($D385="Direct Expiry",$G385,EDATE($G385,$F385)))),"Check Date")</f>
        <v/>
      </c>
      <c r="I385" s="12" t="str">
        <f aca="true">IF($H385="","",IF(ISNUMBER($H385),$H385-TODAY(),""))</f>
        <v/>
      </c>
      <c r="J385" s="4" t="str">
        <f aca="true">IF($D385="Manual Review","Manual Review",IF($G385="","No Data",IF(NOT(ISNUMBER($H385)),"N/A",IF($H385&lt;TODAY(),"Overdue",IF($H385&lt;=TODAY()+30,"Due within 1 Month",IF($H385&lt;=TODAY()+60,"Due within 2 Months","OK"))))))</f>
        <v>No Data</v>
      </c>
      <c r="K385" s="13"/>
    </row>
    <row r="386" customFormat="false" ht="15" hidden="false" customHeight="false" outlineLevel="0" collapsed="false">
      <c r="A386" s="9" t="str">
        <f aca="false">Vessels!B8</f>
        <v>Vessel 04</v>
      </c>
      <c r="B386" s="9" t="s">
        <v>42</v>
      </c>
      <c r="C386" s="7" t="s">
        <v>86</v>
      </c>
      <c r="D386" s="9" t="s">
        <v>45</v>
      </c>
      <c r="E386" s="9" t="s">
        <v>44</v>
      </c>
      <c r="F386" s="5" t="n">
        <v>12</v>
      </c>
      <c r="G386" s="10"/>
      <c r="H386" s="11" t="str">
        <f aca="false">IFERROR(IF($D386="Manual Review","",IF($G386="","",IF($D386="Direct Expiry",$G386,EDATE($G386,$F386)))),"Check Date")</f>
        <v/>
      </c>
      <c r="I386" s="12" t="str">
        <f aca="true">IF($H386="","",IF(ISNUMBER($H386),$H386-TODAY(),""))</f>
        <v/>
      </c>
      <c r="J386" s="4" t="str">
        <f aca="true">IF($D386="Manual Review","Manual Review",IF($G386="","No Data",IF(NOT(ISNUMBER($H386)),"N/A",IF($H386&lt;TODAY(),"Overdue",IF($H386&lt;=TODAY()+30,"Due within 1 Month",IF($H386&lt;=TODAY()+60,"Due within 2 Months","OK"))))))</f>
        <v>No Data</v>
      </c>
      <c r="K386" s="13"/>
    </row>
    <row r="387" customFormat="false" ht="15" hidden="false" customHeight="false" outlineLevel="0" collapsed="false">
      <c r="A387" s="9" t="str">
        <f aca="false">Vessels!B8</f>
        <v>Vessel 04</v>
      </c>
      <c r="B387" s="9" t="s">
        <v>42</v>
      </c>
      <c r="C387" s="7" t="s">
        <v>87</v>
      </c>
      <c r="D387" s="9" t="s">
        <v>45</v>
      </c>
      <c r="E387" s="9" t="s">
        <v>44</v>
      </c>
      <c r="F387" s="5" t="n">
        <v>12</v>
      </c>
      <c r="G387" s="10"/>
      <c r="H387" s="11" t="str">
        <f aca="false">IFERROR(IF($D387="Manual Review","",IF($G387="","",IF($D387="Direct Expiry",$G387,EDATE($G387,$F387)))),"Check Date")</f>
        <v/>
      </c>
      <c r="I387" s="12" t="str">
        <f aca="true">IF($H387="","",IF(ISNUMBER($H387),$H387-TODAY(),""))</f>
        <v/>
      </c>
      <c r="J387" s="4" t="str">
        <f aca="true">IF($D387="Manual Review","Manual Review",IF($G387="","No Data",IF(NOT(ISNUMBER($H387)),"N/A",IF($H387&lt;TODAY(),"Overdue",IF($H387&lt;=TODAY()+30,"Due within 1 Month",IF($H387&lt;=TODAY()+60,"Due within 2 Months","OK"))))))</f>
        <v>No Data</v>
      </c>
      <c r="K387" s="13"/>
    </row>
    <row r="388" customFormat="false" ht="15" hidden="false" customHeight="false" outlineLevel="0" collapsed="false">
      <c r="A388" s="9" t="str">
        <f aca="false">Vessels!B8</f>
        <v>Vessel 04</v>
      </c>
      <c r="B388" s="9" t="s">
        <v>88</v>
      </c>
      <c r="C388" s="7" t="s">
        <v>89</v>
      </c>
      <c r="D388" s="9" t="s">
        <v>45</v>
      </c>
      <c r="E388" s="9" t="s">
        <v>90</v>
      </c>
      <c r="F388" s="5" t="n">
        <v>36</v>
      </c>
      <c r="G388" s="10"/>
      <c r="H388" s="11" t="str">
        <f aca="false">IFERROR(IF($D388="Manual Review","",IF($G388="","",IF($D388="Direct Expiry",$G388,EDATE($G388,$F388)))),"Check Date")</f>
        <v/>
      </c>
      <c r="I388" s="12" t="str">
        <f aca="true">IF($H388="","",IF(ISNUMBER($H388),$H388-TODAY(),""))</f>
        <v/>
      </c>
      <c r="J388" s="4" t="str">
        <f aca="true">IF($D388="Manual Review","Manual Review",IF($G388="","No Data",IF(NOT(ISNUMBER($H388)),"N/A",IF($H388&lt;TODAY(),"Overdue",IF($H388&lt;=TODAY()+30,"Due within 1 Month",IF($H388&lt;=TODAY()+60,"Due within 2 Months","OK"))))))</f>
        <v>No Data</v>
      </c>
      <c r="K388" s="13"/>
    </row>
    <row r="389" customFormat="false" ht="15" hidden="false" customHeight="false" outlineLevel="0" collapsed="false">
      <c r="A389" s="9" t="str">
        <f aca="false">Vessels!B8</f>
        <v>Vessel 04</v>
      </c>
      <c r="B389" s="9" t="s">
        <v>88</v>
      </c>
      <c r="C389" s="7" t="s">
        <v>91</v>
      </c>
      <c r="D389" s="9" t="s">
        <v>45</v>
      </c>
      <c r="E389" s="9" t="s">
        <v>44</v>
      </c>
      <c r="F389" s="5" t="n">
        <v>12</v>
      </c>
      <c r="G389" s="10"/>
      <c r="H389" s="11" t="str">
        <f aca="false">IFERROR(IF($D389="Manual Review","",IF($G389="","",IF($D389="Direct Expiry",$G389,EDATE($G389,$F389)))),"Check Date")</f>
        <v/>
      </c>
      <c r="I389" s="12" t="str">
        <f aca="true">IF($H389="","",IF(ISNUMBER($H389),$H389-TODAY(),""))</f>
        <v/>
      </c>
      <c r="J389" s="4" t="str">
        <f aca="true">IF($D389="Manual Review","Manual Review",IF($G389="","No Data",IF(NOT(ISNUMBER($H389)),"N/A",IF($H389&lt;TODAY(),"Overdue",IF($H389&lt;=TODAY()+30,"Due within 1 Month",IF($H389&lt;=TODAY()+60,"Due within 2 Months","OK"))))))</f>
        <v>No Data</v>
      </c>
      <c r="K389" s="13"/>
    </row>
    <row r="390" customFormat="false" ht="15" hidden="false" customHeight="false" outlineLevel="0" collapsed="false">
      <c r="A390" s="9" t="str">
        <f aca="false">Vessels!B8</f>
        <v>Vessel 04</v>
      </c>
      <c r="B390" s="9" t="s">
        <v>88</v>
      </c>
      <c r="C390" s="7" t="s">
        <v>91</v>
      </c>
      <c r="D390" s="9" t="s">
        <v>45</v>
      </c>
      <c r="E390" s="9" t="s">
        <v>92</v>
      </c>
      <c r="F390" s="5" t="n">
        <v>120</v>
      </c>
      <c r="G390" s="10"/>
      <c r="H390" s="11" t="str">
        <f aca="false">IFERROR(IF($D390="Manual Review","",IF($G390="","",IF($D390="Direct Expiry",$G390,EDATE($G390,$F390)))),"Check Date")</f>
        <v/>
      </c>
      <c r="I390" s="12" t="str">
        <f aca="true">IF($H390="","",IF(ISNUMBER($H390),$H390-TODAY(),""))</f>
        <v/>
      </c>
      <c r="J390" s="4" t="str">
        <f aca="true">IF($D390="Manual Review","Manual Review",IF($G390="","No Data",IF(NOT(ISNUMBER($H390)),"N/A",IF($H390&lt;TODAY(),"Overdue",IF($H390&lt;=TODAY()+30,"Due within 1 Month",IF($H390&lt;=TODAY()+60,"Due within 2 Months","OK"))))))</f>
        <v>No Data</v>
      </c>
      <c r="K390" s="13"/>
    </row>
    <row r="391" customFormat="false" ht="15" hidden="false" customHeight="false" outlineLevel="0" collapsed="false">
      <c r="A391" s="9" t="str">
        <f aca="false">Vessels!B8</f>
        <v>Vessel 04</v>
      </c>
      <c r="B391" s="9" t="s">
        <v>88</v>
      </c>
      <c r="C391" s="7" t="s">
        <v>93</v>
      </c>
      <c r="D391" s="9" t="s">
        <v>45</v>
      </c>
      <c r="E391" s="9" t="s">
        <v>44</v>
      </c>
      <c r="F391" s="5" t="n">
        <v>12</v>
      </c>
      <c r="G391" s="10"/>
      <c r="H391" s="11" t="str">
        <f aca="false">IFERROR(IF($D391="Manual Review","",IF($G391="","",IF($D391="Direct Expiry",$G391,EDATE($G391,$F391)))),"Check Date")</f>
        <v/>
      </c>
      <c r="I391" s="12" t="str">
        <f aca="true">IF($H391="","",IF(ISNUMBER($H391),$H391-TODAY(),""))</f>
        <v/>
      </c>
      <c r="J391" s="4" t="str">
        <f aca="true">IF($D391="Manual Review","Manual Review",IF($G391="","No Data",IF(NOT(ISNUMBER($H391)),"N/A",IF($H391&lt;TODAY(),"Overdue",IF($H391&lt;=TODAY()+30,"Due within 1 Month",IF($H391&lt;=TODAY()+60,"Due within 2 Months","OK"))))))</f>
        <v>No Data</v>
      </c>
      <c r="K391" s="13"/>
    </row>
    <row r="392" customFormat="false" ht="15" hidden="false" customHeight="false" outlineLevel="0" collapsed="false">
      <c r="A392" s="9" t="str">
        <f aca="false">Vessels!B8</f>
        <v>Vessel 04</v>
      </c>
      <c r="B392" s="9" t="s">
        <v>88</v>
      </c>
      <c r="C392" s="7" t="s">
        <v>93</v>
      </c>
      <c r="D392" s="9" t="s">
        <v>45</v>
      </c>
      <c r="E392" s="9" t="s">
        <v>92</v>
      </c>
      <c r="F392" s="5" t="n">
        <v>120</v>
      </c>
      <c r="G392" s="10"/>
      <c r="H392" s="11" t="str">
        <f aca="false">IFERROR(IF($D392="Manual Review","",IF($G392="","",IF($D392="Direct Expiry",$G392,EDATE($G392,$F392)))),"Check Date")</f>
        <v/>
      </c>
      <c r="I392" s="12" t="str">
        <f aca="true">IF($H392="","",IF(ISNUMBER($H392),$H392-TODAY(),""))</f>
        <v/>
      </c>
      <c r="J392" s="4" t="str">
        <f aca="true">IF($D392="Manual Review","Manual Review",IF($G392="","No Data",IF(NOT(ISNUMBER($H392)),"N/A",IF($H392&lt;TODAY(),"Overdue",IF($H392&lt;=TODAY()+30,"Due within 1 Month",IF($H392&lt;=TODAY()+60,"Due within 2 Months","OK"))))))</f>
        <v>No Data</v>
      </c>
      <c r="K392" s="13"/>
    </row>
    <row r="393" customFormat="false" ht="15" hidden="false" customHeight="false" outlineLevel="0" collapsed="false">
      <c r="A393" s="9" t="str">
        <f aca="false">Vessels!B8</f>
        <v>Vessel 04</v>
      </c>
      <c r="B393" s="9" t="s">
        <v>88</v>
      </c>
      <c r="C393" s="7" t="s">
        <v>94</v>
      </c>
      <c r="D393" s="9" t="s">
        <v>45</v>
      </c>
      <c r="E393" s="9" t="s">
        <v>44</v>
      </c>
      <c r="F393" s="5" t="n">
        <v>12</v>
      </c>
      <c r="G393" s="10"/>
      <c r="H393" s="11" t="str">
        <f aca="false">IFERROR(IF($D393="Manual Review","",IF($G393="","",IF($D393="Direct Expiry",$G393,EDATE($G393,$F393)))),"Check Date")</f>
        <v/>
      </c>
      <c r="I393" s="12" t="str">
        <f aca="true">IF($H393="","",IF(ISNUMBER($H393),$H393-TODAY(),""))</f>
        <v/>
      </c>
      <c r="J393" s="4" t="str">
        <f aca="true">IF($D393="Manual Review","Manual Review",IF($G393="","No Data",IF(NOT(ISNUMBER($H393)),"N/A",IF($H393&lt;TODAY(),"Overdue",IF($H393&lt;=TODAY()+30,"Due within 1 Month",IF($H393&lt;=TODAY()+60,"Due within 2 Months","OK"))))))</f>
        <v>No Data</v>
      </c>
      <c r="K393" s="13"/>
    </row>
    <row r="394" customFormat="false" ht="15" hidden="false" customHeight="false" outlineLevel="0" collapsed="false">
      <c r="A394" s="9" t="str">
        <f aca="false">Vessels!B8</f>
        <v>Vessel 04</v>
      </c>
      <c r="B394" s="9" t="s">
        <v>88</v>
      </c>
      <c r="C394" s="7" t="s">
        <v>94</v>
      </c>
      <c r="D394" s="9" t="s">
        <v>45</v>
      </c>
      <c r="E394" s="9" t="s">
        <v>92</v>
      </c>
      <c r="F394" s="5" t="n">
        <v>120</v>
      </c>
      <c r="G394" s="10"/>
      <c r="H394" s="11" t="str">
        <f aca="false">IFERROR(IF($D394="Manual Review","",IF($G394="","",IF($D394="Direct Expiry",$G394,EDATE($G394,$F394)))),"Check Date")</f>
        <v/>
      </c>
      <c r="I394" s="12" t="str">
        <f aca="true">IF($H394="","",IF(ISNUMBER($H394),$H394-TODAY(),""))</f>
        <v/>
      </c>
      <c r="J394" s="4" t="str">
        <f aca="true">IF($D394="Manual Review","Manual Review",IF($G394="","No Data",IF(NOT(ISNUMBER($H394)),"N/A",IF($H394&lt;TODAY(),"Overdue",IF($H394&lt;=TODAY()+30,"Due within 1 Month",IF($H394&lt;=TODAY()+60,"Due within 2 Months","OK"))))))</f>
        <v>No Data</v>
      </c>
      <c r="K394" s="13"/>
    </row>
    <row r="395" customFormat="false" ht="15" hidden="false" customHeight="false" outlineLevel="0" collapsed="false">
      <c r="A395" s="9" t="str">
        <f aca="false">Vessels!B8</f>
        <v>Vessel 04</v>
      </c>
      <c r="B395" s="9" t="s">
        <v>88</v>
      </c>
      <c r="C395" s="7" t="s">
        <v>95</v>
      </c>
      <c r="D395" s="9" t="s">
        <v>45</v>
      </c>
      <c r="E395" s="9" t="s">
        <v>44</v>
      </c>
      <c r="F395" s="5" t="n">
        <v>12</v>
      </c>
      <c r="G395" s="10"/>
      <c r="H395" s="11" t="str">
        <f aca="false">IFERROR(IF($D395="Manual Review","",IF($G395="","",IF($D395="Direct Expiry",$G395,EDATE($G395,$F395)))),"Check Date")</f>
        <v/>
      </c>
      <c r="I395" s="12" t="str">
        <f aca="true">IF($H395="","",IF(ISNUMBER($H395),$H395-TODAY(),""))</f>
        <v/>
      </c>
      <c r="J395" s="4" t="str">
        <f aca="true">IF($D395="Manual Review","Manual Review",IF($G395="","No Data",IF(NOT(ISNUMBER($H395)),"N/A",IF($H395&lt;TODAY(),"Overdue",IF($H395&lt;=TODAY()+30,"Due within 1 Month",IF($H395&lt;=TODAY()+60,"Due within 2 Months","OK"))))))</f>
        <v>No Data</v>
      </c>
      <c r="K395" s="13"/>
    </row>
    <row r="396" customFormat="false" ht="15" hidden="false" customHeight="false" outlineLevel="0" collapsed="false">
      <c r="A396" s="9" t="str">
        <f aca="false">Vessels!B8</f>
        <v>Vessel 04</v>
      </c>
      <c r="B396" s="9" t="s">
        <v>88</v>
      </c>
      <c r="C396" s="7" t="s">
        <v>95</v>
      </c>
      <c r="D396" s="9" t="s">
        <v>45</v>
      </c>
      <c r="E396" s="9" t="s">
        <v>92</v>
      </c>
      <c r="F396" s="5" t="n">
        <v>120</v>
      </c>
      <c r="G396" s="10"/>
      <c r="H396" s="11" t="str">
        <f aca="false">IFERROR(IF($D396="Manual Review","",IF($G396="","",IF($D396="Direct Expiry",$G396,EDATE($G396,$F396)))),"Check Date")</f>
        <v/>
      </c>
      <c r="I396" s="12" t="str">
        <f aca="true">IF($H396="","",IF(ISNUMBER($H396),$H396-TODAY(),""))</f>
        <v/>
      </c>
      <c r="J396" s="4" t="str">
        <f aca="true">IF($D396="Manual Review","Manual Review",IF($G396="","No Data",IF(NOT(ISNUMBER($H396)),"N/A",IF($H396&lt;TODAY(),"Overdue",IF($H396&lt;=TODAY()+30,"Due within 1 Month",IF($H396&lt;=TODAY()+60,"Due within 2 Months","OK"))))))</f>
        <v>No Data</v>
      </c>
      <c r="K396" s="13"/>
    </row>
    <row r="397" customFormat="false" ht="15" hidden="false" customHeight="false" outlineLevel="0" collapsed="false">
      <c r="A397" s="9" t="str">
        <f aca="false">Vessels!B8</f>
        <v>Vessel 04</v>
      </c>
      <c r="B397" s="9" t="s">
        <v>88</v>
      </c>
      <c r="C397" s="7" t="s">
        <v>96</v>
      </c>
      <c r="D397" s="9" t="s">
        <v>45</v>
      </c>
      <c r="E397" s="9" t="s">
        <v>44</v>
      </c>
      <c r="F397" s="5" t="n">
        <v>12</v>
      </c>
      <c r="G397" s="10"/>
      <c r="H397" s="11" t="str">
        <f aca="false">IFERROR(IF($D397="Manual Review","",IF($G397="","",IF($D397="Direct Expiry",$G397,EDATE($G397,$F397)))),"Check Date")</f>
        <v/>
      </c>
      <c r="I397" s="12" t="str">
        <f aca="true">IF($H397="","",IF(ISNUMBER($H397),$H397-TODAY(),""))</f>
        <v/>
      </c>
      <c r="J397" s="4" t="str">
        <f aca="true">IF($D397="Manual Review","Manual Review",IF($G397="","No Data",IF(NOT(ISNUMBER($H397)),"N/A",IF($H397&lt;TODAY(),"Overdue",IF($H397&lt;=TODAY()+30,"Due within 1 Month",IF($H397&lt;=TODAY()+60,"Due within 2 Months","OK"))))))</f>
        <v>No Data</v>
      </c>
      <c r="K397" s="13"/>
    </row>
    <row r="398" customFormat="false" ht="15" hidden="false" customHeight="false" outlineLevel="0" collapsed="false">
      <c r="A398" s="9" t="str">
        <f aca="false">Vessels!B8</f>
        <v>Vessel 04</v>
      </c>
      <c r="B398" s="9" t="s">
        <v>88</v>
      </c>
      <c r="C398" s="7" t="s">
        <v>96</v>
      </c>
      <c r="D398" s="9" t="s">
        <v>45</v>
      </c>
      <c r="E398" s="9" t="s">
        <v>97</v>
      </c>
      <c r="F398" s="5" t="n">
        <v>120</v>
      </c>
      <c r="G398" s="10"/>
      <c r="H398" s="11" t="str">
        <f aca="false">IFERROR(IF($D398="Manual Review","",IF($G398="","",IF($D398="Direct Expiry",$G398,EDATE($G398,$F398)))),"Check Date")</f>
        <v/>
      </c>
      <c r="I398" s="12" t="str">
        <f aca="true">IF($H398="","",IF(ISNUMBER($H398),$H398-TODAY(),""))</f>
        <v/>
      </c>
      <c r="J398" s="4" t="str">
        <f aca="true">IF($D398="Manual Review","Manual Review",IF($G398="","No Data",IF(NOT(ISNUMBER($H398)),"N/A",IF($H398&lt;TODAY(),"Overdue",IF($H398&lt;=TODAY()+30,"Due within 1 Month",IF($H398&lt;=TODAY()+60,"Due within 2 Months","OK"))))))</f>
        <v>No Data</v>
      </c>
      <c r="K398" s="13"/>
    </row>
    <row r="399" customFormat="false" ht="15" hidden="false" customHeight="false" outlineLevel="0" collapsed="false">
      <c r="A399" s="9" t="str">
        <f aca="false">Vessels!B8</f>
        <v>Vessel 04</v>
      </c>
      <c r="B399" s="9" t="s">
        <v>88</v>
      </c>
      <c r="C399" s="7" t="s">
        <v>98</v>
      </c>
      <c r="D399" s="9" t="s">
        <v>45</v>
      </c>
      <c r="E399" s="9" t="s">
        <v>44</v>
      </c>
      <c r="F399" s="5" t="n">
        <v>12</v>
      </c>
      <c r="G399" s="10"/>
      <c r="H399" s="11" t="str">
        <f aca="false">IFERROR(IF($D399="Manual Review","",IF($G399="","",IF($D399="Direct Expiry",$G399,EDATE($G399,$F399)))),"Check Date")</f>
        <v/>
      </c>
      <c r="I399" s="12" t="str">
        <f aca="true">IF($H399="","",IF(ISNUMBER($H399),$H399-TODAY(),""))</f>
        <v/>
      </c>
      <c r="J399" s="4" t="str">
        <f aca="true">IF($D399="Manual Review","Manual Review",IF($G399="","No Data",IF(NOT(ISNUMBER($H399)),"N/A",IF($H399&lt;TODAY(),"Overdue",IF($H399&lt;=TODAY()+30,"Due within 1 Month",IF($H399&lt;=TODAY()+60,"Due within 2 Months","OK"))))))</f>
        <v>No Data</v>
      </c>
      <c r="K399" s="13"/>
    </row>
    <row r="400" customFormat="false" ht="15" hidden="false" customHeight="false" outlineLevel="0" collapsed="false">
      <c r="A400" s="9" t="str">
        <f aca="false">Vessels!B8</f>
        <v>Vessel 04</v>
      </c>
      <c r="B400" s="9" t="s">
        <v>88</v>
      </c>
      <c r="C400" s="7" t="s">
        <v>98</v>
      </c>
      <c r="D400" s="9" t="s">
        <v>45</v>
      </c>
      <c r="E400" s="9" t="s">
        <v>99</v>
      </c>
      <c r="F400" s="5" t="n">
        <v>60</v>
      </c>
      <c r="G400" s="10"/>
      <c r="H400" s="11" t="str">
        <f aca="false">IFERROR(IF($D400="Manual Review","",IF($G400="","",IF($D400="Direct Expiry",$G400,EDATE($G400,$F400)))),"Check Date")</f>
        <v/>
      </c>
      <c r="I400" s="12" t="str">
        <f aca="true">IF($H400="","",IF(ISNUMBER($H400),$H400-TODAY(),""))</f>
        <v/>
      </c>
      <c r="J400" s="4" t="str">
        <f aca="true">IF($D400="Manual Review","Manual Review",IF($G400="","No Data",IF(NOT(ISNUMBER($H400)),"N/A",IF($H400&lt;TODAY(),"Overdue",IF($H400&lt;=TODAY()+30,"Due within 1 Month",IF($H400&lt;=TODAY()+60,"Due within 2 Months","OK"))))))</f>
        <v>No Data</v>
      </c>
      <c r="K400" s="13"/>
    </row>
    <row r="401" customFormat="false" ht="15" hidden="false" customHeight="false" outlineLevel="0" collapsed="false">
      <c r="A401" s="9" t="str">
        <f aca="false">Vessels!B8</f>
        <v>Vessel 04</v>
      </c>
      <c r="B401" s="9" t="s">
        <v>88</v>
      </c>
      <c r="C401" s="7" t="s">
        <v>100</v>
      </c>
      <c r="D401" s="9" t="s">
        <v>45</v>
      </c>
      <c r="E401" s="9" t="s">
        <v>44</v>
      </c>
      <c r="F401" s="5" t="n">
        <v>12</v>
      </c>
      <c r="G401" s="10"/>
      <c r="H401" s="11" t="str">
        <f aca="false">IFERROR(IF($D401="Manual Review","",IF($G401="","",IF($D401="Direct Expiry",$G401,EDATE($G401,$F401)))),"Check Date")</f>
        <v/>
      </c>
      <c r="I401" s="12" t="str">
        <f aca="true">IF($H401="","",IF(ISNUMBER($H401),$H401-TODAY(),""))</f>
        <v/>
      </c>
      <c r="J401" s="4" t="str">
        <f aca="true">IF($D401="Manual Review","Manual Review",IF($G401="","No Data",IF(NOT(ISNUMBER($H401)),"N/A",IF($H401&lt;TODAY(),"Overdue",IF($H401&lt;=TODAY()+30,"Due within 1 Month",IF($H401&lt;=TODAY()+60,"Due within 2 Months","OK"))))))</f>
        <v>No Data</v>
      </c>
      <c r="K401" s="13"/>
    </row>
    <row r="402" customFormat="false" ht="15" hidden="false" customHeight="false" outlineLevel="0" collapsed="false">
      <c r="A402" s="9" t="str">
        <f aca="false">Vessels!B8</f>
        <v>Vessel 04</v>
      </c>
      <c r="B402" s="9" t="s">
        <v>88</v>
      </c>
      <c r="C402" s="7" t="s">
        <v>100</v>
      </c>
      <c r="D402" s="9" t="s">
        <v>45</v>
      </c>
      <c r="E402" s="9" t="s">
        <v>99</v>
      </c>
      <c r="F402" s="5" t="n">
        <v>60</v>
      </c>
      <c r="G402" s="10"/>
      <c r="H402" s="11" t="str">
        <f aca="false">IFERROR(IF($D402="Manual Review","",IF($G402="","",IF($D402="Direct Expiry",$G402,EDATE($G402,$F402)))),"Check Date")</f>
        <v/>
      </c>
      <c r="I402" s="12" t="str">
        <f aca="true">IF($H402="","",IF(ISNUMBER($H402),$H402-TODAY(),""))</f>
        <v/>
      </c>
      <c r="J402" s="4" t="str">
        <f aca="true">IF($D402="Manual Review","Manual Review",IF($G402="","No Data",IF(NOT(ISNUMBER($H402)),"N/A",IF($H402&lt;TODAY(),"Overdue",IF($H402&lt;=TODAY()+30,"Due within 1 Month",IF($H402&lt;=TODAY()+60,"Due within 2 Months","OK"))))))</f>
        <v>No Data</v>
      </c>
      <c r="K402" s="13"/>
    </row>
    <row r="403" customFormat="false" ht="15" hidden="false" customHeight="false" outlineLevel="0" collapsed="false">
      <c r="A403" s="9" t="str">
        <f aca="false">Vessels!B8</f>
        <v>Vessel 04</v>
      </c>
      <c r="B403" s="9" t="s">
        <v>88</v>
      </c>
      <c r="C403" s="7" t="s">
        <v>101</v>
      </c>
      <c r="D403" s="9" t="s">
        <v>45</v>
      </c>
      <c r="E403" s="9" t="s">
        <v>44</v>
      </c>
      <c r="F403" s="5" t="n">
        <v>12</v>
      </c>
      <c r="G403" s="10"/>
      <c r="H403" s="11" t="str">
        <f aca="false">IFERROR(IF($D403="Manual Review","",IF($G403="","",IF($D403="Direct Expiry",$G403,EDATE($G403,$F403)))),"Check Date")</f>
        <v/>
      </c>
      <c r="I403" s="12" t="str">
        <f aca="true">IF($H403="","",IF(ISNUMBER($H403),$H403-TODAY(),""))</f>
        <v/>
      </c>
      <c r="J403" s="4" t="str">
        <f aca="true">IF($D403="Manual Review","Manual Review",IF($G403="","No Data",IF(NOT(ISNUMBER($H403)),"N/A",IF($H403&lt;TODAY(),"Overdue",IF($H403&lt;=TODAY()+30,"Due within 1 Month",IF($H403&lt;=TODAY()+60,"Due within 2 Months","OK"))))))</f>
        <v>No Data</v>
      </c>
      <c r="K403" s="13"/>
    </row>
    <row r="404" customFormat="false" ht="23.85" hidden="false" customHeight="false" outlineLevel="0" collapsed="false">
      <c r="A404" s="9" t="str">
        <f aca="false">Vessels!B8</f>
        <v>Vessel 04</v>
      </c>
      <c r="B404" s="9" t="s">
        <v>88</v>
      </c>
      <c r="C404" s="7" t="s">
        <v>102</v>
      </c>
      <c r="D404" s="9" t="s">
        <v>45</v>
      </c>
      <c r="E404" s="9" t="s">
        <v>44</v>
      </c>
      <c r="F404" s="5" t="n">
        <v>12</v>
      </c>
      <c r="G404" s="10"/>
      <c r="H404" s="11" t="str">
        <f aca="false">IFERROR(IF($D404="Manual Review","",IF($G404="","",IF($D404="Direct Expiry",$G404,EDATE($G404,$F404)))),"Check Date")</f>
        <v/>
      </c>
      <c r="I404" s="12" t="str">
        <f aca="true">IF($H404="","",IF(ISNUMBER($H404),$H404-TODAY(),""))</f>
        <v/>
      </c>
      <c r="J404" s="4" t="str">
        <f aca="true">IF($D404="Manual Review","Manual Review",IF($G404="","No Data",IF(NOT(ISNUMBER($H404)),"N/A",IF($H404&lt;TODAY(),"Overdue",IF($H404&lt;=TODAY()+30,"Due within 1 Month",IF($H404&lt;=TODAY()+60,"Due within 2 Months","OK"))))))</f>
        <v>No Data</v>
      </c>
      <c r="K404" s="13"/>
    </row>
    <row r="405" customFormat="false" ht="23.85" hidden="false" customHeight="false" outlineLevel="0" collapsed="false">
      <c r="A405" s="9" t="str">
        <f aca="false">Vessels!B8</f>
        <v>Vessel 04</v>
      </c>
      <c r="B405" s="9" t="s">
        <v>88</v>
      </c>
      <c r="C405" s="7" t="s">
        <v>102</v>
      </c>
      <c r="D405" s="9" t="s">
        <v>45</v>
      </c>
      <c r="E405" s="9" t="s">
        <v>97</v>
      </c>
      <c r="F405" s="5" t="n">
        <v>120</v>
      </c>
      <c r="G405" s="10"/>
      <c r="H405" s="11" t="str">
        <f aca="false">IFERROR(IF($D405="Manual Review","",IF($G405="","",IF($D405="Direct Expiry",$G405,EDATE($G405,$F405)))),"Check Date")</f>
        <v/>
      </c>
      <c r="I405" s="12" t="str">
        <f aca="true">IF($H405="","",IF(ISNUMBER($H405),$H405-TODAY(),""))</f>
        <v/>
      </c>
      <c r="J405" s="4" t="str">
        <f aca="true">IF($D405="Manual Review","Manual Review",IF($G405="","No Data",IF(NOT(ISNUMBER($H405)),"N/A",IF($H405&lt;TODAY(),"Overdue",IF($H405&lt;=TODAY()+30,"Due within 1 Month",IF($H405&lt;=TODAY()+60,"Due within 2 Months","OK"))))))</f>
        <v>No Data</v>
      </c>
      <c r="K405" s="13"/>
    </row>
    <row r="406" customFormat="false" ht="15" hidden="false" customHeight="false" outlineLevel="0" collapsed="false">
      <c r="A406" s="9" t="str">
        <f aca="false">Vessels!B8</f>
        <v>Vessel 04</v>
      </c>
      <c r="B406" s="9" t="s">
        <v>88</v>
      </c>
      <c r="C406" s="7" t="s">
        <v>103</v>
      </c>
      <c r="D406" s="9" t="s">
        <v>45</v>
      </c>
      <c r="E406" s="9" t="s">
        <v>44</v>
      </c>
      <c r="F406" s="5" t="n">
        <v>12</v>
      </c>
      <c r="G406" s="10"/>
      <c r="H406" s="11" t="str">
        <f aca="false">IFERROR(IF($D406="Manual Review","",IF($G406="","",IF($D406="Direct Expiry",$G406,EDATE($G406,$F406)))),"Check Date")</f>
        <v/>
      </c>
      <c r="I406" s="12" t="str">
        <f aca="true">IF($H406="","",IF(ISNUMBER($H406),$H406-TODAY(),""))</f>
        <v/>
      </c>
      <c r="J406" s="4" t="str">
        <f aca="true">IF($D406="Manual Review","Manual Review",IF($G406="","No Data",IF(NOT(ISNUMBER($H406)),"N/A",IF($H406&lt;TODAY(),"Overdue",IF($H406&lt;=TODAY()+30,"Due within 1 Month",IF($H406&lt;=TODAY()+60,"Due within 2 Months","OK"))))))</f>
        <v>No Data</v>
      </c>
      <c r="K406" s="13"/>
    </row>
    <row r="407" customFormat="false" ht="15" hidden="false" customHeight="false" outlineLevel="0" collapsed="false">
      <c r="A407" s="9" t="str">
        <f aca="false">Vessels!B8</f>
        <v>Vessel 04</v>
      </c>
      <c r="B407" s="9" t="s">
        <v>88</v>
      </c>
      <c r="C407" s="7" t="s">
        <v>103</v>
      </c>
      <c r="D407" s="9" t="s">
        <v>45</v>
      </c>
      <c r="E407" s="9" t="s">
        <v>97</v>
      </c>
      <c r="F407" s="5" t="n">
        <v>120</v>
      </c>
      <c r="G407" s="10"/>
      <c r="H407" s="11" t="str">
        <f aca="false">IFERROR(IF($D407="Manual Review","",IF($G407="","",IF($D407="Direct Expiry",$G407,EDATE($G407,$F407)))),"Check Date")</f>
        <v/>
      </c>
      <c r="I407" s="12" t="str">
        <f aca="true">IF($H407="","",IF(ISNUMBER($H407),$H407-TODAY(),""))</f>
        <v/>
      </c>
      <c r="J407" s="4" t="str">
        <f aca="true">IF($D407="Manual Review","Manual Review",IF($G407="","No Data",IF(NOT(ISNUMBER($H407)),"N/A",IF($H407&lt;TODAY(),"Overdue",IF($H407&lt;=TODAY()+30,"Due within 1 Month",IF($H407&lt;=TODAY()+60,"Due within 2 Months","OK"))))))</f>
        <v>No Data</v>
      </c>
      <c r="K407" s="13"/>
    </row>
    <row r="408" customFormat="false" ht="15" hidden="false" customHeight="false" outlineLevel="0" collapsed="false">
      <c r="A408" s="9" t="str">
        <f aca="false">Vessels!B8</f>
        <v>Vessel 04</v>
      </c>
      <c r="B408" s="9" t="s">
        <v>88</v>
      </c>
      <c r="C408" s="7" t="s">
        <v>104</v>
      </c>
      <c r="D408" s="9" t="s">
        <v>45</v>
      </c>
      <c r="E408" s="9" t="s">
        <v>44</v>
      </c>
      <c r="F408" s="5" t="n">
        <v>12</v>
      </c>
      <c r="G408" s="10"/>
      <c r="H408" s="11" t="str">
        <f aca="false">IFERROR(IF($D408="Manual Review","",IF($G408="","",IF($D408="Direct Expiry",$G408,EDATE($G408,$F408)))),"Check Date")</f>
        <v/>
      </c>
      <c r="I408" s="12" t="str">
        <f aca="true">IF($H408="","",IF(ISNUMBER($H408),$H408-TODAY(),""))</f>
        <v/>
      </c>
      <c r="J408" s="4" t="str">
        <f aca="true">IF($D408="Manual Review","Manual Review",IF($G408="","No Data",IF(NOT(ISNUMBER($H408)),"N/A",IF($H408&lt;TODAY(),"Overdue",IF($H408&lt;=TODAY()+30,"Due within 1 Month",IF($H408&lt;=TODAY()+60,"Due within 2 Months","OK"))))))</f>
        <v>No Data</v>
      </c>
      <c r="K408" s="13"/>
    </row>
    <row r="409" customFormat="false" ht="15" hidden="false" customHeight="false" outlineLevel="0" collapsed="false">
      <c r="A409" s="9" t="str">
        <f aca="false">Vessels!B8</f>
        <v>Vessel 04</v>
      </c>
      <c r="B409" s="9" t="s">
        <v>88</v>
      </c>
      <c r="C409" s="7" t="s">
        <v>105</v>
      </c>
      <c r="D409" s="9" t="s">
        <v>45</v>
      </c>
      <c r="E409" s="9" t="s">
        <v>44</v>
      </c>
      <c r="F409" s="5" t="n">
        <v>12</v>
      </c>
      <c r="G409" s="10"/>
      <c r="H409" s="11" t="str">
        <f aca="false">IFERROR(IF($D409="Manual Review","",IF($G409="","",IF($D409="Direct Expiry",$G409,EDATE($G409,$F409)))),"Check Date")</f>
        <v/>
      </c>
      <c r="I409" s="12" t="str">
        <f aca="true">IF($H409="","",IF(ISNUMBER($H409),$H409-TODAY(),""))</f>
        <v/>
      </c>
      <c r="J409" s="4" t="str">
        <f aca="true">IF($D409="Manual Review","Manual Review",IF($G409="","No Data",IF(NOT(ISNUMBER($H409)),"N/A",IF($H409&lt;TODAY(),"Overdue",IF($H409&lt;=TODAY()+30,"Due within 1 Month",IF($H409&lt;=TODAY()+60,"Due within 2 Months","OK"))))))</f>
        <v>No Data</v>
      </c>
      <c r="K409" s="13"/>
    </row>
    <row r="410" customFormat="false" ht="15" hidden="false" customHeight="false" outlineLevel="0" collapsed="false">
      <c r="A410" s="9" t="str">
        <f aca="false">Vessels!B8</f>
        <v>Vessel 04</v>
      </c>
      <c r="B410" s="9" t="s">
        <v>88</v>
      </c>
      <c r="C410" s="7" t="s">
        <v>106</v>
      </c>
      <c r="D410" s="9" t="s">
        <v>45</v>
      </c>
      <c r="E410" s="9" t="s">
        <v>44</v>
      </c>
      <c r="F410" s="5" t="n">
        <v>12</v>
      </c>
      <c r="G410" s="10"/>
      <c r="H410" s="11" t="str">
        <f aca="false">IFERROR(IF($D410="Manual Review","",IF($G410="","",IF($D410="Direct Expiry",$G410,EDATE($G410,$F410)))),"Check Date")</f>
        <v/>
      </c>
      <c r="I410" s="12" t="str">
        <f aca="true">IF($H410="","",IF(ISNUMBER($H410),$H410-TODAY(),""))</f>
        <v/>
      </c>
      <c r="J410" s="4" t="str">
        <f aca="true">IF($D410="Manual Review","Manual Review",IF($G410="","No Data",IF(NOT(ISNUMBER($H410)),"N/A",IF($H410&lt;TODAY(),"Overdue",IF($H410&lt;=TODAY()+30,"Due within 1 Month",IF($H410&lt;=TODAY()+60,"Due within 2 Months","OK"))))))</f>
        <v>No Data</v>
      </c>
      <c r="K410" s="13"/>
    </row>
    <row r="411" customFormat="false" ht="15" hidden="false" customHeight="false" outlineLevel="0" collapsed="false">
      <c r="A411" s="9" t="str">
        <f aca="false">Vessels!B8</f>
        <v>Vessel 04</v>
      </c>
      <c r="B411" s="9" t="s">
        <v>88</v>
      </c>
      <c r="C411" s="7" t="s">
        <v>107</v>
      </c>
      <c r="D411" s="9" t="s">
        <v>45</v>
      </c>
      <c r="E411" s="9" t="s">
        <v>44</v>
      </c>
      <c r="F411" s="5" t="n">
        <v>12</v>
      </c>
      <c r="G411" s="10"/>
      <c r="H411" s="11" t="str">
        <f aca="false">IFERROR(IF($D411="Manual Review","",IF($G411="","",IF($D411="Direct Expiry",$G411,EDATE($G411,$F411)))),"Check Date")</f>
        <v/>
      </c>
      <c r="I411" s="12" t="str">
        <f aca="true">IF($H411="","",IF(ISNUMBER($H411),$H411-TODAY(),""))</f>
        <v/>
      </c>
      <c r="J411" s="4" t="str">
        <f aca="true">IF($D411="Manual Review","Manual Review",IF($G411="","No Data",IF(NOT(ISNUMBER($H411)),"N/A",IF($H411&lt;TODAY(),"Overdue",IF($H411&lt;=TODAY()+30,"Due within 1 Month",IF($H411&lt;=TODAY()+60,"Due within 2 Months","OK"))))))</f>
        <v>No Data</v>
      </c>
      <c r="K411" s="13"/>
    </row>
    <row r="412" customFormat="false" ht="15" hidden="false" customHeight="false" outlineLevel="0" collapsed="false">
      <c r="A412" s="9" t="str">
        <f aca="false">Vessels!B8</f>
        <v>Vessel 04</v>
      </c>
      <c r="B412" s="9" t="s">
        <v>88</v>
      </c>
      <c r="C412" s="7" t="s">
        <v>108</v>
      </c>
      <c r="D412" s="9" t="s">
        <v>45</v>
      </c>
      <c r="E412" s="9" t="s">
        <v>109</v>
      </c>
      <c r="F412" s="5" t="n">
        <v>12</v>
      </c>
      <c r="G412" s="10"/>
      <c r="H412" s="11" t="str">
        <f aca="false">IFERROR(IF($D412="Manual Review","",IF($G412="","",IF($D412="Direct Expiry",$G412,EDATE($G412,$F412)))),"Check Date")</f>
        <v/>
      </c>
      <c r="I412" s="12" t="str">
        <f aca="true">IF($H412="","",IF(ISNUMBER($H412),$H412-TODAY(),""))</f>
        <v/>
      </c>
      <c r="J412" s="4" t="str">
        <f aca="true">IF($D412="Manual Review","Manual Review",IF($G412="","No Data",IF(NOT(ISNUMBER($H412)),"N/A",IF($H412&lt;TODAY(),"Overdue",IF($H412&lt;=TODAY()+30,"Due within 1 Month",IF($H412&lt;=TODAY()+60,"Due within 2 Months","OK"))))))</f>
        <v>No Data</v>
      </c>
      <c r="K412" s="13"/>
    </row>
    <row r="413" customFormat="false" ht="15" hidden="false" customHeight="false" outlineLevel="0" collapsed="false">
      <c r="A413" s="9" t="str">
        <f aca="false">Vessels!B8</f>
        <v>Vessel 04</v>
      </c>
      <c r="B413" s="9" t="s">
        <v>88</v>
      </c>
      <c r="C413" s="7" t="s">
        <v>108</v>
      </c>
      <c r="D413" s="9" t="s">
        <v>45</v>
      </c>
      <c r="E413" s="9" t="s">
        <v>110</v>
      </c>
      <c r="F413" s="5" t="n">
        <v>60</v>
      </c>
      <c r="G413" s="10"/>
      <c r="H413" s="11" t="str">
        <f aca="false">IFERROR(IF($D413="Manual Review","",IF($G413="","",IF($D413="Direct Expiry",$G413,EDATE($G413,$F413)))),"Check Date")</f>
        <v/>
      </c>
      <c r="I413" s="12" t="str">
        <f aca="true">IF($H413="","",IF(ISNUMBER($H413),$H413-TODAY(),""))</f>
        <v/>
      </c>
      <c r="J413" s="4" t="str">
        <f aca="true">IF($D413="Manual Review","Manual Review",IF($G413="","No Data",IF(NOT(ISNUMBER($H413)),"N/A",IF($H413&lt;TODAY(),"Overdue",IF($H413&lt;=TODAY()+30,"Due within 1 Month",IF($H413&lt;=TODAY()+60,"Due within 2 Months","OK"))))))</f>
        <v>No Data</v>
      </c>
      <c r="K413" s="13"/>
    </row>
    <row r="414" customFormat="false" ht="15" hidden="false" customHeight="false" outlineLevel="0" collapsed="false">
      <c r="A414" s="9" t="str">
        <f aca="false">Vessels!B8</f>
        <v>Vessel 04</v>
      </c>
      <c r="B414" s="9" t="s">
        <v>88</v>
      </c>
      <c r="C414" s="7" t="s">
        <v>111</v>
      </c>
      <c r="D414" s="9" t="s">
        <v>45</v>
      </c>
      <c r="E414" s="9" t="s">
        <v>44</v>
      </c>
      <c r="F414" s="5" t="n">
        <v>12</v>
      </c>
      <c r="G414" s="10"/>
      <c r="H414" s="11" t="str">
        <f aca="false">IFERROR(IF($D414="Manual Review","",IF($G414="","",IF($D414="Direct Expiry",$G414,EDATE($G414,$F414)))),"Check Date")</f>
        <v/>
      </c>
      <c r="I414" s="12" t="str">
        <f aca="true">IF($H414="","",IF(ISNUMBER($H414),$H414-TODAY(),""))</f>
        <v/>
      </c>
      <c r="J414" s="4" t="str">
        <f aca="true">IF($D414="Manual Review","Manual Review",IF($G414="","No Data",IF(NOT(ISNUMBER($H414)),"N/A",IF($H414&lt;TODAY(),"Overdue",IF($H414&lt;=TODAY()+30,"Due within 1 Month",IF($H414&lt;=TODAY()+60,"Due within 2 Months","OK"))))))</f>
        <v>No Data</v>
      </c>
      <c r="K414" s="13"/>
    </row>
    <row r="415" customFormat="false" ht="15" hidden="false" customHeight="false" outlineLevel="0" collapsed="false">
      <c r="A415" s="9" t="str">
        <f aca="false">Vessels!B8</f>
        <v>Vessel 04</v>
      </c>
      <c r="B415" s="9" t="s">
        <v>88</v>
      </c>
      <c r="C415" s="7" t="s">
        <v>112</v>
      </c>
      <c r="D415" s="9" t="s">
        <v>45</v>
      </c>
      <c r="E415" s="9" t="s">
        <v>44</v>
      </c>
      <c r="F415" s="5" t="n">
        <v>12</v>
      </c>
      <c r="G415" s="10"/>
      <c r="H415" s="11" t="str">
        <f aca="false">IFERROR(IF($D415="Manual Review","",IF($G415="","",IF($D415="Direct Expiry",$G415,EDATE($G415,$F415)))),"Check Date")</f>
        <v/>
      </c>
      <c r="I415" s="12" t="str">
        <f aca="true">IF($H415="","",IF(ISNUMBER($H415),$H415-TODAY(),""))</f>
        <v/>
      </c>
      <c r="J415" s="4" t="str">
        <f aca="true">IF($D415="Manual Review","Manual Review",IF($G415="","No Data",IF(NOT(ISNUMBER($H415)),"N/A",IF($H415&lt;TODAY(),"Overdue",IF($H415&lt;=TODAY()+30,"Due within 1 Month",IF($H415&lt;=TODAY()+60,"Due within 2 Months","OK"))))))</f>
        <v>No Data</v>
      </c>
      <c r="K415" s="13"/>
    </row>
    <row r="416" customFormat="false" ht="15" hidden="false" customHeight="false" outlineLevel="0" collapsed="false">
      <c r="A416" s="9" t="str">
        <f aca="false">Vessels!B8</f>
        <v>Vessel 04</v>
      </c>
      <c r="B416" s="9" t="s">
        <v>88</v>
      </c>
      <c r="C416" s="7" t="s">
        <v>113</v>
      </c>
      <c r="D416" s="9" t="s">
        <v>115</v>
      </c>
      <c r="E416" s="9" t="s">
        <v>114</v>
      </c>
      <c r="F416" s="5"/>
      <c r="G416" s="10"/>
      <c r="H416" s="11" t="str">
        <f aca="false">IFERROR(IF($D416="Manual Review","",IF($G416="","",IF($D416="Direct Expiry",$G416,EDATE($G416,$F416)))),"Check Date")</f>
        <v/>
      </c>
      <c r="I416" s="12" t="str">
        <f aca="true">IF($H416="","",IF(ISNUMBER($H416),$H416-TODAY(),""))</f>
        <v/>
      </c>
      <c r="J416" s="4" t="str">
        <f aca="true">IF($D416="Manual Review","Manual Review",IF($G416="","No Data",IF(NOT(ISNUMBER($H416)),"N/A",IF($H416&lt;TODAY(),"Overdue",IF($H416&lt;=TODAY()+30,"Due within 1 Month",IF($H416&lt;=TODAY()+60,"Due within 2 Months","OK"))))))</f>
        <v>Manual Review</v>
      </c>
      <c r="K416" s="13"/>
    </row>
    <row r="417" customFormat="false" ht="15" hidden="false" customHeight="false" outlineLevel="0" collapsed="false">
      <c r="A417" s="9" t="str">
        <f aca="false">Vessels!B8</f>
        <v>Vessel 04</v>
      </c>
      <c r="B417" s="9" t="s">
        <v>88</v>
      </c>
      <c r="C417" s="7" t="s">
        <v>116</v>
      </c>
      <c r="D417" s="9" t="s">
        <v>115</v>
      </c>
      <c r="E417" s="9" t="s">
        <v>114</v>
      </c>
      <c r="F417" s="5"/>
      <c r="G417" s="10"/>
      <c r="H417" s="11" t="str">
        <f aca="false">IFERROR(IF($D417="Manual Review","",IF($G417="","",IF($D417="Direct Expiry",$G417,EDATE($G417,$F417)))),"Check Date")</f>
        <v/>
      </c>
      <c r="I417" s="12" t="str">
        <f aca="true">IF($H417="","",IF(ISNUMBER($H417),$H417-TODAY(),""))</f>
        <v/>
      </c>
      <c r="J417" s="4" t="str">
        <f aca="true">IF($D417="Manual Review","Manual Review",IF($G417="","No Data",IF(NOT(ISNUMBER($H417)),"N/A",IF($H417&lt;TODAY(),"Overdue",IF($H417&lt;=TODAY()+30,"Due within 1 Month",IF($H417&lt;=TODAY()+60,"Due within 2 Months","OK"))))))</f>
        <v>Manual Review</v>
      </c>
      <c r="K417" s="13"/>
    </row>
    <row r="418" customFormat="false" ht="15" hidden="false" customHeight="false" outlineLevel="0" collapsed="false">
      <c r="A418" s="9" t="str">
        <f aca="false">Vessels!B8</f>
        <v>Vessel 04</v>
      </c>
      <c r="B418" s="9" t="s">
        <v>117</v>
      </c>
      <c r="C418" s="7" t="s">
        <v>118</v>
      </c>
      <c r="D418" s="9" t="s">
        <v>59</v>
      </c>
      <c r="E418" s="9" t="s">
        <v>119</v>
      </c>
      <c r="F418" s="5"/>
      <c r="G418" s="10"/>
      <c r="H418" s="11" t="str">
        <f aca="false">IFERROR(IF($D418="Manual Review","",IF($G418="","",IF($D418="Direct Expiry",$G418,EDATE($G418,$F418)))),"Check Date")</f>
        <v/>
      </c>
      <c r="I418" s="12" t="str">
        <f aca="true">IF($H418="","",IF(ISNUMBER($H418),$H418-TODAY(),""))</f>
        <v/>
      </c>
      <c r="J418" s="4" t="str">
        <f aca="true">IF($D418="Manual Review","Manual Review",IF($G418="","No Data",IF(NOT(ISNUMBER($H418)),"N/A",IF($H418&lt;TODAY(),"Overdue",IF($H418&lt;=TODAY()+30,"Due within 1 Month",IF($H418&lt;=TODAY()+60,"Due within 2 Months","OK"))))))</f>
        <v>No Data</v>
      </c>
      <c r="K418" s="13"/>
    </row>
    <row r="419" customFormat="false" ht="15" hidden="false" customHeight="false" outlineLevel="0" collapsed="false">
      <c r="A419" s="9" t="str">
        <f aca="false">Vessels!B8</f>
        <v>Vessel 04</v>
      </c>
      <c r="B419" s="9" t="s">
        <v>117</v>
      </c>
      <c r="C419" s="7" t="s">
        <v>120</v>
      </c>
      <c r="D419" s="9" t="s">
        <v>45</v>
      </c>
      <c r="E419" s="9" t="s">
        <v>44</v>
      </c>
      <c r="F419" s="5" t="n">
        <v>12</v>
      </c>
      <c r="G419" s="10"/>
      <c r="H419" s="11" t="str">
        <f aca="false">IFERROR(IF($D419="Manual Review","",IF($G419="","",IF($D419="Direct Expiry",$G419,EDATE($G419,$F419)))),"Check Date")</f>
        <v/>
      </c>
      <c r="I419" s="12" t="str">
        <f aca="true">IF($H419="","",IF(ISNUMBER($H419),$H419-TODAY(),""))</f>
        <v/>
      </c>
      <c r="J419" s="4" t="str">
        <f aca="true">IF($D419="Manual Review","Manual Review",IF($G419="","No Data",IF(NOT(ISNUMBER($H419)),"N/A",IF($H419&lt;TODAY(),"Overdue",IF($H419&lt;=TODAY()+30,"Due within 1 Month",IF($H419&lt;=TODAY()+60,"Due within 2 Months","OK"))))))</f>
        <v>No Data</v>
      </c>
      <c r="K419" s="13"/>
    </row>
    <row r="420" customFormat="false" ht="15" hidden="false" customHeight="false" outlineLevel="0" collapsed="false">
      <c r="A420" s="9" t="str">
        <f aca="false">Vessels!B8</f>
        <v>Vessel 04</v>
      </c>
      <c r="B420" s="9" t="s">
        <v>117</v>
      </c>
      <c r="C420" s="7" t="s">
        <v>121</v>
      </c>
      <c r="D420" s="9" t="s">
        <v>45</v>
      </c>
      <c r="E420" s="9" t="s">
        <v>44</v>
      </c>
      <c r="F420" s="5" t="n">
        <v>12</v>
      </c>
      <c r="G420" s="10"/>
      <c r="H420" s="11" t="str">
        <f aca="false">IFERROR(IF($D420="Manual Review","",IF($G420="","",IF($D420="Direct Expiry",$G420,EDATE($G420,$F420)))),"Check Date")</f>
        <v/>
      </c>
      <c r="I420" s="12" t="str">
        <f aca="true">IF($H420="","",IF(ISNUMBER($H420),$H420-TODAY(),""))</f>
        <v/>
      </c>
      <c r="J420" s="4" t="str">
        <f aca="true">IF($D420="Manual Review","Manual Review",IF($G420="","No Data",IF(NOT(ISNUMBER($H420)),"N/A",IF($H420&lt;TODAY(),"Overdue",IF($H420&lt;=TODAY()+30,"Due within 1 Month",IF($H420&lt;=TODAY()+60,"Due within 2 Months","OK"))))))</f>
        <v>No Data</v>
      </c>
      <c r="K420" s="13"/>
    </row>
    <row r="421" customFormat="false" ht="15" hidden="false" customHeight="false" outlineLevel="0" collapsed="false">
      <c r="A421" s="9" t="str">
        <f aca="false">Vessels!B8</f>
        <v>Vessel 04</v>
      </c>
      <c r="B421" s="9" t="s">
        <v>117</v>
      </c>
      <c r="C421" s="7" t="s">
        <v>122</v>
      </c>
      <c r="D421" s="9" t="s">
        <v>45</v>
      </c>
      <c r="E421" s="9" t="s">
        <v>123</v>
      </c>
      <c r="F421" s="5" t="n">
        <v>24</v>
      </c>
      <c r="G421" s="10"/>
      <c r="H421" s="11" t="str">
        <f aca="false">IFERROR(IF($D421="Manual Review","",IF($G421="","",IF($D421="Direct Expiry",$G421,EDATE($G421,$F421)))),"Check Date")</f>
        <v/>
      </c>
      <c r="I421" s="12" t="str">
        <f aca="true">IF($H421="","",IF(ISNUMBER($H421),$H421-TODAY(),""))</f>
        <v/>
      </c>
      <c r="J421" s="4" t="str">
        <f aca="true">IF($D421="Manual Review","Manual Review",IF($G421="","No Data",IF(NOT(ISNUMBER($H421)),"N/A",IF($H421&lt;TODAY(),"Overdue",IF($H421&lt;=TODAY()+30,"Due within 1 Month",IF($H421&lt;=TODAY()+60,"Due within 2 Months","OK"))))))</f>
        <v>No Data</v>
      </c>
      <c r="K421" s="13"/>
    </row>
    <row r="422" customFormat="false" ht="15" hidden="false" customHeight="false" outlineLevel="0" collapsed="false">
      <c r="A422" s="9" t="str">
        <f aca="false">Vessels!B8</f>
        <v>Vessel 04</v>
      </c>
      <c r="B422" s="9" t="s">
        <v>117</v>
      </c>
      <c r="C422" s="7" t="s">
        <v>124</v>
      </c>
      <c r="D422" s="9" t="s">
        <v>59</v>
      </c>
      <c r="E422" s="9" t="s">
        <v>58</v>
      </c>
      <c r="F422" s="5"/>
      <c r="G422" s="10"/>
      <c r="H422" s="11" t="str">
        <f aca="false">IFERROR(IF($D422="Manual Review","",IF($G422="","",IF($D422="Direct Expiry",$G422,EDATE($G422,$F422)))),"Check Date")</f>
        <v/>
      </c>
      <c r="I422" s="12" t="str">
        <f aca="true">IF($H422="","",IF(ISNUMBER($H422),$H422-TODAY(),""))</f>
        <v/>
      </c>
      <c r="J422" s="4" t="str">
        <f aca="true">IF($D422="Manual Review","Manual Review",IF($G422="","No Data",IF(NOT(ISNUMBER($H422)),"N/A",IF($H422&lt;TODAY(),"Overdue",IF($H422&lt;=TODAY()+30,"Due within 1 Month",IF($H422&lt;=TODAY()+60,"Due within 2 Months","OK"))))))</f>
        <v>No Data</v>
      </c>
      <c r="K422" s="13"/>
    </row>
    <row r="423" customFormat="false" ht="15" hidden="false" customHeight="false" outlineLevel="0" collapsed="false">
      <c r="A423" s="9" t="str">
        <f aca="false">Vessels!B8</f>
        <v>Vessel 04</v>
      </c>
      <c r="B423" s="9" t="s">
        <v>117</v>
      </c>
      <c r="C423" s="7" t="s">
        <v>125</v>
      </c>
      <c r="D423" s="9" t="s">
        <v>59</v>
      </c>
      <c r="E423" s="9" t="s">
        <v>58</v>
      </c>
      <c r="F423" s="5"/>
      <c r="G423" s="10"/>
      <c r="H423" s="11" t="str">
        <f aca="false">IFERROR(IF($D423="Manual Review","",IF($G423="","",IF($D423="Direct Expiry",$G423,EDATE($G423,$F423)))),"Check Date")</f>
        <v/>
      </c>
      <c r="I423" s="12" t="str">
        <f aca="true">IF($H423="","",IF(ISNUMBER($H423),$H423-TODAY(),""))</f>
        <v/>
      </c>
      <c r="J423" s="4" t="str">
        <f aca="true">IF($D423="Manual Review","Manual Review",IF($G423="","No Data",IF(NOT(ISNUMBER($H423)),"N/A",IF($H423&lt;TODAY(),"Overdue",IF($H423&lt;=TODAY()+30,"Due within 1 Month",IF($H423&lt;=TODAY()+60,"Due within 2 Months","OK"))))))</f>
        <v>No Data</v>
      </c>
      <c r="K423" s="13"/>
    </row>
    <row r="424" customFormat="false" ht="15" hidden="false" customHeight="false" outlineLevel="0" collapsed="false">
      <c r="A424" s="9" t="str">
        <f aca="false">Vessels!B8</f>
        <v>Vessel 04</v>
      </c>
      <c r="B424" s="9" t="s">
        <v>117</v>
      </c>
      <c r="C424" s="7" t="s">
        <v>126</v>
      </c>
      <c r="D424" s="9" t="s">
        <v>45</v>
      </c>
      <c r="E424" s="9" t="s">
        <v>44</v>
      </c>
      <c r="F424" s="5" t="n">
        <v>12</v>
      </c>
      <c r="G424" s="10"/>
      <c r="H424" s="11" t="str">
        <f aca="false">IFERROR(IF($D424="Manual Review","",IF($G424="","",IF($D424="Direct Expiry",$G424,EDATE($G424,$F424)))),"Check Date")</f>
        <v/>
      </c>
      <c r="I424" s="12" t="str">
        <f aca="true">IF($H424="","",IF(ISNUMBER($H424),$H424-TODAY(),""))</f>
        <v/>
      </c>
      <c r="J424" s="4" t="str">
        <f aca="true">IF($D424="Manual Review","Manual Review",IF($G424="","No Data",IF(NOT(ISNUMBER($H424)),"N/A",IF($H424&lt;TODAY(),"Overdue",IF($H424&lt;=TODAY()+30,"Due within 1 Month",IF($H424&lt;=TODAY()+60,"Due within 2 Months","OK"))))))</f>
        <v>No Data</v>
      </c>
      <c r="K424" s="13"/>
    </row>
    <row r="425" customFormat="false" ht="15" hidden="false" customHeight="false" outlineLevel="0" collapsed="false">
      <c r="A425" s="9" t="str">
        <f aca="false">Vessels!B8</f>
        <v>Vessel 04</v>
      </c>
      <c r="B425" s="9" t="s">
        <v>117</v>
      </c>
      <c r="C425" s="7" t="s">
        <v>127</v>
      </c>
      <c r="D425" s="9" t="s">
        <v>59</v>
      </c>
      <c r="E425" s="9" t="s">
        <v>58</v>
      </c>
      <c r="F425" s="5"/>
      <c r="G425" s="10"/>
      <c r="H425" s="11" t="str">
        <f aca="false">IFERROR(IF($D425="Manual Review","",IF($G425="","",IF($D425="Direct Expiry",$G425,EDATE($G425,$F425)))),"Check Date")</f>
        <v/>
      </c>
      <c r="I425" s="12" t="str">
        <f aca="true">IF($H425="","",IF(ISNUMBER($H425),$H425-TODAY(),""))</f>
        <v/>
      </c>
      <c r="J425" s="4" t="str">
        <f aca="true">IF($D425="Manual Review","Manual Review",IF($G425="","No Data",IF(NOT(ISNUMBER($H425)),"N/A",IF($H425&lt;TODAY(),"Overdue",IF($H425&lt;=TODAY()+30,"Due within 1 Month",IF($H425&lt;=TODAY()+60,"Due within 2 Months","OK"))))))</f>
        <v>No Data</v>
      </c>
      <c r="K425" s="13"/>
    </row>
    <row r="426" customFormat="false" ht="15" hidden="false" customHeight="false" outlineLevel="0" collapsed="false">
      <c r="A426" s="9" t="str">
        <f aca="false">Vessels!B8</f>
        <v>Vessel 04</v>
      </c>
      <c r="B426" s="9" t="s">
        <v>117</v>
      </c>
      <c r="C426" s="7" t="s">
        <v>128</v>
      </c>
      <c r="D426" s="9" t="s">
        <v>59</v>
      </c>
      <c r="E426" s="9" t="s">
        <v>58</v>
      </c>
      <c r="F426" s="5"/>
      <c r="G426" s="10"/>
      <c r="H426" s="11" t="str">
        <f aca="false">IFERROR(IF($D426="Manual Review","",IF($G426="","",IF($D426="Direct Expiry",$G426,EDATE($G426,$F426)))),"Check Date")</f>
        <v/>
      </c>
      <c r="I426" s="12" t="str">
        <f aca="true">IF($H426="","",IF(ISNUMBER($H426),$H426-TODAY(),""))</f>
        <v/>
      </c>
      <c r="J426" s="4" t="str">
        <f aca="true">IF($D426="Manual Review","Manual Review",IF($G426="","No Data",IF(NOT(ISNUMBER($H426)),"N/A",IF($H426&lt;TODAY(),"Overdue",IF($H426&lt;=TODAY()+30,"Due within 1 Month",IF($H426&lt;=TODAY()+60,"Due within 2 Months","OK"))))))</f>
        <v>No Data</v>
      </c>
      <c r="K426" s="13"/>
    </row>
    <row r="427" customFormat="false" ht="15" hidden="false" customHeight="false" outlineLevel="0" collapsed="false">
      <c r="A427" s="9" t="str">
        <f aca="false">Vessels!B8</f>
        <v>Vessel 04</v>
      </c>
      <c r="B427" s="9" t="s">
        <v>117</v>
      </c>
      <c r="C427" s="7" t="s">
        <v>129</v>
      </c>
      <c r="D427" s="9" t="s">
        <v>59</v>
      </c>
      <c r="E427" s="9" t="s">
        <v>58</v>
      </c>
      <c r="F427" s="5"/>
      <c r="G427" s="10"/>
      <c r="H427" s="11" t="str">
        <f aca="false">IFERROR(IF($D427="Manual Review","",IF($G427="","",IF($D427="Direct Expiry",$G427,EDATE($G427,$F427)))),"Check Date")</f>
        <v/>
      </c>
      <c r="I427" s="12" t="str">
        <f aca="true">IF($H427="","",IF(ISNUMBER($H427),$H427-TODAY(),""))</f>
        <v/>
      </c>
      <c r="J427" s="4" t="str">
        <f aca="true">IF($D427="Manual Review","Manual Review",IF($G427="","No Data",IF(NOT(ISNUMBER($H427)),"N/A",IF($H427&lt;TODAY(),"Overdue",IF($H427&lt;=TODAY()+30,"Due within 1 Month",IF($H427&lt;=TODAY()+60,"Due within 2 Months","OK"))))))</f>
        <v>No Data</v>
      </c>
      <c r="K427" s="13"/>
    </row>
    <row r="428" customFormat="false" ht="15" hidden="false" customHeight="false" outlineLevel="0" collapsed="false">
      <c r="A428" s="9" t="str">
        <f aca="false">Vessels!B8</f>
        <v>Vessel 04</v>
      </c>
      <c r="B428" s="9" t="s">
        <v>117</v>
      </c>
      <c r="C428" s="7" t="s">
        <v>130</v>
      </c>
      <c r="D428" s="9" t="s">
        <v>45</v>
      </c>
      <c r="E428" s="9" t="s">
        <v>44</v>
      </c>
      <c r="F428" s="5" t="n">
        <v>12</v>
      </c>
      <c r="G428" s="10"/>
      <c r="H428" s="11" t="str">
        <f aca="false">IFERROR(IF($D428="Manual Review","",IF($G428="","",IF($D428="Direct Expiry",$G428,EDATE($G428,$F428)))),"Check Date")</f>
        <v/>
      </c>
      <c r="I428" s="12" t="str">
        <f aca="true">IF($H428="","",IF(ISNUMBER($H428),$H428-TODAY(),""))</f>
        <v/>
      </c>
      <c r="J428" s="4" t="str">
        <f aca="true">IF($D428="Manual Review","Manual Review",IF($G428="","No Data",IF(NOT(ISNUMBER($H428)),"N/A",IF($H428&lt;TODAY(),"Overdue",IF($H428&lt;=TODAY()+30,"Due within 1 Month",IF($H428&lt;=TODAY()+60,"Due within 2 Months","OK"))))))</f>
        <v>No Data</v>
      </c>
      <c r="K428" s="13"/>
    </row>
    <row r="429" customFormat="false" ht="15" hidden="false" customHeight="false" outlineLevel="0" collapsed="false">
      <c r="A429" s="9" t="str">
        <f aca="false">Vessels!B8</f>
        <v>Vessel 04</v>
      </c>
      <c r="B429" s="9" t="s">
        <v>117</v>
      </c>
      <c r="C429" s="7" t="s">
        <v>131</v>
      </c>
      <c r="D429" s="9" t="s">
        <v>45</v>
      </c>
      <c r="E429" s="9" t="s">
        <v>44</v>
      </c>
      <c r="F429" s="5" t="n">
        <v>12</v>
      </c>
      <c r="G429" s="10"/>
      <c r="H429" s="11" t="str">
        <f aca="false">IFERROR(IF($D429="Manual Review","",IF($G429="","",IF($D429="Direct Expiry",$G429,EDATE($G429,$F429)))),"Check Date")</f>
        <v/>
      </c>
      <c r="I429" s="12" t="str">
        <f aca="true">IF($H429="","",IF(ISNUMBER($H429),$H429-TODAY(),""))</f>
        <v/>
      </c>
      <c r="J429" s="4" t="str">
        <f aca="true">IF($D429="Manual Review","Manual Review",IF($G429="","No Data",IF(NOT(ISNUMBER($H429)),"N/A",IF($H429&lt;TODAY(),"Overdue",IF($H429&lt;=TODAY()+30,"Due within 1 Month",IF($H429&lt;=TODAY()+60,"Due within 2 Months","OK"))))))</f>
        <v>No Data</v>
      </c>
      <c r="K429" s="13"/>
    </row>
    <row r="430" customFormat="false" ht="15" hidden="false" customHeight="false" outlineLevel="0" collapsed="false">
      <c r="A430" s="9" t="str">
        <f aca="false">Vessels!B8</f>
        <v>Vessel 04</v>
      </c>
      <c r="B430" s="9" t="s">
        <v>117</v>
      </c>
      <c r="C430" s="7" t="s">
        <v>132</v>
      </c>
      <c r="D430" s="9" t="s">
        <v>45</v>
      </c>
      <c r="E430" s="9" t="s">
        <v>44</v>
      </c>
      <c r="F430" s="5" t="n">
        <v>12</v>
      </c>
      <c r="G430" s="10"/>
      <c r="H430" s="11" t="str">
        <f aca="false">IFERROR(IF($D430="Manual Review","",IF($G430="","",IF($D430="Direct Expiry",$G430,EDATE($G430,$F430)))),"Check Date")</f>
        <v/>
      </c>
      <c r="I430" s="12" t="str">
        <f aca="true">IF($H430="","",IF(ISNUMBER($H430),$H430-TODAY(),""))</f>
        <v/>
      </c>
      <c r="J430" s="4" t="str">
        <f aca="true">IF($D430="Manual Review","Manual Review",IF($G430="","No Data",IF(NOT(ISNUMBER($H430)),"N/A",IF($H430&lt;TODAY(),"Overdue",IF($H430&lt;=TODAY()+30,"Due within 1 Month",IF($H430&lt;=TODAY()+60,"Due within 2 Months","OK"))))))</f>
        <v>No Data</v>
      </c>
      <c r="K430" s="13"/>
    </row>
    <row r="431" customFormat="false" ht="15" hidden="false" customHeight="false" outlineLevel="0" collapsed="false">
      <c r="A431" s="9" t="str">
        <f aca="false">Vessels!B8</f>
        <v>Vessel 04</v>
      </c>
      <c r="B431" s="9" t="s">
        <v>117</v>
      </c>
      <c r="C431" s="7" t="s">
        <v>133</v>
      </c>
      <c r="D431" s="9" t="s">
        <v>45</v>
      </c>
      <c r="E431" s="9" t="s">
        <v>44</v>
      </c>
      <c r="F431" s="5" t="n">
        <v>12</v>
      </c>
      <c r="G431" s="10"/>
      <c r="H431" s="11" t="str">
        <f aca="false">IFERROR(IF($D431="Manual Review","",IF($G431="","",IF($D431="Direct Expiry",$G431,EDATE($G431,$F431)))),"Check Date")</f>
        <v/>
      </c>
      <c r="I431" s="12" t="str">
        <f aca="true">IF($H431="","",IF(ISNUMBER($H431),$H431-TODAY(),""))</f>
        <v/>
      </c>
      <c r="J431" s="4" t="str">
        <f aca="true">IF($D431="Manual Review","Manual Review",IF($G431="","No Data",IF(NOT(ISNUMBER($H431)),"N/A",IF($H431&lt;TODAY(),"Overdue",IF($H431&lt;=TODAY()+30,"Due within 1 Month",IF($H431&lt;=TODAY()+60,"Due within 2 Months","OK"))))))</f>
        <v>No Data</v>
      </c>
      <c r="K431" s="13"/>
    </row>
    <row r="432" customFormat="false" ht="15" hidden="false" customHeight="false" outlineLevel="0" collapsed="false">
      <c r="A432" s="9" t="str">
        <f aca="false">Vessels!B8</f>
        <v>Vessel 04</v>
      </c>
      <c r="B432" s="9" t="s">
        <v>117</v>
      </c>
      <c r="C432" s="7" t="s">
        <v>134</v>
      </c>
      <c r="D432" s="9" t="s">
        <v>45</v>
      </c>
      <c r="E432" s="9" t="s">
        <v>44</v>
      </c>
      <c r="F432" s="5" t="n">
        <v>12</v>
      </c>
      <c r="G432" s="10"/>
      <c r="H432" s="11" t="str">
        <f aca="false">IFERROR(IF($D432="Manual Review","",IF($G432="","",IF($D432="Direct Expiry",$G432,EDATE($G432,$F432)))),"Check Date")</f>
        <v/>
      </c>
      <c r="I432" s="12" t="str">
        <f aca="true">IF($H432="","",IF(ISNUMBER($H432),$H432-TODAY(),""))</f>
        <v/>
      </c>
      <c r="J432" s="4" t="str">
        <f aca="true">IF($D432="Manual Review","Manual Review",IF($G432="","No Data",IF(NOT(ISNUMBER($H432)),"N/A",IF($H432&lt;TODAY(),"Overdue",IF($H432&lt;=TODAY()+30,"Due within 1 Month",IF($H432&lt;=TODAY()+60,"Due within 2 Months","OK"))))))</f>
        <v>No Data</v>
      </c>
      <c r="K432" s="13"/>
    </row>
    <row r="433" customFormat="false" ht="15" hidden="false" customHeight="false" outlineLevel="0" collapsed="false">
      <c r="A433" s="9" t="str">
        <f aca="false">Vessels!B8</f>
        <v>Vessel 04</v>
      </c>
      <c r="B433" s="9" t="s">
        <v>117</v>
      </c>
      <c r="C433" s="7" t="s">
        <v>135</v>
      </c>
      <c r="D433" s="9" t="s">
        <v>45</v>
      </c>
      <c r="E433" s="9" t="s">
        <v>44</v>
      </c>
      <c r="F433" s="5" t="n">
        <v>12</v>
      </c>
      <c r="G433" s="10"/>
      <c r="H433" s="11" t="str">
        <f aca="false">IFERROR(IF($D433="Manual Review","",IF($G433="","",IF($D433="Direct Expiry",$G433,EDATE($G433,$F433)))),"Check Date")</f>
        <v/>
      </c>
      <c r="I433" s="12" t="str">
        <f aca="true">IF($H433="","",IF(ISNUMBER($H433),$H433-TODAY(),""))</f>
        <v/>
      </c>
      <c r="J433" s="4" t="str">
        <f aca="true">IF($D433="Manual Review","Manual Review",IF($G433="","No Data",IF(NOT(ISNUMBER($H433)),"N/A",IF($H433&lt;TODAY(),"Overdue",IF($H433&lt;=TODAY()+30,"Due within 1 Month",IF($H433&lt;=TODAY()+60,"Due within 2 Months","OK"))))))</f>
        <v>No Data</v>
      </c>
      <c r="K433" s="13"/>
    </row>
    <row r="434" customFormat="false" ht="15" hidden="false" customHeight="false" outlineLevel="0" collapsed="false">
      <c r="A434" s="9" t="str">
        <f aca="false">Vessels!B8</f>
        <v>Vessel 04</v>
      </c>
      <c r="B434" s="9" t="s">
        <v>136</v>
      </c>
      <c r="C434" s="7" t="s">
        <v>137</v>
      </c>
      <c r="D434" s="9" t="s">
        <v>45</v>
      </c>
      <c r="E434" s="9" t="s">
        <v>44</v>
      </c>
      <c r="F434" s="5" t="n">
        <v>12</v>
      </c>
      <c r="G434" s="10"/>
      <c r="H434" s="11" t="str">
        <f aca="false">IFERROR(IF($D434="Manual Review","",IF($G434="","",IF($D434="Direct Expiry",$G434,EDATE($G434,$F434)))),"Check Date")</f>
        <v/>
      </c>
      <c r="I434" s="12" t="str">
        <f aca="true">IF($H434="","",IF(ISNUMBER($H434),$H434-TODAY(),""))</f>
        <v/>
      </c>
      <c r="J434" s="4" t="str">
        <f aca="true">IF($D434="Manual Review","Manual Review",IF($G434="","No Data",IF(NOT(ISNUMBER($H434)),"N/A",IF($H434&lt;TODAY(),"Overdue",IF($H434&lt;=TODAY()+30,"Due within 1 Month",IF($H434&lt;=TODAY()+60,"Due within 2 Months","OK"))))))</f>
        <v>No Data</v>
      </c>
      <c r="K434" s="13"/>
    </row>
    <row r="435" customFormat="false" ht="15" hidden="false" customHeight="false" outlineLevel="0" collapsed="false">
      <c r="A435" s="9" t="str">
        <f aca="false">Vessels!B8</f>
        <v>Vessel 04</v>
      </c>
      <c r="B435" s="9" t="s">
        <v>136</v>
      </c>
      <c r="C435" s="7" t="s">
        <v>138</v>
      </c>
      <c r="D435" s="9" t="s">
        <v>45</v>
      </c>
      <c r="E435" s="9" t="s">
        <v>44</v>
      </c>
      <c r="F435" s="5" t="n">
        <v>12</v>
      </c>
      <c r="G435" s="10"/>
      <c r="H435" s="11" t="str">
        <f aca="false">IFERROR(IF($D435="Manual Review","",IF($G435="","",IF($D435="Direct Expiry",$G435,EDATE($G435,$F435)))),"Check Date")</f>
        <v/>
      </c>
      <c r="I435" s="12" t="str">
        <f aca="true">IF($H435="","",IF(ISNUMBER($H435),$H435-TODAY(),""))</f>
        <v/>
      </c>
      <c r="J435" s="4" t="str">
        <f aca="true">IF($D435="Manual Review","Manual Review",IF($G435="","No Data",IF(NOT(ISNUMBER($H435)),"N/A",IF($H435&lt;TODAY(),"Overdue",IF($H435&lt;=TODAY()+30,"Due within 1 Month",IF($H435&lt;=TODAY()+60,"Due within 2 Months","OK"))))))</f>
        <v>No Data</v>
      </c>
      <c r="K435" s="13"/>
    </row>
    <row r="436" customFormat="false" ht="15" hidden="false" customHeight="false" outlineLevel="0" collapsed="false">
      <c r="A436" s="9" t="str">
        <f aca="false">Vessels!B8</f>
        <v>Vessel 04</v>
      </c>
      <c r="B436" s="9" t="s">
        <v>136</v>
      </c>
      <c r="C436" s="7" t="s">
        <v>139</v>
      </c>
      <c r="D436" s="9" t="s">
        <v>45</v>
      </c>
      <c r="E436" s="9" t="s">
        <v>140</v>
      </c>
      <c r="F436" s="5" t="n">
        <v>12</v>
      </c>
      <c r="G436" s="10"/>
      <c r="H436" s="11" t="str">
        <f aca="false">IFERROR(IF($D436="Manual Review","",IF($G436="","",IF($D436="Direct Expiry",$G436,EDATE($G436,$F436)))),"Check Date")</f>
        <v/>
      </c>
      <c r="I436" s="12" t="str">
        <f aca="true">IF($H436="","",IF(ISNUMBER($H436),$H436-TODAY(),""))</f>
        <v/>
      </c>
      <c r="J436" s="4" t="str">
        <f aca="true">IF($D436="Manual Review","Manual Review",IF($G436="","No Data",IF(NOT(ISNUMBER($H436)),"N/A",IF($H436&lt;TODAY(),"Overdue",IF($H436&lt;=TODAY()+30,"Due within 1 Month",IF($H436&lt;=TODAY()+60,"Due within 2 Months","OK"))))))</f>
        <v>No Data</v>
      </c>
      <c r="K436" s="13"/>
    </row>
    <row r="437" customFormat="false" ht="15" hidden="false" customHeight="false" outlineLevel="0" collapsed="false">
      <c r="A437" s="9" t="str">
        <f aca="false">Vessels!B8</f>
        <v>Vessel 04</v>
      </c>
      <c r="B437" s="9" t="s">
        <v>136</v>
      </c>
      <c r="C437" s="7" t="s">
        <v>141</v>
      </c>
      <c r="D437" s="9" t="s">
        <v>45</v>
      </c>
      <c r="E437" s="9" t="s">
        <v>44</v>
      </c>
      <c r="F437" s="5" t="n">
        <v>12</v>
      </c>
      <c r="G437" s="10"/>
      <c r="H437" s="11" t="str">
        <f aca="false">IFERROR(IF($D437="Manual Review","",IF($G437="","",IF($D437="Direct Expiry",$G437,EDATE($G437,$F437)))),"Check Date")</f>
        <v/>
      </c>
      <c r="I437" s="12" t="str">
        <f aca="true">IF($H437="","",IF(ISNUMBER($H437),$H437-TODAY(),""))</f>
        <v/>
      </c>
      <c r="J437" s="4" t="str">
        <f aca="true">IF($D437="Manual Review","Manual Review",IF($G437="","No Data",IF(NOT(ISNUMBER($H437)),"N/A",IF($H437&lt;TODAY(),"Overdue",IF($H437&lt;=TODAY()+30,"Due within 1 Month",IF($H437&lt;=TODAY()+60,"Due within 2 Months","OK"))))))</f>
        <v>No Data</v>
      </c>
      <c r="K437" s="13"/>
    </row>
    <row r="438" customFormat="false" ht="15" hidden="false" customHeight="false" outlineLevel="0" collapsed="false">
      <c r="A438" s="9" t="str">
        <f aca="false">Vessels!B8</f>
        <v>Vessel 04</v>
      </c>
      <c r="B438" s="9" t="s">
        <v>136</v>
      </c>
      <c r="C438" s="7" t="s">
        <v>142</v>
      </c>
      <c r="D438" s="9" t="s">
        <v>115</v>
      </c>
      <c r="E438" s="9" t="s">
        <v>143</v>
      </c>
      <c r="F438" s="5"/>
      <c r="G438" s="10"/>
      <c r="H438" s="11" t="str">
        <f aca="false">IFERROR(IF($D438="Manual Review","",IF($G438="","",IF($D438="Direct Expiry",$G438,EDATE($G438,$F438)))),"Check Date")</f>
        <v/>
      </c>
      <c r="I438" s="12" t="str">
        <f aca="true">IF($H438="","",IF(ISNUMBER($H438),$H438-TODAY(),""))</f>
        <v/>
      </c>
      <c r="J438" s="4" t="str">
        <f aca="true">IF($D438="Manual Review","Manual Review",IF($G438="","No Data",IF(NOT(ISNUMBER($H438)),"N/A",IF($H438&lt;TODAY(),"Overdue",IF($H438&lt;=TODAY()+30,"Due within 1 Month",IF($H438&lt;=TODAY()+60,"Due within 2 Months","OK"))))))</f>
        <v>Manual Review</v>
      </c>
      <c r="K438" s="13"/>
    </row>
    <row r="439" customFormat="false" ht="15" hidden="false" customHeight="false" outlineLevel="0" collapsed="false">
      <c r="A439" s="9" t="str">
        <f aca="false">Vessels!B8</f>
        <v>Vessel 04</v>
      </c>
      <c r="B439" s="9" t="s">
        <v>136</v>
      </c>
      <c r="C439" s="7" t="s">
        <v>144</v>
      </c>
      <c r="D439" s="9" t="s">
        <v>45</v>
      </c>
      <c r="E439" s="9" t="s">
        <v>44</v>
      </c>
      <c r="F439" s="5" t="n">
        <v>12</v>
      </c>
      <c r="G439" s="10"/>
      <c r="H439" s="11" t="str">
        <f aca="false">IFERROR(IF($D439="Manual Review","",IF($G439="","",IF($D439="Direct Expiry",$G439,EDATE($G439,$F439)))),"Check Date")</f>
        <v/>
      </c>
      <c r="I439" s="12" t="str">
        <f aca="true">IF($H439="","",IF(ISNUMBER($H439),$H439-TODAY(),""))</f>
        <v/>
      </c>
      <c r="J439" s="4" t="str">
        <f aca="true">IF($D439="Manual Review","Manual Review",IF($G439="","No Data",IF(NOT(ISNUMBER($H439)),"N/A",IF($H439&lt;TODAY(),"Overdue",IF($H439&lt;=TODAY()+30,"Due within 1 Month",IF($H439&lt;=TODAY()+60,"Due within 2 Months","OK"))))))</f>
        <v>No Data</v>
      </c>
      <c r="K439" s="13"/>
    </row>
    <row r="440" customFormat="false" ht="15" hidden="false" customHeight="false" outlineLevel="0" collapsed="false">
      <c r="A440" s="9" t="str">
        <f aca="false">Vessels!B8</f>
        <v>Vessel 04</v>
      </c>
      <c r="B440" s="9" t="s">
        <v>136</v>
      </c>
      <c r="C440" s="7" t="s">
        <v>145</v>
      </c>
      <c r="D440" s="9" t="s">
        <v>45</v>
      </c>
      <c r="E440" s="9" t="s">
        <v>44</v>
      </c>
      <c r="F440" s="5" t="n">
        <v>12</v>
      </c>
      <c r="G440" s="10"/>
      <c r="H440" s="11" t="str">
        <f aca="false">IFERROR(IF($D440="Manual Review","",IF($G440="","",IF($D440="Direct Expiry",$G440,EDATE($G440,$F440)))),"Check Date")</f>
        <v/>
      </c>
      <c r="I440" s="12" t="str">
        <f aca="true">IF($H440="","",IF(ISNUMBER($H440),$H440-TODAY(),""))</f>
        <v/>
      </c>
      <c r="J440" s="4" t="str">
        <f aca="true">IF($D440="Manual Review","Manual Review",IF($G440="","No Data",IF(NOT(ISNUMBER($H440)),"N/A",IF($H440&lt;TODAY(),"Overdue",IF($H440&lt;=TODAY()+30,"Due within 1 Month",IF($H440&lt;=TODAY()+60,"Due within 2 Months","OK"))))))</f>
        <v>No Data</v>
      </c>
      <c r="K440" s="13"/>
    </row>
    <row r="441" customFormat="false" ht="15" hidden="false" customHeight="false" outlineLevel="0" collapsed="false">
      <c r="A441" s="9" t="str">
        <f aca="false">Vessels!B8</f>
        <v>Vessel 04</v>
      </c>
      <c r="B441" s="9" t="s">
        <v>136</v>
      </c>
      <c r="C441" s="7" t="s">
        <v>146</v>
      </c>
      <c r="D441" s="9" t="s">
        <v>45</v>
      </c>
      <c r="E441" s="9" t="s">
        <v>44</v>
      </c>
      <c r="F441" s="5" t="n">
        <v>12</v>
      </c>
      <c r="G441" s="10"/>
      <c r="H441" s="11" t="str">
        <f aca="false">IFERROR(IF($D441="Manual Review","",IF($G441="","",IF($D441="Direct Expiry",$G441,EDATE($G441,$F441)))),"Check Date")</f>
        <v/>
      </c>
      <c r="I441" s="12" t="str">
        <f aca="true">IF($H441="","",IF(ISNUMBER($H441),$H441-TODAY(),""))</f>
        <v/>
      </c>
      <c r="J441" s="4" t="str">
        <f aca="true">IF($D441="Manual Review","Manual Review",IF($G441="","No Data",IF(NOT(ISNUMBER($H441)),"N/A",IF($H441&lt;TODAY(),"Overdue",IF($H441&lt;=TODAY()+30,"Due within 1 Month",IF($H441&lt;=TODAY()+60,"Due within 2 Months","OK"))))))</f>
        <v>No Data</v>
      </c>
      <c r="K441" s="13"/>
    </row>
    <row r="442" customFormat="false" ht="15" hidden="false" customHeight="false" outlineLevel="0" collapsed="false">
      <c r="A442" s="9" t="str">
        <f aca="false">Vessels!B8</f>
        <v>Vessel 04</v>
      </c>
      <c r="B442" s="9" t="s">
        <v>136</v>
      </c>
      <c r="C442" s="7" t="s">
        <v>147</v>
      </c>
      <c r="D442" s="9" t="s">
        <v>45</v>
      </c>
      <c r="E442" s="9" t="s">
        <v>44</v>
      </c>
      <c r="F442" s="5" t="n">
        <v>12</v>
      </c>
      <c r="G442" s="10"/>
      <c r="H442" s="11" t="str">
        <f aca="false">IFERROR(IF($D442="Manual Review","",IF($G442="","",IF($D442="Direct Expiry",$G442,EDATE($G442,$F442)))),"Check Date")</f>
        <v/>
      </c>
      <c r="I442" s="12" t="str">
        <f aca="true">IF($H442="","",IF(ISNUMBER($H442),$H442-TODAY(),""))</f>
        <v/>
      </c>
      <c r="J442" s="4" t="str">
        <f aca="true">IF($D442="Manual Review","Manual Review",IF($G442="","No Data",IF(NOT(ISNUMBER($H442)),"N/A",IF($H442&lt;TODAY(),"Overdue",IF($H442&lt;=TODAY()+30,"Due within 1 Month",IF($H442&lt;=TODAY()+60,"Due within 2 Months","OK"))))))</f>
        <v>No Data</v>
      </c>
      <c r="K442" s="13"/>
    </row>
    <row r="443" customFormat="false" ht="15" hidden="false" customHeight="false" outlineLevel="0" collapsed="false">
      <c r="A443" s="9" t="str">
        <f aca="false">Vessels!B8</f>
        <v>Vessel 04</v>
      </c>
      <c r="B443" s="9" t="s">
        <v>136</v>
      </c>
      <c r="C443" s="7" t="s">
        <v>148</v>
      </c>
      <c r="D443" s="9" t="s">
        <v>45</v>
      </c>
      <c r="E443" s="9" t="s">
        <v>44</v>
      </c>
      <c r="F443" s="5" t="n">
        <v>12</v>
      </c>
      <c r="G443" s="10"/>
      <c r="H443" s="11" t="str">
        <f aca="false">IFERROR(IF($D443="Manual Review","",IF($G443="","",IF($D443="Direct Expiry",$G443,EDATE($G443,$F443)))),"Check Date")</f>
        <v/>
      </c>
      <c r="I443" s="12" t="str">
        <f aca="true">IF($H443="","",IF(ISNUMBER($H443),$H443-TODAY(),""))</f>
        <v/>
      </c>
      <c r="J443" s="4" t="str">
        <f aca="true">IF($D443="Manual Review","Manual Review",IF($G443="","No Data",IF(NOT(ISNUMBER($H443)),"N/A",IF($H443&lt;TODAY(),"Overdue",IF($H443&lt;=TODAY()+30,"Due within 1 Month",IF($H443&lt;=TODAY()+60,"Due within 2 Months","OK"))))))</f>
        <v>No Data</v>
      </c>
      <c r="K443" s="13"/>
    </row>
    <row r="444" customFormat="false" ht="15" hidden="false" customHeight="false" outlineLevel="0" collapsed="false">
      <c r="A444" s="9" t="str">
        <f aca="false">Vessels!B8</f>
        <v>Vessel 04</v>
      </c>
      <c r="B444" s="9" t="s">
        <v>136</v>
      </c>
      <c r="C444" s="7" t="s">
        <v>149</v>
      </c>
      <c r="D444" s="9" t="s">
        <v>45</v>
      </c>
      <c r="E444" s="9" t="s">
        <v>44</v>
      </c>
      <c r="F444" s="5" t="n">
        <v>12</v>
      </c>
      <c r="G444" s="10"/>
      <c r="H444" s="11" t="str">
        <f aca="false">IFERROR(IF($D444="Manual Review","",IF($G444="","",IF($D444="Direct Expiry",$G444,EDATE($G444,$F444)))),"Check Date")</f>
        <v/>
      </c>
      <c r="I444" s="12" t="str">
        <f aca="true">IF($H444="","",IF(ISNUMBER($H444),$H444-TODAY(),""))</f>
        <v/>
      </c>
      <c r="J444" s="4" t="str">
        <f aca="true">IF($D444="Manual Review","Manual Review",IF($G444="","No Data",IF(NOT(ISNUMBER($H444)),"N/A",IF($H444&lt;TODAY(),"Overdue",IF($H444&lt;=TODAY()+30,"Due within 1 Month",IF($H444&lt;=TODAY()+60,"Due within 2 Months","OK"))))))</f>
        <v>No Data</v>
      </c>
      <c r="K444" s="13"/>
    </row>
    <row r="445" customFormat="false" ht="15" hidden="false" customHeight="false" outlineLevel="0" collapsed="false">
      <c r="A445" s="9" t="str">
        <f aca="false">Vessels!B8</f>
        <v>Vessel 04</v>
      </c>
      <c r="B445" s="9" t="s">
        <v>136</v>
      </c>
      <c r="C445" s="7" t="s">
        <v>150</v>
      </c>
      <c r="D445" s="9" t="s">
        <v>45</v>
      </c>
      <c r="E445" s="9" t="s">
        <v>44</v>
      </c>
      <c r="F445" s="5" t="n">
        <v>12</v>
      </c>
      <c r="G445" s="10"/>
      <c r="H445" s="11" t="str">
        <f aca="false">IFERROR(IF($D445="Manual Review","",IF($G445="","",IF($D445="Direct Expiry",$G445,EDATE($G445,$F445)))),"Check Date")</f>
        <v/>
      </c>
      <c r="I445" s="12" t="str">
        <f aca="true">IF($H445="","",IF(ISNUMBER($H445),$H445-TODAY(),""))</f>
        <v/>
      </c>
      <c r="J445" s="4" t="str">
        <f aca="true">IF($D445="Manual Review","Manual Review",IF($G445="","No Data",IF(NOT(ISNUMBER($H445)),"N/A",IF($H445&lt;TODAY(),"Overdue",IF($H445&lt;=TODAY()+30,"Due within 1 Month",IF($H445&lt;=TODAY()+60,"Due within 2 Months","OK"))))))</f>
        <v>No Data</v>
      </c>
      <c r="K445" s="13"/>
    </row>
    <row r="446" customFormat="false" ht="15" hidden="false" customHeight="false" outlineLevel="0" collapsed="false">
      <c r="A446" s="9" t="str">
        <f aca="false">Vessels!B8</f>
        <v>Vessel 04</v>
      </c>
      <c r="B446" s="9" t="s">
        <v>136</v>
      </c>
      <c r="C446" s="7" t="s">
        <v>151</v>
      </c>
      <c r="D446" s="9" t="s">
        <v>45</v>
      </c>
      <c r="E446" s="9" t="s">
        <v>44</v>
      </c>
      <c r="F446" s="5" t="n">
        <v>12</v>
      </c>
      <c r="G446" s="10"/>
      <c r="H446" s="11" t="str">
        <f aca="false">IFERROR(IF($D446="Manual Review","",IF($G446="","",IF($D446="Direct Expiry",$G446,EDATE($G446,$F446)))),"Check Date")</f>
        <v/>
      </c>
      <c r="I446" s="12" t="str">
        <f aca="true">IF($H446="","",IF(ISNUMBER($H446),$H446-TODAY(),""))</f>
        <v/>
      </c>
      <c r="J446" s="4" t="str">
        <f aca="true">IF($D446="Manual Review","Manual Review",IF($G446="","No Data",IF(NOT(ISNUMBER($H446)),"N/A",IF($H446&lt;TODAY(),"Overdue",IF($H446&lt;=TODAY()+30,"Due within 1 Month",IF($H446&lt;=TODAY()+60,"Due within 2 Months","OK"))))))</f>
        <v>No Data</v>
      </c>
      <c r="K446" s="13"/>
    </row>
    <row r="447" customFormat="false" ht="15" hidden="false" customHeight="false" outlineLevel="0" collapsed="false">
      <c r="A447" s="9" t="str">
        <f aca="false">Vessels!B8</f>
        <v>Vessel 04</v>
      </c>
      <c r="B447" s="9" t="s">
        <v>136</v>
      </c>
      <c r="C447" s="7" t="s">
        <v>152</v>
      </c>
      <c r="D447" s="9" t="s">
        <v>45</v>
      </c>
      <c r="E447" s="9" t="s">
        <v>44</v>
      </c>
      <c r="F447" s="5" t="n">
        <v>12</v>
      </c>
      <c r="G447" s="10"/>
      <c r="H447" s="11" t="str">
        <f aca="false">IFERROR(IF($D447="Manual Review","",IF($G447="","",IF($D447="Direct Expiry",$G447,EDATE($G447,$F447)))),"Check Date")</f>
        <v/>
      </c>
      <c r="I447" s="12" t="str">
        <f aca="true">IF($H447="","",IF(ISNUMBER($H447),$H447-TODAY(),""))</f>
        <v/>
      </c>
      <c r="J447" s="4" t="str">
        <f aca="true">IF($D447="Manual Review","Manual Review",IF($G447="","No Data",IF(NOT(ISNUMBER($H447)),"N/A",IF($H447&lt;TODAY(),"Overdue",IF($H447&lt;=TODAY()+30,"Due within 1 Month",IF($H447&lt;=TODAY()+60,"Due within 2 Months","OK"))))))</f>
        <v>No Data</v>
      </c>
      <c r="K447" s="13"/>
    </row>
    <row r="448" customFormat="false" ht="15" hidden="false" customHeight="false" outlineLevel="0" collapsed="false">
      <c r="A448" s="9" t="str">
        <f aca="false">Vessels!B8</f>
        <v>Vessel 04</v>
      </c>
      <c r="B448" s="9" t="s">
        <v>136</v>
      </c>
      <c r="C448" s="7" t="s">
        <v>153</v>
      </c>
      <c r="D448" s="9" t="s">
        <v>45</v>
      </c>
      <c r="E448" s="9" t="s">
        <v>44</v>
      </c>
      <c r="F448" s="5" t="n">
        <v>12</v>
      </c>
      <c r="G448" s="10"/>
      <c r="H448" s="11" t="str">
        <f aca="false">IFERROR(IF($D448="Manual Review","",IF($G448="","",IF($D448="Direct Expiry",$G448,EDATE($G448,$F448)))),"Check Date")</f>
        <v/>
      </c>
      <c r="I448" s="12" t="str">
        <f aca="true">IF($H448="","",IF(ISNUMBER($H448),$H448-TODAY(),""))</f>
        <v/>
      </c>
      <c r="J448" s="4" t="str">
        <f aca="true">IF($D448="Manual Review","Manual Review",IF($G448="","No Data",IF(NOT(ISNUMBER($H448)),"N/A",IF($H448&lt;TODAY(),"Overdue",IF($H448&lt;=TODAY()+30,"Due within 1 Month",IF($H448&lt;=TODAY()+60,"Due within 2 Months","OK"))))))</f>
        <v>No Data</v>
      </c>
      <c r="K448" s="13"/>
    </row>
    <row r="449" customFormat="false" ht="15" hidden="false" customHeight="false" outlineLevel="0" collapsed="false">
      <c r="A449" s="9" t="str">
        <f aca="false">Vessels!B8</f>
        <v>Vessel 04</v>
      </c>
      <c r="B449" s="9" t="s">
        <v>136</v>
      </c>
      <c r="C449" s="7" t="s">
        <v>154</v>
      </c>
      <c r="D449" s="9" t="s">
        <v>45</v>
      </c>
      <c r="E449" s="9" t="s">
        <v>44</v>
      </c>
      <c r="F449" s="5" t="n">
        <v>12</v>
      </c>
      <c r="G449" s="10"/>
      <c r="H449" s="11" t="str">
        <f aca="false">IFERROR(IF($D449="Manual Review","",IF($G449="","",IF($D449="Direct Expiry",$G449,EDATE($G449,$F449)))),"Check Date")</f>
        <v/>
      </c>
      <c r="I449" s="12" t="str">
        <f aca="true">IF($H449="","",IF(ISNUMBER($H449),$H449-TODAY(),""))</f>
        <v/>
      </c>
      <c r="J449" s="4" t="str">
        <f aca="true">IF($D449="Manual Review","Manual Review",IF($G449="","No Data",IF(NOT(ISNUMBER($H449)),"N/A",IF($H449&lt;TODAY(),"Overdue",IF($H449&lt;=TODAY()+30,"Due within 1 Month",IF($H449&lt;=TODAY()+60,"Due within 2 Months","OK"))))))</f>
        <v>No Data</v>
      </c>
      <c r="K449" s="13"/>
    </row>
    <row r="450" customFormat="false" ht="15" hidden="false" customHeight="false" outlineLevel="0" collapsed="false">
      <c r="A450" s="9" t="str">
        <f aca="false">Vessels!B8</f>
        <v>Vessel 04</v>
      </c>
      <c r="B450" s="9" t="s">
        <v>136</v>
      </c>
      <c r="C450" s="7" t="s">
        <v>155</v>
      </c>
      <c r="D450" s="9" t="s">
        <v>45</v>
      </c>
      <c r="E450" s="9" t="s">
        <v>44</v>
      </c>
      <c r="F450" s="5" t="n">
        <v>12</v>
      </c>
      <c r="G450" s="10"/>
      <c r="H450" s="11" t="str">
        <f aca="false">IFERROR(IF($D450="Manual Review","",IF($G450="","",IF($D450="Direct Expiry",$G450,EDATE($G450,$F450)))),"Check Date")</f>
        <v/>
      </c>
      <c r="I450" s="12" t="str">
        <f aca="true">IF($H450="","",IF(ISNUMBER($H450),$H450-TODAY(),""))</f>
        <v/>
      </c>
      <c r="J450" s="4" t="str">
        <f aca="true">IF($D450="Manual Review","Manual Review",IF($G450="","No Data",IF(NOT(ISNUMBER($H450)),"N/A",IF($H450&lt;TODAY(),"Overdue",IF($H450&lt;=TODAY()+30,"Due within 1 Month",IF($H450&lt;=TODAY()+60,"Due within 2 Months","OK"))))))</f>
        <v>No Data</v>
      </c>
      <c r="K450" s="13"/>
    </row>
    <row r="451" customFormat="false" ht="15" hidden="false" customHeight="false" outlineLevel="0" collapsed="false">
      <c r="A451" s="9" t="str">
        <f aca="false">Vessels!B8</f>
        <v>Vessel 04</v>
      </c>
      <c r="B451" s="9" t="s">
        <v>136</v>
      </c>
      <c r="C451" s="7" t="s">
        <v>156</v>
      </c>
      <c r="D451" s="9" t="s">
        <v>45</v>
      </c>
      <c r="E451" s="9" t="s">
        <v>44</v>
      </c>
      <c r="F451" s="5" t="n">
        <v>12</v>
      </c>
      <c r="G451" s="10"/>
      <c r="H451" s="11" t="str">
        <f aca="false">IFERROR(IF($D451="Manual Review","",IF($G451="","",IF($D451="Direct Expiry",$G451,EDATE($G451,$F451)))),"Check Date")</f>
        <v/>
      </c>
      <c r="I451" s="12" t="str">
        <f aca="true">IF($H451="","",IF(ISNUMBER($H451),$H451-TODAY(),""))</f>
        <v/>
      </c>
      <c r="J451" s="4" t="str">
        <f aca="true">IF($D451="Manual Review","Manual Review",IF($G451="","No Data",IF(NOT(ISNUMBER($H451)),"N/A",IF($H451&lt;TODAY(),"Overdue",IF($H451&lt;=TODAY()+30,"Due within 1 Month",IF($H451&lt;=TODAY()+60,"Due within 2 Months","OK"))))))</f>
        <v>No Data</v>
      </c>
      <c r="K451" s="13"/>
    </row>
    <row r="452" customFormat="false" ht="15" hidden="false" customHeight="false" outlineLevel="0" collapsed="false">
      <c r="A452" s="9" t="str">
        <f aca="false">Vessels!B8</f>
        <v>Vessel 04</v>
      </c>
      <c r="B452" s="9" t="s">
        <v>136</v>
      </c>
      <c r="C452" s="7" t="s">
        <v>157</v>
      </c>
      <c r="D452" s="9" t="s">
        <v>45</v>
      </c>
      <c r="E452" s="9" t="s">
        <v>44</v>
      </c>
      <c r="F452" s="5" t="n">
        <v>12</v>
      </c>
      <c r="G452" s="10"/>
      <c r="H452" s="11" t="str">
        <f aca="false">IFERROR(IF($D452="Manual Review","",IF($G452="","",IF($D452="Direct Expiry",$G452,EDATE($G452,$F452)))),"Check Date")</f>
        <v/>
      </c>
      <c r="I452" s="12" t="str">
        <f aca="true">IF($H452="","",IF(ISNUMBER($H452),$H452-TODAY(),""))</f>
        <v/>
      </c>
      <c r="J452" s="4" t="str">
        <f aca="true">IF($D452="Manual Review","Manual Review",IF($G452="","No Data",IF(NOT(ISNUMBER($H452)),"N/A",IF($H452&lt;TODAY(),"Overdue",IF($H452&lt;=TODAY()+30,"Due within 1 Month",IF($H452&lt;=TODAY()+60,"Due within 2 Months","OK"))))))</f>
        <v>No Data</v>
      </c>
      <c r="K452" s="13"/>
    </row>
    <row r="453" customFormat="false" ht="15" hidden="false" customHeight="false" outlineLevel="0" collapsed="false">
      <c r="A453" s="9" t="str">
        <f aca="false">Vessels!B9</f>
        <v>Vessel 05</v>
      </c>
      <c r="B453" s="9" t="s">
        <v>42</v>
      </c>
      <c r="C453" s="7" t="s">
        <v>43</v>
      </c>
      <c r="D453" s="9" t="s">
        <v>45</v>
      </c>
      <c r="E453" s="9" t="s">
        <v>44</v>
      </c>
      <c r="F453" s="5" t="n">
        <v>12</v>
      </c>
      <c r="G453" s="10"/>
      <c r="H453" s="11" t="str">
        <f aca="false">IFERROR(IF($D453="Manual Review","",IF($G453="","",IF($D453="Direct Expiry",$G453,EDATE($G453,$F453)))),"Check Date")</f>
        <v/>
      </c>
      <c r="I453" s="12" t="str">
        <f aca="true">IF($H453="","",IF(ISNUMBER($H453),$H453-TODAY(),""))</f>
        <v/>
      </c>
      <c r="J453" s="4" t="str">
        <f aca="true">IF($D453="Manual Review","Manual Review",IF($G453="","No Data",IF(NOT(ISNUMBER($H453)),"N/A",IF($H453&lt;TODAY(),"Overdue",IF($H453&lt;=TODAY()+30,"Due within 1 Month",IF($H453&lt;=TODAY()+60,"Due within 2 Months","OK"))))))</f>
        <v>No Data</v>
      </c>
      <c r="K453" s="13"/>
    </row>
    <row r="454" customFormat="false" ht="15" hidden="false" customHeight="false" outlineLevel="0" collapsed="false">
      <c r="A454" s="9" t="str">
        <f aca="false">Vessels!B9</f>
        <v>Vessel 05</v>
      </c>
      <c r="B454" s="9" t="s">
        <v>42</v>
      </c>
      <c r="C454" s="7" t="s">
        <v>43</v>
      </c>
      <c r="D454" s="9" t="s">
        <v>45</v>
      </c>
      <c r="E454" s="9" t="s">
        <v>46</v>
      </c>
      <c r="F454" s="5" t="n">
        <v>60</v>
      </c>
      <c r="G454" s="10"/>
      <c r="H454" s="11" t="str">
        <f aca="false">IFERROR(IF($D454="Manual Review","",IF($G454="","",IF($D454="Direct Expiry",$G454,EDATE($G454,$F454)))),"Check Date")</f>
        <v/>
      </c>
      <c r="I454" s="12" t="str">
        <f aca="true">IF($H454="","",IF(ISNUMBER($H454),$H454-TODAY(),""))</f>
        <v/>
      </c>
      <c r="J454" s="4" t="str">
        <f aca="true">IF($D454="Manual Review","Manual Review",IF($G454="","No Data",IF(NOT(ISNUMBER($H454)),"N/A",IF($H454&lt;TODAY(),"Overdue",IF($H454&lt;=TODAY()+30,"Due within 1 Month",IF($H454&lt;=TODAY()+60,"Due within 2 Months","OK"))))))</f>
        <v>No Data</v>
      </c>
      <c r="K454" s="13"/>
    </row>
    <row r="455" customFormat="false" ht="15" hidden="false" customHeight="false" outlineLevel="0" collapsed="false">
      <c r="A455" s="9" t="str">
        <f aca="false">Vessels!B9</f>
        <v>Vessel 05</v>
      </c>
      <c r="B455" s="9" t="s">
        <v>42</v>
      </c>
      <c r="C455" s="7" t="s">
        <v>47</v>
      </c>
      <c r="D455" s="9" t="s">
        <v>45</v>
      </c>
      <c r="E455" s="9" t="s">
        <v>44</v>
      </c>
      <c r="F455" s="5" t="n">
        <v>12</v>
      </c>
      <c r="G455" s="10"/>
      <c r="H455" s="11" t="str">
        <f aca="false">IFERROR(IF($D455="Manual Review","",IF($G455="","",IF($D455="Direct Expiry",$G455,EDATE($G455,$F455)))),"Check Date")</f>
        <v/>
      </c>
      <c r="I455" s="12" t="str">
        <f aca="true">IF($H455="","",IF(ISNUMBER($H455),$H455-TODAY(),""))</f>
        <v/>
      </c>
      <c r="J455" s="4" t="str">
        <f aca="true">IF($D455="Manual Review","Manual Review",IF($G455="","No Data",IF(NOT(ISNUMBER($H455)),"N/A",IF($H455&lt;TODAY(),"Overdue",IF($H455&lt;=TODAY()+30,"Due within 1 Month",IF($H455&lt;=TODAY()+60,"Due within 2 Months","OK"))))))</f>
        <v>No Data</v>
      </c>
      <c r="K455" s="13"/>
    </row>
    <row r="456" customFormat="false" ht="15" hidden="false" customHeight="false" outlineLevel="0" collapsed="false">
      <c r="A456" s="9" t="str">
        <f aca="false">Vessels!B9</f>
        <v>Vessel 05</v>
      </c>
      <c r="B456" s="9" t="s">
        <v>42</v>
      </c>
      <c r="C456" s="7" t="s">
        <v>47</v>
      </c>
      <c r="D456" s="9" t="s">
        <v>45</v>
      </c>
      <c r="E456" s="9" t="s">
        <v>46</v>
      </c>
      <c r="F456" s="5" t="n">
        <v>60</v>
      </c>
      <c r="G456" s="10"/>
      <c r="H456" s="11" t="str">
        <f aca="false">IFERROR(IF($D456="Manual Review","",IF($G456="","",IF($D456="Direct Expiry",$G456,EDATE($G456,$F456)))),"Check Date")</f>
        <v/>
      </c>
      <c r="I456" s="12" t="str">
        <f aca="true">IF($H456="","",IF(ISNUMBER($H456),$H456-TODAY(),""))</f>
        <v/>
      </c>
      <c r="J456" s="4" t="str">
        <f aca="true">IF($D456="Manual Review","Manual Review",IF($G456="","No Data",IF(NOT(ISNUMBER($H456)),"N/A",IF($H456&lt;TODAY(),"Overdue",IF($H456&lt;=TODAY()+30,"Due within 1 Month",IF($H456&lt;=TODAY()+60,"Due within 2 Months","OK"))))))</f>
        <v>No Data</v>
      </c>
      <c r="K456" s="13"/>
    </row>
    <row r="457" customFormat="false" ht="15" hidden="false" customHeight="false" outlineLevel="0" collapsed="false">
      <c r="A457" s="9" t="str">
        <f aca="false">Vessels!B9</f>
        <v>Vessel 05</v>
      </c>
      <c r="B457" s="9" t="s">
        <v>42</v>
      </c>
      <c r="C457" s="7" t="s">
        <v>48</v>
      </c>
      <c r="D457" s="9" t="s">
        <v>45</v>
      </c>
      <c r="E457" s="9" t="s">
        <v>44</v>
      </c>
      <c r="F457" s="5" t="n">
        <v>12</v>
      </c>
      <c r="G457" s="10"/>
      <c r="H457" s="11" t="str">
        <f aca="false">IFERROR(IF($D457="Manual Review","",IF($G457="","",IF($D457="Direct Expiry",$G457,EDATE($G457,$F457)))),"Check Date")</f>
        <v/>
      </c>
      <c r="I457" s="12" t="str">
        <f aca="true">IF($H457="","",IF(ISNUMBER($H457),$H457-TODAY(),""))</f>
        <v/>
      </c>
      <c r="J457" s="4" t="str">
        <f aca="true">IF($D457="Manual Review","Manual Review",IF($G457="","No Data",IF(NOT(ISNUMBER($H457)),"N/A",IF($H457&lt;TODAY(),"Overdue",IF($H457&lt;=TODAY()+30,"Due within 1 Month",IF($H457&lt;=TODAY()+60,"Due within 2 Months","OK"))))))</f>
        <v>No Data</v>
      </c>
      <c r="K457" s="13"/>
    </row>
    <row r="458" customFormat="false" ht="15" hidden="false" customHeight="false" outlineLevel="0" collapsed="false">
      <c r="A458" s="9" t="str">
        <f aca="false">Vessels!B9</f>
        <v>Vessel 05</v>
      </c>
      <c r="B458" s="9" t="s">
        <v>42</v>
      </c>
      <c r="C458" s="7" t="s">
        <v>48</v>
      </c>
      <c r="D458" s="9" t="s">
        <v>45</v>
      </c>
      <c r="E458" s="9" t="s">
        <v>49</v>
      </c>
      <c r="F458" s="5" t="n">
        <v>60</v>
      </c>
      <c r="G458" s="10"/>
      <c r="H458" s="11" t="str">
        <f aca="false">IFERROR(IF($D458="Manual Review","",IF($G458="","",IF($D458="Direct Expiry",$G458,EDATE($G458,$F458)))),"Check Date")</f>
        <v/>
      </c>
      <c r="I458" s="12" t="str">
        <f aca="true">IF($H458="","",IF(ISNUMBER($H458),$H458-TODAY(),""))</f>
        <v/>
      </c>
      <c r="J458" s="4" t="str">
        <f aca="true">IF($D458="Manual Review","Manual Review",IF($G458="","No Data",IF(NOT(ISNUMBER($H458)),"N/A",IF($H458&lt;TODAY(),"Overdue",IF($H458&lt;=TODAY()+30,"Due within 1 Month",IF($H458&lt;=TODAY()+60,"Due within 2 Months","OK"))))))</f>
        <v>No Data</v>
      </c>
      <c r="K458" s="13"/>
    </row>
    <row r="459" customFormat="false" ht="15" hidden="false" customHeight="false" outlineLevel="0" collapsed="false">
      <c r="A459" s="9" t="str">
        <f aca="false">Vessels!B9</f>
        <v>Vessel 05</v>
      </c>
      <c r="B459" s="9" t="s">
        <v>42</v>
      </c>
      <c r="C459" s="7" t="s">
        <v>50</v>
      </c>
      <c r="D459" s="9" t="s">
        <v>45</v>
      </c>
      <c r="E459" s="9" t="s">
        <v>44</v>
      </c>
      <c r="F459" s="5" t="n">
        <v>12</v>
      </c>
      <c r="G459" s="10"/>
      <c r="H459" s="11" t="str">
        <f aca="false">IFERROR(IF($D459="Manual Review","",IF($G459="","",IF($D459="Direct Expiry",$G459,EDATE($G459,$F459)))),"Check Date")</f>
        <v/>
      </c>
      <c r="I459" s="12" t="str">
        <f aca="true">IF($H459="","",IF(ISNUMBER($H459),$H459-TODAY(),""))</f>
        <v/>
      </c>
      <c r="J459" s="4" t="str">
        <f aca="true">IF($D459="Manual Review","Manual Review",IF($G459="","No Data",IF(NOT(ISNUMBER($H459)),"N/A",IF($H459&lt;TODAY(),"Overdue",IF($H459&lt;=TODAY()+30,"Due within 1 Month",IF($H459&lt;=TODAY()+60,"Due within 2 Months","OK"))))))</f>
        <v>No Data</v>
      </c>
      <c r="K459" s="13"/>
    </row>
    <row r="460" customFormat="false" ht="15" hidden="false" customHeight="false" outlineLevel="0" collapsed="false">
      <c r="A460" s="9" t="str">
        <f aca="false">Vessels!B9</f>
        <v>Vessel 05</v>
      </c>
      <c r="B460" s="9" t="s">
        <v>42</v>
      </c>
      <c r="C460" s="7" t="s">
        <v>50</v>
      </c>
      <c r="D460" s="9" t="s">
        <v>45</v>
      </c>
      <c r="E460" s="9" t="s">
        <v>49</v>
      </c>
      <c r="F460" s="5" t="n">
        <v>60</v>
      </c>
      <c r="G460" s="10"/>
      <c r="H460" s="11" t="str">
        <f aca="false">IFERROR(IF($D460="Manual Review","",IF($G460="","",IF($D460="Direct Expiry",$G460,EDATE($G460,$F460)))),"Check Date")</f>
        <v/>
      </c>
      <c r="I460" s="12" t="str">
        <f aca="true">IF($H460="","",IF(ISNUMBER($H460),$H460-TODAY(),""))</f>
        <v/>
      </c>
      <c r="J460" s="4" t="str">
        <f aca="true">IF($D460="Manual Review","Manual Review",IF($G460="","No Data",IF(NOT(ISNUMBER($H460)),"N/A",IF($H460&lt;TODAY(),"Overdue",IF($H460&lt;=TODAY()+30,"Due within 1 Month",IF($H460&lt;=TODAY()+60,"Due within 2 Months","OK"))))))</f>
        <v>No Data</v>
      </c>
      <c r="K460" s="13"/>
    </row>
    <row r="461" customFormat="false" ht="15" hidden="false" customHeight="false" outlineLevel="0" collapsed="false">
      <c r="A461" s="9" t="str">
        <f aca="false">Vessels!B9</f>
        <v>Vessel 05</v>
      </c>
      <c r="B461" s="9" t="s">
        <v>42</v>
      </c>
      <c r="C461" s="7" t="s">
        <v>51</v>
      </c>
      <c r="D461" s="9" t="s">
        <v>45</v>
      </c>
      <c r="E461" s="9" t="s">
        <v>46</v>
      </c>
      <c r="F461" s="5" t="n">
        <v>60</v>
      </c>
      <c r="G461" s="10"/>
      <c r="H461" s="11" t="str">
        <f aca="false">IFERROR(IF($D461="Manual Review","",IF($G461="","",IF($D461="Direct Expiry",$G461,EDATE($G461,$F461)))),"Check Date")</f>
        <v/>
      </c>
      <c r="I461" s="12" t="str">
        <f aca="true">IF($H461="","",IF(ISNUMBER($H461),$H461-TODAY(),""))</f>
        <v/>
      </c>
      <c r="J461" s="4" t="str">
        <f aca="true">IF($D461="Manual Review","Manual Review",IF($G461="","No Data",IF(NOT(ISNUMBER($H461)),"N/A",IF($H461&lt;TODAY(),"Overdue",IF($H461&lt;=TODAY()+30,"Due within 1 Month",IF($H461&lt;=TODAY()+60,"Due within 2 Months","OK"))))))</f>
        <v>No Data</v>
      </c>
      <c r="K461" s="13"/>
    </row>
    <row r="462" customFormat="false" ht="15" hidden="false" customHeight="false" outlineLevel="0" collapsed="false">
      <c r="A462" s="9" t="str">
        <f aca="false">Vessels!B9</f>
        <v>Vessel 05</v>
      </c>
      <c r="B462" s="9" t="s">
        <v>42</v>
      </c>
      <c r="C462" s="7" t="s">
        <v>52</v>
      </c>
      <c r="D462" s="9" t="s">
        <v>45</v>
      </c>
      <c r="E462" s="9" t="s">
        <v>46</v>
      </c>
      <c r="F462" s="5" t="n">
        <v>60</v>
      </c>
      <c r="G462" s="10"/>
      <c r="H462" s="11" t="str">
        <f aca="false">IFERROR(IF($D462="Manual Review","",IF($G462="","",IF($D462="Direct Expiry",$G462,EDATE($G462,$F462)))),"Check Date")</f>
        <v/>
      </c>
      <c r="I462" s="12" t="str">
        <f aca="true">IF($H462="","",IF(ISNUMBER($H462),$H462-TODAY(),""))</f>
        <v/>
      </c>
      <c r="J462" s="4" t="str">
        <f aca="true">IF($D462="Manual Review","Manual Review",IF($G462="","No Data",IF(NOT(ISNUMBER($H462)),"N/A",IF($H462&lt;TODAY(),"Overdue",IF($H462&lt;=TODAY()+30,"Due within 1 Month",IF($H462&lt;=TODAY()+60,"Due within 2 Months","OK"))))))</f>
        <v>No Data</v>
      </c>
      <c r="K462" s="13"/>
    </row>
    <row r="463" customFormat="false" ht="15" hidden="false" customHeight="false" outlineLevel="0" collapsed="false">
      <c r="A463" s="9" t="str">
        <f aca="false">Vessels!B9</f>
        <v>Vessel 05</v>
      </c>
      <c r="B463" s="9" t="s">
        <v>42</v>
      </c>
      <c r="C463" s="7" t="s">
        <v>53</v>
      </c>
      <c r="D463" s="9" t="s">
        <v>45</v>
      </c>
      <c r="E463" s="9" t="s">
        <v>46</v>
      </c>
      <c r="F463" s="5" t="n">
        <v>60</v>
      </c>
      <c r="G463" s="10"/>
      <c r="H463" s="11" t="str">
        <f aca="false">IFERROR(IF($D463="Manual Review","",IF($G463="","",IF($D463="Direct Expiry",$G463,EDATE($G463,$F463)))),"Check Date")</f>
        <v/>
      </c>
      <c r="I463" s="12" t="str">
        <f aca="true">IF($H463="","",IF(ISNUMBER($H463),$H463-TODAY(),""))</f>
        <v/>
      </c>
      <c r="J463" s="4" t="str">
        <f aca="true">IF($D463="Manual Review","Manual Review",IF($G463="","No Data",IF(NOT(ISNUMBER($H463)),"N/A",IF($H463&lt;TODAY(),"Overdue",IF($H463&lt;=TODAY()+30,"Due within 1 Month",IF($H463&lt;=TODAY()+60,"Due within 2 Months","OK"))))))</f>
        <v>No Data</v>
      </c>
      <c r="K463" s="13"/>
    </row>
    <row r="464" customFormat="false" ht="15" hidden="false" customHeight="false" outlineLevel="0" collapsed="false">
      <c r="A464" s="9" t="str">
        <f aca="false">Vessels!B9</f>
        <v>Vessel 05</v>
      </c>
      <c r="B464" s="9" t="s">
        <v>42</v>
      </c>
      <c r="C464" s="7" t="s">
        <v>54</v>
      </c>
      <c r="D464" s="9" t="s">
        <v>45</v>
      </c>
      <c r="E464" s="9" t="s">
        <v>46</v>
      </c>
      <c r="F464" s="5" t="n">
        <v>60</v>
      </c>
      <c r="G464" s="10"/>
      <c r="H464" s="11" t="str">
        <f aca="false">IFERROR(IF($D464="Manual Review","",IF($G464="","",IF($D464="Direct Expiry",$G464,EDATE($G464,$F464)))),"Check Date")</f>
        <v/>
      </c>
      <c r="I464" s="12" t="str">
        <f aca="true">IF($H464="","",IF(ISNUMBER($H464),$H464-TODAY(),""))</f>
        <v/>
      </c>
      <c r="J464" s="4" t="str">
        <f aca="true">IF($D464="Manual Review","Manual Review",IF($G464="","No Data",IF(NOT(ISNUMBER($H464)),"N/A",IF($H464&lt;TODAY(),"Overdue",IF($H464&lt;=TODAY()+30,"Due within 1 Month",IF($H464&lt;=TODAY()+60,"Due within 2 Months","OK"))))))</f>
        <v>No Data</v>
      </c>
      <c r="K464" s="13"/>
    </row>
    <row r="465" customFormat="false" ht="15" hidden="false" customHeight="false" outlineLevel="0" collapsed="false">
      <c r="A465" s="9" t="str">
        <f aca="false">Vessels!B9</f>
        <v>Vessel 05</v>
      </c>
      <c r="B465" s="9" t="s">
        <v>42</v>
      </c>
      <c r="C465" s="7" t="s">
        <v>55</v>
      </c>
      <c r="D465" s="9" t="s">
        <v>45</v>
      </c>
      <c r="E465" s="9" t="s">
        <v>46</v>
      </c>
      <c r="F465" s="5" t="n">
        <v>60</v>
      </c>
      <c r="G465" s="10"/>
      <c r="H465" s="11" t="str">
        <f aca="false">IFERROR(IF($D465="Manual Review","",IF($G465="","",IF($D465="Direct Expiry",$G465,EDATE($G465,$F465)))),"Check Date")</f>
        <v/>
      </c>
      <c r="I465" s="12" t="str">
        <f aca="true">IF($H465="","",IF(ISNUMBER($H465),$H465-TODAY(),""))</f>
        <v/>
      </c>
      <c r="J465" s="4" t="str">
        <f aca="true">IF($D465="Manual Review","Manual Review",IF($G465="","No Data",IF(NOT(ISNUMBER($H465)),"N/A",IF($H465&lt;TODAY(),"Overdue",IF($H465&lt;=TODAY()+30,"Due within 1 Month",IF($H465&lt;=TODAY()+60,"Due within 2 Months","OK"))))))</f>
        <v>No Data</v>
      </c>
      <c r="K465" s="13"/>
    </row>
    <row r="466" customFormat="false" ht="15" hidden="false" customHeight="false" outlineLevel="0" collapsed="false">
      <c r="A466" s="9" t="str">
        <f aca="false">Vessels!B9</f>
        <v>Vessel 05</v>
      </c>
      <c r="B466" s="9" t="s">
        <v>42</v>
      </c>
      <c r="C466" s="7" t="s">
        <v>56</v>
      </c>
      <c r="D466" s="9" t="s">
        <v>45</v>
      </c>
      <c r="E466" s="9" t="s">
        <v>46</v>
      </c>
      <c r="F466" s="5" t="n">
        <v>60</v>
      </c>
      <c r="G466" s="10"/>
      <c r="H466" s="11" t="str">
        <f aca="false">IFERROR(IF($D466="Manual Review","",IF($G466="","",IF($D466="Direct Expiry",$G466,EDATE($G466,$F466)))),"Check Date")</f>
        <v/>
      </c>
      <c r="I466" s="12" t="str">
        <f aca="true">IF($H466="","",IF(ISNUMBER($H466),$H466-TODAY(),""))</f>
        <v/>
      </c>
      <c r="J466" s="4" t="str">
        <f aca="true">IF($D466="Manual Review","Manual Review",IF($G466="","No Data",IF(NOT(ISNUMBER($H466)),"N/A",IF($H466&lt;TODAY(),"Overdue",IF($H466&lt;=TODAY()+30,"Due within 1 Month",IF($H466&lt;=TODAY()+60,"Due within 2 Months","OK"))))))</f>
        <v>No Data</v>
      </c>
      <c r="K466" s="13"/>
    </row>
    <row r="467" customFormat="false" ht="15" hidden="false" customHeight="false" outlineLevel="0" collapsed="false">
      <c r="A467" s="9" t="str">
        <f aca="false">Vessels!B9</f>
        <v>Vessel 05</v>
      </c>
      <c r="B467" s="9" t="s">
        <v>42</v>
      </c>
      <c r="C467" s="7" t="s">
        <v>57</v>
      </c>
      <c r="D467" s="9" t="s">
        <v>59</v>
      </c>
      <c r="E467" s="9" t="s">
        <v>58</v>
      </c>
      <c r="F467" s="5"/>
      <c r="G467" s="10"/>
      <c r="H467" s="11" t="str">
        <f aca="false">IFERROR(IF($D467="Manual Review","",IF($G467="","",IF($D467="Direct Expiry",$G467,EDATE($G467,$F467)))),"Check Date")</f>
        <v/>
      </c>
      <c r="I467" s="12" t="str">
        <f aca="true">IF($H467="","",IF(ISNUMBER($H467),$H467-TODAY(),""))</f>
        <v/>
      </c>
      <c r="J467" s="4" t="str">
        <f aca="true">IF($D467="Manual Review","Manual Review",IF($G467="","No Data",IF(NOT(ISNUMBER($H467)),"N/A",IF($H467&lt;TODAY(),"Overdue",IF($H467&lt;=TODAY()+30,"Due within 1 Month",IF($H467&lt;=TODAY()+60,"Due within 2 Months","OK"))))))</f>
        <v>No Data</v>
      </c>
      <c r="K467" s="13"/>
    </row>
    <row r="468" customFormat="false" ht="15" hidden="false" customHeight="false" outlineLevel="0" collapsed="false">
      <c r="A468" s="9" t="str">
        <f aca="false">Vessels!B9</f>
        <v>Vessel 05</v>
      </c>
      <c r="B468" s="9" t="s">
        <v>42</v>
      </c>
      <c r="C468" s="7" t="s">
        <v>60</v>
      </c>
      <c r="D468" s="9" t="s">
        <v>45</v>
      </c>
      <c r="E468" s="9" t="s">
        <v>44</v>
      </c>
      <c r="F468" s="5" t="n">
        <v>12</v>
      </c>
      <c r="G468" s="10"/>
      <c r="H468" s="11" t="str">
        <f aca="false">IFERROR(IF($D468="Manual Review","",IF($G468="","",IF($D468="Direct Expiry",$G468,EDATE($G468,$F468)))),"Check Date")</f>
        <v/>
      </c>
      <c r="I468" s="12" t="str">
        <f aca="true">IF($H468="","",IF(ISNUMBER($H468),$H468-TODAY(),""))</f>
        <v/>
      </c>
      <c r="J468" s="4" t="str">
        <f aca="true">IF($D468="Manual Review","Manual Review",IF($G468="","No Data",IF(NOT(ISNUMBER($H468)),"N/A",IF($H468&lt;TODAY(),"Overdue",IF($H468&lt;=TODAY()+30,"Due within 1 Month",IF($H468&lt;=TODAY()+60,"Due within 2 Months","OK"))))))</f>
        <v>No Data</v>
      </c>
      <c r="K468" s="13"/>
    </row>
    <row r="469" customFormat="false" ht="15" hidden="false" customHeight="false" outlineLevel="0" collapsed="false">
      <c r="A469" s="9" t="str">
        <f aca="false">Vessels!B9</f>
        <v>Vessel 05</v>
      </c>
      <c r="B469" s="9" t="s">
        <v>42</v>
      </c>
      <c r="C469" s="7" t="s">
        <v>60</v>
      </c>
      <c r="D469" s="9" t="s">
        <v>45</v>
      </c>
      <c r="E469" s="9" t="s">
        <v>46</v>
      </c>
      <c r="F469" s="5" t="n">
        <v>60</v>
      </c>
      <c r="G469" s="10"/>
      <c r="H469" s="11" t="str">
        <f aca="false">IFERROR(IF($D469="Manual Review","",IF($G469="","",IF($D469="Direct Expiry",$G469,EDATE($G469,$F469)))),"Check Date")</f>
        <v/>
      </c>
      <c r="I469" s="12" t="str">
        <f aca="true">IF($H469="","",IF(ISNUMBER($H469),$H469-TODAY(),""))</f>
        <v/>
      </c>
      <c r="J469" s="4" t="str">
        <f aca="true">IF($D469="Manual Review","Manual Review",IF($G469="","No Data",IF(NOT(ISNUMBER($H469)),"N/A",IF($H469&lt;TODAY(),"Overdue",IF($H469&lt;=TODAY()+30,"Due within 1 Month",IF($H469&lt;=TODAY()+60,"Due within 2 Months","OK"))))))</f>
        <v>No Data</v>
      </c>
      <c r="K469" s="13"/>
    </row>
    <row r="470" customFormat="false" ht="15" hidden="false" customHeight="false" outlineLevel="0" collapsed="false">
      <c r="A470" s="9" t="str">
        <f aca="false">Vessels!B9</f>
        <v>Vessel 05</v>
      </c>
      <c r="B470" s="9" t="s">
        <v>42</v>
      </c>
      <c r="C470" s="7" t="s">
        <v>61</v>
      </c>
      <c r="D470" s="9" t="s">
        <v>45</v>
      </c>
      <c r="E470" s="9" t="s">
        <v>44</v>
      </c>
      <c r="F470" s="5" t="n">
        <v>12</v>
      </c>
      <c r="G470" s="10"/>
      <c r="H470" s="11" t="str">
        <f aca="false">IFERROR(IF($D470="Manual Review","",IF($G470="","",IF($D470="Direct Expiry",$G470,EDATE($G470,$F470)))),"Check Date")</f>
        <v/>
      </c>
      <c r="I470" s="12" t="str">
        <f aca="true">IF($H470="","",IF(ISNUMBER($H470),$H470-TODAY(),""))</f>
        <v/>
      </c>
      <c r="J470" s="4" t="str">
        <f aca="true">IF($D470="Manual Review","Manual Review",IF($G470="","No Data",IF(NOT(ISNUMBER($H470)),"N/A",IF($H470&lt;TODAY(),"Overdue",IF($H470&lt;=TODAY()+30,"Due within 1 Month",IF($H470&lt;=TODAY()+60,"Due within 2 Months","OK"))))))</f>
        <v>No Data</v>
      </c>
      <c r="K470" s="13"/>
    </row>
    <row r="471" customFormat="false" ht="15" hidden="false" customHeight="false" outlineLevel="0" collapsed="false">
      <c r="A471" s="9" t="str">
        <f aca="false">Vessels!B9</f>
        <v>Vessel 05</v>
      </c>
      <c r="B471" s="9" t="s">
        <v>42</v>
      </c>
      <c r="C471" s="7" t="s">
        <v>61</v>
      </c>
      <c r="D471" s="9" t="s">
        <v>45</v>
      </c>
      <c r="E471" s="9" t="s">
        <v>46</v>
      </c>
      <c r="F471" s="5" t="n">
        <v>60</v>
      </c>
      <c r="G471" s="10"/>
      <c r="H471" s="11" t="str">
        <f aca="false">IFERROR(IF($D471="Manual Review","",IF($G471="","",IF($D471="Direct Expiry",$G471,EDATE($G471,$F471)))),"Check Date")</f>
        <v/>
      </c>
      <c r="I471" s="12" t="str">
        <f aca="true">IF($H471="","",IF(ISNUMBER($H471),$H471-TODAY(),""))</f>
        <v/>
      </c>
      <c r="J471" s="4" t="str">
        <f aca="true">IF($D471="Manual Review","Manual Review",IF($G471="","No Data",IF(NOT(ISNUMBER($H471)),"N/A",IF($H471&lt;TODAY(),"Overdue",IF($H471&lt;=TODAY()+30,"Due within 1 Month",IF($H471&lt;=TODAY()+60,"Due within 2 Months","OK"))))))</f>
        <v>No Data</v>
      </c>
      <c r="K471" s="13"/>
    </row>
    <row r="472" customFormat="false" ht="15" hidden="false" customHeight="false" outlineLevel="0" collapsed="false">
      <c r="A472" s="9" t="str">
        <f aca="false">Vessels!B9</f>
        <v>Vessel 05</v>
      </c>
      <c r="B472" s="9" t="s">
        <v>42</v>
      </c>
      <c r="C472" s="7" t="s">
        <v>62</v>
      </c>
      <c r="D472" s="9" t="s">
        <v>45</v>
      </c>
      <c r="E472" s="9" t="s">
        <v>44</v>
      </c>
      <c r="F472" s="5" t="n">
        <v>12</v>
      </c>
      <c r="G472" s="10"/>
      <c r="H472" s="11" t="str">
        <f aca="false">IFERROR(IF($D472="Manual Review","",IF($G472="","",IF($D472="Direct Expiry",$G472,EDATE($G472,$F472)))),"Check Date")</f>
        <v/>
      </c>
      <c r="I472" s="12" t="str">
        <f aca="true">IF($H472="","",IF(ISNUMBER($H472),$H472-TODAY(),""))</f>
        <v/>
      </c>
      <c r="J472" s="4" t="str">
        <f aca="true">IF($D472="Manual Review","Manual Review",IF($G472="","No Data",IF(NOT(ISNUMBER($H472)),"N/A",IF($H472&lt;TODAY(),"Overdue",IF($H472&lt;=TODAY()+30,"Due within 1 Month",IF($H472&lt;=TODAY()+60,"Due within 2 Months","OK"))))))</f>
        <v>No Data</v>
      </c>
      <c r="K472" s="13"/>
    </row>
    <row r="473" customFormat="false" ht="15" hidden="false" customHeight="false" outlineLevel="0" collapsed="false">
      <c r="A473" s="9" t="str">
        <f aca="false">Vessels!B9</f>
        <v>Vessel 05</v>
      </c>
      <c r="B473" s="9" t="s">
        <v>42</v>
      </c>
      <c r="C473" s="7" t="s">
        <v>62</v>
      </c>
      <c r="D473" s="9" t="s">
        <v>45</v>
      </c>
      <c r="E473" s="9" t="s">
        <v>49</v>
      </c>
      <c r="F473" s="5" t="n">
        <v>60</v>
      </c>
      <c r="G473" s="10"/>
      <c r="H473" s="11" t="str">
        <f aca="false">IFERROR(IF($D473="Manual Review","",IF($G473="","",IF($D473="Direct Expiry",$G473,EDATE($G473,$F473)))),"Check Date")</f>
        <v/>
      </c>
      <c r="I473" s="12" t="str">
        <f aca="true">IF($H473="","",IF(ISNUMBER($H473),$H473-TODAY(),""))</f>
        <v/>
      </c>
      <c r="J473" s="4" t="str">
        <f aca="true">IF($D473="Manual Review","Manual Review",IF($G473="","No Data",IF(NOT(ISNUMBER($H473)),"N/A",IF($H473&lt;TODAY(),"Overdue",IF($H473&lt;=TODAY()+30,"Due within 1 Month",IF($H473&lt;=TODAY()+60,"Due within 2 Months","OK"))))))</f>
        <v>No Data</v>
      </c>
      <c r="K473" s="13"/>
    </row>
    <row r="474" customFormat="false" ht="15" hidden="false" customHeight="false" outlineLevel="0" collapsed="false">
      <c r="A474" s="9" t="str">
        <f aca="false">Vessels!B9</f>
        <v>Vessel 05</v>
      </c>
      <c r="B474" s="9" t="s">
        <v>42</v>
      </c>
      <c r="C474" s="7" t="s">
        <v>63</v>
      </c>
      <c r="D474" s="9" t="s">
        <v>45</v>
      </c>
      <c r="E474" s="9" t="s">
        <v>44</v>
      </c>
      <c r="F474" s="5" t="n">
        <v>12</v>
      </c>
      <c r="G474" s="10"/>
      <c r="H474" s="11" t="str">
        <f aca="false">IFERROR(IF($D474="Manual Review","",IF($G474="","",IF($D474="Direct Expiry",$G474,EDATE($G474,$F474)))),"Check Date")</f>
        <v/>
      </c>
      <c r="I474" s="12" t="str">
        <f aca="true">IF($H474="","",IF(ISNUMBER($H474),$H474-TODAY(),""))</f>
        <v/>
      </c>
      <c r="J474" s="4" t="str">
        <f aca="true">IF($D474="Manual Review","Manual Review",IF($G474="","No Data",IF(NOT(ISNUMBER($H474)),"N/A",IF($H474&lt;TODAY(),"Overdue",IF($H474&lt;=TODAY()+30,"Due within 1 Month",IF($H474&lt;=TODAY()+60,"Due within 2 Months","OK"))))))</f>
        <v>No Data</v>
      </c>
      <c r="K474" s="13"/>
    </row>
    <row r="475" customFormat="false" ht="15" hidden="false" customHeight="false" outlineLevel="0" collapsed="false">
      <c r="A475" s="9" t="str">
        <f aca="false">Vessels!B9</f>
        <v>Vessel 05</v>
      </c>
      <c r="B475" s="9" t="s">
        <v>42</v>
      </c>
      <c r="C475" s="7" t="s">
        <v>63</v>
      </c>
      <c r="D475" s="9" t="s">
        <v>45</v>
      </c>
      <c r="E475" s="9" t="s">
        <v>49</v>
      </c>
      <c r="F475" s="5" t="n">
        <v>60</v>
      </c>
      <c r="G475" s="10"/>
      <c r="H475" s="11" t="str">
        <f aca="false">IFERROR(IF($D475="Manual Review","",IF($G475="","",IF($D475="Direct Expiry",$G475,EDATE($G475,$F475)))),"Check Date")</f>
        <v/>
      </c>
      <c r="I475" s="12" t="str">
        <f aca="true">IF($H475="","",IF(ISNUMBER($H475),$H475-TODAY(),""))</f>
        <v/>
      </c>
      <c r="J475" s="4" t="str">
        <f aca="true">IF($D475="Manual Review","Manual Review",IF($G475="","No Data",IF(NOT(ISNUMBER($H475)),"N/A",IF($H475&lt;TODAY(),"Overdue",IF($H475&lt;=TODAY()+30,"Due within 1 Month",IF($H475&lt;=TODAY()+60,"Due within 2 Months","OK"))))))</f>
        <v>No Data</v>
      </c>
      <c r="K475" s="13"/>
    </row>
    <row r="476" customFormat="false" ht="15" hidden="false" customHeight="false" outlineLevel="0" collapsed="false">
      <c r="A476" s="9" t="str">
        <f aca="false">Vessels!B9</f>
        <v>Vessel 05</v>
      </c>
      <c r="B476" s="9" t="s">
        <v>42</v>
      </c>
      <c r="C476" s="7" t="s">
        <v>64</v>
      </c>
      <c r="D476" s="9" t="s">
        <v>45</v>
      </c>
      <c r="E476" s="9" t="s">
        <v>46</v>
      </c>
      <c r="F476" s="5" t="n">
        <v>60</v>
      </c>
      <c r="G476" s="10"/>
      <c r="H476" s="11" t="str">
        <f aca="false">IFERROR(IF($D476="Manual Review","",IF($G476="","",IF($D476="Direct Expiry",$G476,EDATE($G476,$F476)))),"Check Date")</f>
        <v/>
      </c>
      <c r="I476" s="12" t="str">
        <f aca="true">IF($H476="","",IF(ISNUMBER($H476),$H476-TODAY(),""))</f>
        <v/>
      </c>
      <c r="J476" s="4" t="str">
        <f aca="true">IF($D476="Manual Review","Manual Review",IF($G476="","No Data",IF(NOT(ISNUMBER($H476)),"N/A",IF($H476&lt;TODAY(),"Overdue",IF($H476&lt;=TODAY()+30,"Due within 1 Month",IF($H476&lt;=TODAY()+60,"Due within 2 Months","OK"))))))</f>
        <v>No Data</v>
      </c>
      <c r="K476" s="13"/>
    </row>
    <row r="477" customFormat="false" ht="15" hidden="false" customHeight="false" outlineLevel="0" collapsed="false">
      <c r="A477" s="9" t="str">
        <f aca="false">Vessels!B9</f>
        <v>Vessel 05</v>
      </c>
      <c r="B477" s="9" t="s">
        <v>42</v>
      </c>
      <c r="C477" s="7" t="s">
        <v>65</v>
      </c>
      <c r="D477" s="9" t="s">
        <v>45</v>
      </c>
      <c r="E477" s="9" t="s">
        <v>46</v>
      </c>
      <c r="F477" s="5" t="n">
        <v>60</v>
      </c>
      <c r="G477" s="10"/>
      <c r="H477" s="11" t="str">
        <f aca="false">IFERROR(IF($D477="Manual Review","",IF($G477="","",IF($D477="Direct Expiry",$G477,EDATE($G477,$F477)))),"Check Date")</f>
        <v/>
      </c>
      <c r="I477" s="12" t="str">
        <f aca="true">IF($H477="","",IF(ISNUMBER($H477),$H477-TODAY(),""))</f>
        <v/>
      </c>
      <c r="J477" s="4" t="str">
        <f aca="true">IF($D477="Manual Review","Manual Review",IF($G477="","No Data",IF(NOT(ISNUMBER($H477)),"N/A",IF($H477&lt;TODAY(),"Overdue",IF($H477&lt;=TODAY()+30,"Due within 1 Month",IF($H477&lt;=TODAY()+60,"Due within 2 Months","OK"))))))</f>
        <v>No Data</v>
      </c>
      <c r="K477" s="13"/>
    </row>
    <row r="478" customFormat="false" ht="15" hidden="false" customHeight="false" outlineLevel="0" collapsed="false">
      <c r="A478" s="9" t="str">
        <f aca="false">Vessels!B9</f>
        <v>Vessel 05</v>
      </c>
      <c r="B478" s="9" t="s">
        <v>42</v>
      </c>
      <c r="C478" s="7" t="s">
        <v>66</v>
      </c>
      <c r="D478" s="9" t="s">
        <v>45</v>
      </c>
      <c r="E478" s="9" t="s">
        <v>46</v>
      </c>
      <c r="F478" s="5" t="n">
        <v>60</v>
      </c>
      <c r="G478" s="10"/>
      <c r="H478" s="11" t="str">
        <f aca="false">IFERROR(IF($D478="Manual Review","",IF($G478="","",IF($D478="Direct Expiry",$G478,EDATE($G478,$F478)))),"Check Date")</f>
        <v/>
      </c>
      <c r="I478" s="12" t="str">
        <f aca="true">IF($H478="","",IF(ISNUMBER($H478),$H478-TODAY(),""))</f>
        <v/>
      </c>
      <c r="J478" s="4" t="str">
        <f aca="true">IF($D478="Manual Review","Manual Review",IF($G478="","No Data",IF(NOT(ISNUMBER($H478)),"N/A",IF($H478&lt;TODAY(),"Overdue",IF($H478&lt;=TODAY()+30,"Due within 1 Month",IF($H478&lt;=TODAY()+60,"Due within 2 Months","OK"))))))</f>
        <v>No Data</v>
      </c>
      <c r="K478" s="13"/>
    </row>
    <row r="479" customFormat="false" ht="15" hidden="false" customHeight="false" outlineLevel="0" collapsed="false">
      <c r="A479" s="9" t="str">
        <f aca="false">Vessels!B9</f>
        <v>Vessel 05</v>
      </c>
      <c r="B479" s="9" t="s">
        <v>42</v>
      </c>
      <c r="C479" s="7" t="s">
        <v>67</v>
      </c>
      <c r="D479" s="9" t="s">
        <v>45</v>
      </c>
      <c r="E479" s="9" t="s">
        <v>46</v>
      </c>
      <c r="F479" s="5" t="n">
        <v>60</v>
      </c>
      <c r="G479" s="10"/>
      <c r="H479" s="11" t="str">
        <f aca="false">IFERROR(IF($D479="Manual Review","",IF($G479="","",IF($D479="Direct Expiry",$G479,EDATE($G479,$F479)))),"Check Date")</f>
        <v/>
      </c>
      <c r="I479" s="12" t="str">
        <f aca="true">IF($H479="","",IF(ISNUMBER($H479),$H479-TODAY(),""))</f>
        <v/>
      </c>
      <c r="J479" s="4" t="str">
        <f aca="true">IF($D479="Manual Review","Manual Review",IF($G479="","No Data",IF(NOT(ISNUMBER($H479)),"N/A",IF($H479&lt;TODAY(),"Overdue",IF($H479&lt;=TODAY()+30,"Due within 1 Month",IF($H479&lt;=TODAY()+60,"Due within 2 Months","OK"))))))</f>
        <v>No Data</v>
      </c>
      <c r="K479" s="13"/>
    </row>
    <row r="480" customFormat="false" ht="15" hidden="false" customHeight="false" outlineLevel="0" collapsed="false">
      <c r="A480" s="9" t="str">
        <f aca="false">Vessels!B9</f>
        <v>Vessel 05</v>
      </c>
      <c r="B480" s="9" t="s">
        <v>42</v>
      </c>
      <c r="C480" s="7" t="s">
        <v>68</v>
      </c>
      <c r="D480" s="9" t="s">
        <v>45</v>
      </c>
      <c r="E480" s="9" t="s">
        <v>46</v>
      </c>
      <c r="F480" s="5" t="n">
        <v>60</v>
      </c>
      <c r="G480" s="10"/>
      <c r="H480" s="11" t="str">
        <f aca="false">IFERROR(IF($D480="Manual Review","",IF($G480="","",IF($D480="Direct Expiry",$G480,EDATE($G480,$F480)))),"Check Date")</f>
        <v/>
      </c>
      <c r="I480" s="12" t="str">
        <f aca="true">IF($H480="","",IF(ISNUMBER($H480),$H480-TODAY(),""))</f>
        <v/>
      </c>
      <c r="J480" s="4" t="str">
        <f aca="true">IF($D480="Manual Review","Manual Review",IF($G480="","No Data",IF(NOT(ISNUMBER($H480)),"N/A",IF($H480&lt;TODAY(),"Overdue",IF($H480&lt;=TODAY()+30,"Due within 1 Month",IF($H480&lt;=TODAY()+60,"Due within 2 Months","OK"))))))</f>
        <v>No Data</v>
      </c>
      <c r="K480" s="13"/>
    </row>
    <row r="481" customFormat="false" ht="15" hidden="false" customHeight="false" outlineLevel="0" collapsed="false">
      <c r="A481" s="9" t="str">
        <f aca="false">Vessels!B9</f>
        <v>Vessel 05</v>
      </c>
      <c r="B481" s="9" t="s">
        <v>42</v>
      </c>
      <c r="C481" s="7" t="s">
        <v>69</v>
      </c>
      <c r="D481" s="9" t="s">
        <v>45</v>
      </c>
      <c r="E481" s="9" t="s">
        <v>46</v>
      </c>
      <c r="F481" s="5" t="n">
        <v>60</v>
      </c>
      <c r="G481" s="10"/>
      <c r="H481" s="11" t="str">
        <f aca="false">IFERROR(IF($D481="Manual Review","",IF($G481="","",IF($D481="Direct Expiry",$G481,EDATE($G481,$F481)))),"Check Date")</f>
        <v/>
      </c>
      <c r="I481" s="12" t="str">
        <f aca="true">IF($H481="","",IF(ISNUMBER($H481),$H481-TODAY(),""))</f>
        <v/>
      </c>
      <c r="J481" s="4" t="str">
        <f aca="true">IF($D481="Manual Review","Manual Review",IF($G481="","No Data",IF(NOT(ISNUMBER($H481)),"N/A",IF($H481&lt;TODAY(),"Overdue",IF($H481&lt;=TODAY()+30,"Due within 1 Month",IF($H481&lt;=TODAY()+60,"Due within 2 Months","OK"))))))</f>
        <v>No Data</v>
      </c>
      <c r="K481" s="13"/>
    </row>
    <row r="482" customFormat="false" ht="15" hidden="false" customHeight="false" outlineLevel="0" collapsed="false">
      <c r="A482" s="9" t="str">
        <f aca="false">Vessels!B9</f>
        <v>Vessel 05</v>
      </c>
      <c r="B482" s="9" t="s">
        <v>42</v>
      </c>
      <c r="C482" s="7" t="s">
        <v>70</v>
      </c>
      <c r="D482" s="9" t="s">
        <v>59</v>
      </c>
      <c r="E482" s="9" t="s">
        <v>58</v>
      </c>
      <c r="F482" s="5"/>
      <c r="G482" s="10"/>
      <c r="H482" s="11" t="str">
        <f aca="false">IFERROR(IF($D482="Manual Review","",IF($G482="","",IF($D482="Direct Expiry",$G482,EDATE($G482,$F482)))),"Check Date")</f>
        <v/>
      </c>
      <c r="I482" s="12" t="str">
        <f aca="true">IF($H482="","",IF(ISNUMBER($H482),$H482-TODAY(),""))</f>
        <v/>
      </c>
      <c r="J482" s="4" t="str">
        <f aca="true">IF($D482="Manual Review","Manual Review",IF($G482="","No Data",IF(NOT(ISNUMBER($H482)),"N/A",IF($H482&lt;TODAY(),"Overdue",IF($H482&lt;=TODAY()+30,"Due within 1 Month",IF($H482&lt;=TODAY()+60,"Due within 2 Months","OK"))))))</f>
        <v>No Data</v>
      </c>
      <c r="K482" s="13"/>
    </row>
    <row r="483" customFormat="false" ht="15" hidden="false" customHeight="false" outlineLevel="0" collapsed="false">
      <c r="A483" s="9" t="str">
        <f aca="false">Vessels!B9</f>
        <v>Vessel 05</v>
      </c>
      <c r="B483" s="9" t="s">
        <v>42</v>
      </c>
      <c r="C483" s="7" t="s">
        <v>71</v>
      </c>
      <c r="D483" s="9" t="s">
        <v>45</v>
      </c>
      <c r="E483" s="9" t="s">
        <v>44</v>
      </c>
      <c r="F483" s="5" t="n">
        <v>12</v>
      </c>
      <c r="G483" s="10"/>
      <c r="H483" s="11" t="str">
        <f aca="false">IFERROR(IF($D483="Manual Review","",IF($G483="","",IF($D483="Direct Expiry",$G483,EDATE($G483,$F483)))),"Check Date")</f>
        <v/>
      </c>
      <c r="I483" s="12" t="str">
        <f aca="true">IF($H483="","",IF(ISNUMBER($H483),$H483-TODAY(),""))</f>
        <v/>
      </c>
      <c r="J483" s="4" t="str">
        <f aca="true">IF($D483="Manual Review","Manual Review",IF($G483="","No Data",IF(NOT(ISNUMBER($H483)),"N/A",IF($H483&lt;TODAY(),"Overdue",IF($H483&lt;=TODAY()+30,"Due within 1 Month",IF($H483&lt;=TODAY()+60,"Due within 2 Months","OK"))))))</f>
        <v>No Data</v>
      </c>
      <c r="K483" s="13"/>
    </row>
    <row r="484" customFormat="false" ht="15" hidden="false" customHeight="false" outlineLevel="0" collapsed="false">
      <c r="A484" s="9" t="str">
        <f aca="false">Vessels!B9</f>
        <v>Vessel 05</v>
      </c>
      <c r="B484" s="9" t="s">
        <v>42</v>
      </c>
      <c r="C484" s="7" t="s">
        <v>72</v>
      </c>
      <c r="D484" s="9" t="s">
        <v>59</v>
      </c>
      <c r="E484" s="9" t="s">
        <v>58</v>
      </c>
      <c r="F484" s="5"/>
      <c r="G484" s="10"/>
      <c r="H484" s="11" t="str">
        <f aca="false">IFERROR(IF($D484="Manual Review","",IF($G484="","",IF($D484="Direct Expiry",$G484,EDATE($G484,$F484)))),"Check Date")</f>
        <v/>
      </c>
      <c r="I484" s="12" t="str">
        <f aca="true">IF($H484="","",IF(ISNUMBER($H484),$H484-TODAY(),""))</f>
        <v/>
      </c>
      <c r="J484" s="4" t="str">
        <f aca="true">IF($D484="Manual Review","Manual Review",IF($G484="","No Data",IF(NOT(ISNUMBER($H484)),"N/A",IF($H484&lt;TODAY(),"Overdue",IF($H484&lt;=TODAY()+30,"Due within 1 Month",IF($H484&lt;=TODAY()+60,"Due within 2 Months","OK"))))))</f>
        <v>No Data</v>
      </c>
      <c r="K484" s="13"/>
    </row>
    <row r="485" customFormat="false" ht="15" hidden="false" customHeight="false" outlineLevel="0" collapsed="false">
      <c r="A485" s="9" t="str">
        <f aca="false">Vessels!B9</f>
        <v>Vessel 05</v>
      </c>
      <c r="B485" s="9" t="s">
        <v>42</v>
      </c>
      <c r="C485" s="7" t="s">
        <v>73</v>
      </c>
      <c r="D485" s="9" t="s">
        <v>45</v>
      </c>
      <c r="E485" s="9" t="s">
        <v>44</v>
      </c>
      <c r="F485" s="5" t="n">
        <v>12</v>
      </c>
      <c r="G485" s="10"/>
      <c r="H485" s="11" t="str">
        <f aca="false">IFERROR(IF($D485="Manual Review","",IF($G485="","",IF($D485="Direct Expiry",$G485,EDATE($G485,$F485)))),"Check Date")</f>
        <v/>
      </c>
      <c r="I485" s="12" t="str">
        <f aca="true">IF($H485="","",IF(ISNUMBER($H485),$H485-TODAY(),""))</f>
        <v/>
      </c>
      <c r="J485" s="4" t="str">
        <f aca="true">IF($D485="Manual Review","Manual Review",IF($G485="","No Data",IF(NOT(ISNUMBER($H485)),"N/A",IF($H485&lt;TODAY(),"Overdue",IF($H485&lt;=TODAY()+30,"Due within 1 Month",IF($H485&lt;=TODAY()+60,"Due within 2 Months","OK"))))))</f>
        <v>No Data</v>
      </c>
      <c r="K485" s="13"/>
    </row>
    <row r="486" customFormat="false" ht="15" hidden="false" customHeight="false" outlineLevel="0" collapsed="false">
      <c r="A486" s="9" t="str">
        <f aca="false">Vessels!B9</f>
        <v>Vessel 05</v>
      </c>
      <c r="B486" s="9" t="s">
        <v>42</v>
      </c>
      <c r="C486" s="7" t="s">
        <v>74</v>
      </c>
      <c r="D486" s="9" t="s">
        <v>59</v>
      </c>
      <c r="E486" s="9" t="s">
        <v>58</v>
      </c>
      <c r="F486" s="5"/>
      <c r="G486" s="10"/>
      <c r="H486" s="11" t="str">
        <f aca="false">IFERROR(IF($D486="Manual Review","",IF($G486="","",IF($D486="Direct Expiry",$G486,EDATE($G486,$F486)))),"Check Date")</f>
        <v/>
      </c>
      <c r="I486" s="12" t="str">
        <f aca="true">IF($H486="","",IF(ISNUMBER($H486),$H486-TODAY(),""))</f>
        <v/>
      </c>
      <c r="J486" s="4" t="str">
        <f aca="true">IF($D486="Manual Review","Manual Review",IF($G486="","No Data",IF(NOT(ISNUMBER($H486)),"N/A",IF($H486&lt;TODAY(),"Overdue",IF($H486&lt;=TODAY()+30,"Due within 1 Month",IF($H486&lt;=TODAY()+60,"Due within 2 Months","OK"))))))</f>
        <v>No Data</v>
      </c>
      <c r="K486" s="13"/>
    </row>
    <row r="487" customFormat="false" ht="15" hidden="false" customHeight="false" outlineLevel="0" collapsed="false">
      <c r="A487" s="9" t="str">
        <f aca="false">Vessels!B9</f>
        <v>Vessel 05</v>
      </c>
      <c r="B487" s="9" t="s">
        <v>42</v>
      </c>
      <c r="C487" s="7" t="s">
        <v>75</v>
      </c>
      <c r="D487" s="9" t="s">
        <v>45</v>
      </c>
      <c r="E487" s="9" t="s">
        <v>44</v>
      </c>
      <c r="F487" s="5" t="n">
        <v>12</v>
      </c>
      <c r="G487" s="10"/>
      <c r="H487" s="11" t="str">
        <f aca="false">IFERROR(IF($D487="Manual Review","",IF($G487="","",IF($D487="Direct Expiry",$G487,EDATE($G487,$F487)))),"Check Date")</f>
        <v/>
      </c>
      <c r="I487" s="12" t="str">
        <f aca="true">IF($H487="","",IF(ISNUMBER($H487),$H487-TODAY(),""))</f>
        <v/>
      </c>
      <c r="J487" s="4" t="str">
        <f aca="true">IF($D487="Manual Review","Manual Review",IF($G487="","No Data",IF(NOT(ISNUMBER($H487)),"N/A",IF($H487&lt;TODAY(),"Overdue",IF($H487&lt;=TODAY()+30,"Due within 1 Month",IF($H487&lt;=TODAY()+60,"Due within 2 Months","OK"))))))</f>
        <v>No Data</v>
      </c>
      <c r="K487" s="13"/>
    </row>
    <row r="488" customFormat="false" ht="15" hidden="false" customHeight="false" outlineLevel="0" collapsed="false">
      <c r="A488" s="9" t="str">
        <f aca="false">Vessels!B9</f>
        <v>Vessel 05</v>
      </c>
      <c r="B488" s="9" t="s">
        <v>42</v>
      </c>
      <c r="C488" s="7" t="s">
        <v>76</v>
      </c>
      <c r="D488" s="9" t="s">
        <v>59</v>
      </c>
      <c r="E488" s="9" t="s">
        <v>58</v>
      </c>
      <c r="F488" s="5"/>
      <c r="G488" s="10"/>
      <c r="H488" s="11" t="str">
        <f aca="false">IFERROR(IF($D488="Manual Review","",IF($G488="","",IF($D488="Direct Expiry",$G488,EDATE($G488,$F488)))),"Check Date")</f>
        <v/>
      </c>
      <c r="I488" s="12" t="str">
        <f aca="true">IF($H488="","",IF(ISNUMBER($H488),$H488-TODAY(),""))</f>
        <v/>
      </c>
      <c r="J488" s="4" t="str">
        <f aca="true">IF($D488="Manual Review","Manual Review",IF($G488="","No Data",IF(NOT(ISNUMBER($H488)),"N/A",IF($H488&lt;TODAY(),"Overdue",IF($H488&lt;=TODAY()+30,"Due within 1 Month",IF($H488&lt;=TODAY()+60,"Due within 2 Months","OK"))))))</f>
        <v>No Data</v>
      </c>
      <c r="K488" s="13"/>
    </row>
    <row r="489" customFormat="false" ht="15" hidden="false" customHeight="false" outlineLevel="0" collapsed="false">
      <c r="A489" s="9" t="str">
        <f aca="false">Vessels!B9</f>
        <v>Vessel 05</v>
      </c>
      <c r="B489" s="9" t="s">
        <v>42</v>
      </c>
      <c r="C489" s="7" t="s">
        <v>77</v>
      </c>
      <c r="D489" s="9" t="s">
        <v>59</v>
      </c>
      <c r="E489" s="9" t="s">
        <v>58</v>
      </c>
      <c r="F489" s="5"/>
      <c r="G489" s="10"/>
      <c r="H489" s="11" t="str">
        <f aca="false">IFERROR(IF($D489="Manual Review","",IF($G489="","",IF($D489="Direct Expiry",$G489,EDATE($G489,$F489)))),"Check Date")</f>
        <v/>
      </c>
      <c r="I489" s="12" t="str">
        <f aca="true">IF($H489="","",IF(ISNUMBER($H489),$H489-TODAY(),""))</f>
        <v/>
      </c>
      <c r="J489" s="4" t="str">
        <f aca="true">IF($D489="Manual Review","Manual Review",IF($G489="","No Data",IF(NOT(ISNUMBER($H489)),"N/A",IF($H489&lt;TODAY(),"Overdue",IF($H489&lt;=TODAY()+30,"Due within 1 Month",IF($H489&lt;=TODAY()+60,"Due within 2 Months","OK"))))))</f>
        <v>No Data</v>
      </c>
      <c r="K489" s="13"/>
    </row>
    <row r="490" customFormat="false" ht="15" hidden="false" customHeight="false" outlineLevel="0" collapsed="false">
      <c r="A490" s="9" t="str">
        <f aca="false">Vessels!B9</f>
        <v>Vessel 05</v>
      </c>
      <c r="B490" s="9" t="s">
        <v>42</v>
      </c>
      <c r="C490" s="7" t="s">
        <v>78</v>
      </c>
      <c r="D490" s="9" t="s">
        <v>59</v>
      </c>
      <c r="E490" s="9" t="s">
        <v>58</v>
      </c>
      <c r="F490" s="5"/>
      <c r="G490" s="10"/>
      <c r="H490" s="11" t="str">
        <f aca="false">IFERROR(IF($D490="Manual Review","",IF($G490="","",IF($D490="Direct Expiry",$G490,EDATE($G490,$F490)))),"Check Date")</f>
        <v/>
      </c>
      <c r="I490" s="12" t="str">
        <f aca="true">IF($H490="","",IF(ISNUMBER($H490),$H490-TODAY(),""))</f>
        <v/>
      </c>
      <c r="J490" s="4" t="str">
        <f aca="true">IF($D490="Manual Review","Manual Review",IF($G490="","No Data",IF(NOT(ISNUMBER($H490)),"N/A",IF($H490&lt;TODAY(),"Overdue",IF($H490&lt;=TODAY()+30,"Due within 1 Month",IF($H490&lt;=TODAY()+60,"Due within 2 Months","OK"))))))</f>
        <v>No Data</v>
      </c>
      <c r="K490" s="13"/>
    </row>
    <row r="491" customFormat="false" ht="15" hidden="false" customHeight="false" outlineLevel="0" collapsed="false">
      <c r="A491" s="9" t="str">
        <f aca="false">Vessels!B9</f>
        <v>Vessel 05</v>
      </c>
      <c r="B491" s="9" t="s">
        <v>42</v>
      </c>
      <c r="C491" s="7" t="s">
        <v>79</v>
      </c>
      <c r="D491" s="9" t="s">
        <v>45</v>
      </c>
      <c r="E491" s="9" t="s">
        <v>44</v>
      </c>
      <c r="F491" s="5" t="n">
        <v>12</v>
      </c>
      <c r="G491" s="10"/>
      <c r="H491" s="11" t="str">
        <f aca="false">IFERROR(IF($D491="Manual Review","",IF($G491="","",IF($D491="Direct Expiry",$G491,EDATE($G491,$F491)))),"Check Date")</f>
        <v/>
      </c>
      <c r="I491" s="12" t="str">
        <f aca="true">IF($H491="","",IF(ISNUMBER($H491),$H491-TODAY(),""))</f>
        <v/>
      </c>
      <c r="J491" s="4" t="str">
        <f aca="true">IF($D491="Manual Review","Manual Review",IF($G491="","No Data",IF(NOT(ISNUMBER($H491)),"N/A",IF($H491&lt;TODAY(),"Overdue",IF($H491&lt;=TODAY()+30,"Due within 1 Month",IF($H491&lt;=TODAY()+60,"Due within 2 Months","OK"))))))</f>
        <v>No Data</v>
      </c>
      <c r="K491" s="13"/>
    </row>
    <row r="492" customFormat="false" ht="15" hidden="false" customHeight="false" outlineLevel="0" collapsed="false">
      <c r="A492" s="9" t="str">
        <f aca="false">Vessels!B9</f>
        <v>Vessel 05</v>
      </c>
      <c r="B492" s="9" t="s">
        <v>42</v>
      </c>
      <c r="C492" s="7" t="s">
        <v>80</v>
      </c>
      <c r="D492" s="9" t="s">
        <v>45</v>
      </c>
      <c r="E492" s="9" t="s">
        <v>81</v>
      </c>
      <c r="F492" s="5" t="n">
        <v>36</v>
      </c>
      <c r="G492" s="10"/>
      <c r="H492" s="11" t="str">
        <f aca="false">IFERROR(IF($D492="Manual Review","",IF($G492="","",IF($D492="Direct Expiry",$G492,EDATE($G492,$F492)))),"Check Date")</f>
        <v/>
      </c>
      <c r="I492" s="12" t="str">
        <f aca="true">IF($H492="","",IF(ISNUMBER($H492),$H492-TODAY(),""))</f>
        <v/>
      </c>
      <c r="J492" s="4" t="str">
        <f aca="true">IF($D492="Manual Review","Manual Review",IF($G492="","No Data",IF(NOT(ISNUMBER($H492)),"N/A",IF($H492&lt;TODAY(),"Overdue",IF($H492&lt;=TODAY()+30,"Due within 1 Month",IF($H492&lt;=TODAY()+60,"Due within 2 Months","OK"))))))</f>
        <v>No Data</v>
      </c>
      <c r="K492" s="13"/>
    </row>
    <row r="493" customFormat="false" ht="15" hidden="false" customHeight="false" outlineLevel="0" collapsed="false">
      <c r="A493" s="9" t="str">
        <f aca="false">Vessels!B9</f>
        <v>Vessel 05</v>
      </c>
      <c r="B493" s="9" t="s">
        <v>42</v>
      </c>
      <c r="C493" s="7" t="s">
        <v>80</v>
      </c>
      <c r="D493" s="9" t="s">
        <v>45</v>
      </c>
      <c r="E493" s="9" t="s">
        <v>82</v>
      </c>
      <c r="F493" s="5" t="n">
        <v>24</v>
      </c>
      <c r="G493" s="10"/>
      <c r="H493" s="11" t="str">
        <f aca="false">IFERROR(IF($D493="Manual Review","",IF($G493="","",IF($D493="Direct Expiry",$G493,EDATE($G493,$F493)))),"Check Date")</f>
        <v/>
      </c>
      <c r="I493" s="12" t="str">
        <f aca="true">IF($H493="","",IF(ISNUMBER($H493),$H493-TODAY(),""))</f>
        <v/>
      </c>
      <c r="J493" s="4" t="str">
        <f aca="true">IF($D493="Manual Review","Manual Review",IF($G493="","No Data",IF(NOT(ISNUMBER($H493)),"N/A",IF($H493&lt;TODAY(),"Overdue",IF($H493&lt;=TODAY()+30,"Due within 1 Month",IF($H493&lt;=TODAY()+60,"Due within 2 Months","OK"))))))</f>
        <v>No Data</v>
      </c>
      <c r="K493" s="13"/>
    </row>
    <row r="494" customFormat="false" ht="15" hidden="false" customHeight="false" outlineLevel="0" collapsed="false">
      <c r="A494" s="9" t="str">
        <f aca="false">Vessels!B9</f>
        <v>Vessel 05</v>
      </c>
      <c r="B494" s="9" t="s">
        <v>42</v>
      </c>
      <c r="C494" s="7" t="s">
        <v>83</v>
      </c>
      <c r="D494" s="9" t="s">
        <v>45</v>
      </c>
      <c r="E494" s="9" t="s">
        <v>44</v>
      </c>
      <c r="F494" s="5" t="n">
        <v>12</v>
      </c>
      <c r="G494" s="10"/>
      <c r="H494" s="11" t="str">
        <f aca="false">IFERROR(IF($D494="Manual Review","",IF($G494="","",IF($D494="Direct Expiry",$G494,EDATE($G494,$F494)))),"Check Date")</f>
        <v/>
      </c>
      <c r="I494" s="12" t="str">
        <f aca="true">IF($H494="","",IF(ISNUMBER($H494),$H494-TODAY(),""))</f>
        <v/>
      </c>
      <c r="J494" s="4" t="str">
        <f aca="true">IF($D494="Manual Review","Manual Review",IF($G494="","No Data",IF(NOT(ISNUMBER($H494)),"N/A",IF($H494&lt;TODAY(),"Overdue",IF($H494&lt;=TODAY()+30,"Due within 1 Month",IF($H494&lt;=TODAY()+60,"Due within 2 Months","OK"))))))</f>
        <v>No Data</v>
      </c>
      <c r="K494" s="13"/>
    </row>
    <row r="495" customFormat="false" ht="15" hidden="false" customHeight="false" outlineLevel="0" collapsed="false">
      <c r="A495" s="9" t="str">
        <f aca="false">Vessels!B9</f>
        <v>Vessel 05</v>
      </c>
      <c r="B495" s="9" t="s">
        <v>42</v>
      </c>
      <c r="C495" s="7" t="s">
        <v>83</v>
      </c>
      <c r="D495" s="9" t="s">
        <v>45</v>
      </c>
      <c r="E495" s="9" t="s">
        <v>84</v>
      </c>
      <c r="F495" s="5" t="n">
        <v>60</v>
      </c>
      <c r="G495" s="10"/>
      <c r="H495" s="11" t="str">
        <f aca="false">IFERROR(IF($D495="Manual Review","",IF($G495="","",IF($D495="Direct Expiry",$G495,EDATE($G495,$F495)))),"Check Date")</f>
        <v/>
      </c>
      <c r="I495" s="12" t="str">
        <f aca="true">IF($H495="","",IF(ISNUMBER($H495),$H495-TODAY(),""))</f>
        <v/>
      </c>
      <c r="J495" s="4" t="str">
        <f aca="true">IF($D495="Manual Review","Manual Review",IF($G495="","No Data",IF(NOT(ISNUMBER($H495)),"N/A",IF($H495&lt;TODAY(),"Overdue",IF($H495&lt;=TODAY()+30,"Due within 1 Month",IF($H495&lt;=TODAY()+60,"Due within 2 Months","OK"))))))</f>
        <v>No Data</v>
      </c>
      <c r="K495" s="13"/>
    </row>
    <row r="496" customFormat="false" ht="15" hidden="false" customHeight="false" outlineLevel="0" collapsed="false">
      <c r="A496" s="9" t="str">
        <f aca="false">Vessels!B9</f>
        <v>Vessel 05</v>
      </c>
      <c r="B496" s="9" t="s">
        <v>42</v>
      </c>
      <c r="C496" s="7" t="s">
        <v>85</v>
      </c>
      <c r="D496" s="9" t="s">
        <v>45</v>
      </c>
      <c r="E496" s="9" t="s">
        <v>44</v>
      </c>
      <c r="F496" s="5" t="n">
        <v>12</v>
      </c>
      <c r="G496" s="10"/>
      <c r="H496" s="11" t="str">
        <f aca="false">IFERROR(IF($D496="Manual Review","",IF($G496="","",IF($D496="Direct Expiry",$G496,EDATE($G496,$F496)))),"Check Date")</f>
        <v/>
      </c>
      <c r="I496" s="12" t="str">
        <f aca="true">IF($H496="","",IF(ISNUMBER($H496),$H496-TODAY(),""))</f>
        <v/>
      </c>
      <c r="J496" s="4" t="str">
        <f aca="true">IF($D496="Manual Review","Manual Review",IF($G496="","No Data",IF(NOT(ISNUMBER($H496)),"N/A",IF($H496&lt;TODAY(),"Overdue",IF($H496&lt;=TODAY()+30,"Due within 1 Month",IF($H496&lt;=TODAY()+60,"Due within 2 Months","OK"))))))</f>
        <v>No Data</v>
      </c>
      <c r="K496" s="13"/>
    </row>
    <row r="497" customFormat="false" ht="15" hidden="false" customHeight="false" outlineLevel="0" collapsed="false">
      <c r="A497" s="9" t="str">
        <f aca="false">Vessels!B9</f>
        <v>Vessel 05</v>
      </c>
      <c r="B497" s="9" t="s">
        <v>42</v>
      </c>
      <c r="C497" s="7" t="s">
        <v>85</v>
      </c>
      <c r="D497" s="9" t="s">
        <v>45</v>
      </c>
      <c r="E497" s="9" t="s">
        <v>84</v>
      </c>
      <c r="F497" s="5" t="n">
        <v>60</v>
      </c>
      <c r="G497" s="10"/>
      <c r="H497" s="11" t="str">
        <f aca="false">IFERROR(IF($D497="Manual Review","",IF($G497="","",IF($D497="Direct Expiry",$G497,EDATE($G497,$F497)))),"Check Date")</f>
        <v/>
      </c>
      <c r="I497" s="12" t="str">
        <f aca="true">IF($H497="","",IF(ISNUMBER($H497),$H497-TODAY(),""))</f>
        <v/>
      </c>
      <c r="J497" s="4" t="str">
        <f aca="true">IF($D497="Manual Review","Manual Review",IF($G497="","No Data",IF(NOT(ISNUMBER($H497)),"N/A",IF($H497&lt;TODAY(),"Overdue",IF($H497&lt;=TODAY()+30,"Due within 1 Month",IF($H497&lt;=TODAY()+60,"Due within 2 Months","OK"))))))</f>
        <v>No Data</v>
      </c>
      <c r="K497" s="13"/>
    </row>
    <row r="498" customFormat="false" ht="15" hidden="false" customHeight="false" outlineLevel="0" collapsed="false">
      <c r="A498" s="9" t="str">
        <f aca="false">Vessels!B9</f>
        <v>Vessel 05</v>
      </c>
      <c r="B498" s="9" t="s">
        <v>42</v>
      </c>
      <c r="C498" s="7" t="s">
        <v>86</v>
      </c>
      <c r="D498" s="9" t="s">
        <v>45</v>
      </c>
      <c r="E498" s="9" t="s">
        <v>44</v>
      </c>
      <c r="F498" s="5" t="n">
        <v>12</v>
      </c>
      <c r="G498" s="10"/>
      <c r="H498" s="11" t="str">
        <f aca="false">IFERROR(IF($D498="Manual Review","",IF($G498="","",IF($D498="Direct Expiry",$G498,EDATE($G498,$F498)))),"Check Date")</f>
        <v/>
      </c>
      <c r="I498" s="12" t="str">
        <f aca="true">IF($H498="","",IF(ISNUMBER($H498),$H498-TODAY(),""))</f>
        <v/>
      </c>
      <c r="J498" s="4" t="str">
        <f aca="true">IF($D498="Manual Review","Manual Review",IF($G498="","No Data",IF(NOT(ISNUMBER($H498)),"N/A",IF($H498&lt;TODAY(),"Overdue",IF($H498&lt;=TODAY()+30,"Due within 1 Month",IF($H498&lt;=TODAY()+60,"Due within 2 Months","OK"))))))</f>
        <v>No Data</v>
      </c>
      <c r="K498" s="13"/>
    </row>
    <row r="499" customFormat="false" ht="15" hidden="false" customHeight="false" outlineLevel="0" collapsed="false">
      <c r="A499" s="9" t="str">
        <f aca="false">Vessels!B9</f>
        <v>Vessel 05</v>
      </c>
      <c r="B499" s="9" t="s">
        <v>42</v>
      </c>
      <c r="C499" s="7" t="s">
        <v>87</v>
      </c>
      <c r="D499" s="9" t="s">
        <v>45</v>
      </c>
      <c r="E499" s="9" t="s">
        <v>44</v>
      </c>
      <c r="F499" s="5" t="n">
        <v>12</v>
      </c>
      <c r="G499" s="10"/>
      <c r="H499" s="11" t="str">
        <f aca="false">IFERROR(IF($D499="Manual Review","",IF($G499="","",IF($D499="Direct Expiry",$G499,EDATE($G499,$F499)))),"Check Date")</f>
        <v/>
      </c>
      <c r="I499" s="12" t="str">
        <f aca="true">IF($H499="","",IF(ISNUMBER($H499),$H499-TODAY(),""))</f>
        <v/>
      </c>
      <c r="J499" s="4" t="str">
        <f aca="true">IF($D499="Manual Review","Manual Review",IF($G499="","No Data",IF(NOT(ISNUMBER($H499)),"N/A",IF($H499&lt;TODAY(),"Overdue",IF($H499&lt;=TODAY()+30,"Due within 1 Month",IF($H499&lt;=TODAY()+60,"Due within 2 Months","OK"))))))</f>
        <v>No Data</v>
      </c>
      <c r="K499" s="13"/>
    </row>
    <row r="500" customFormat="false" ht="15" hidden="false" customHeight="false" outlineLevel="0" collapsed="false">
      <c r="A500" s="9" t="str">
        <f aca="false">Vessels!B9</f>
        <v>Vessel 05</v>
      </c>
      <c r="B500" s="9" t="s">
        <v>88</v>
      </c>
      <c r="C500" s="7" t="s">
        <v>89</v>
      </c>
      <c r="D500" s="9" t="s">
        <v>45</v>
      </c>
      <c r="E500" s="9" t="s">
        <v>90</v>
      </c>
      <c r="F500" s="5" t="n">
        <v>36</v>
      </c>
      <c r="G500" s="10"/>
      <c r="H500" s="11" t="str">
        <f aca="false">IFERROR(IF($D500="Manual Review","",IF($G500="","",IF($D500="Direct Expiry",$G500,EDATE($G500,$F500)))),"Check Date")</f>
        <v/>
      </c>
      <c r="I500" s="12" t="str">
        <f aca="true">IF($H500="","",IF(ISNUMBER($H500),$H500-TODAY(),""))</f>
        <v/>
      </c>
      <c r="J500" s="4" t="str">
        <f aca="true">IF($D500="Manual Review","Manual Review",IF($G500="","No Data",IF(NOT(ISNUMBER($H500)),"N/A",IF($H500&lt;TODAY(),"Overdue",IF($H500&lt;=TODAY()+30,"Due within 1 Month",IF($H500&lt;=TODAY()+60,"Due within 2 Months","OK"))))))</f>
        <v>No Data</v>
      </c>
      <c r="K500" s="13"/>
    </row>
    <row r="501" customFormat="false" ht="15" hidden="false" customHeight="false" outlineLevel="0" collapsed="false">
      <c r="A501" s="9" t="str">
        <f aca="false">Vessels!B9</f>
        <v>Vessel 05</v>
      </c>
      <c r="B501" s="9" t="s">
        <v>88</v>
      </c>
      <c r="C501" s="7" t="s">
        <v>91</v>
      </c>
      <c r="D501" s="9" t="s">
        <v>45</v>
      </c>
      <c r="E501" s="9" t="s">
        <v>44</v>
      </c>
      <c r="F501" s="5" t="n">
        <v>12</v>
      </c>
      <c r="G501" s="10"/>
      <c r="H501" s="11" t="str">
        <f aca="false">IFERROR(IF($D501="Manual Review","",IF($G501="","",IF($D501="Direct Expiry",$G501,EDATE($G501,$F501)))),"Check Date")</f>
        <v/>
      </c>
      <c r="I501" s="12" t="str">
        <f aca="true">IF($H501="","",IF(ISNUMBER($H501),$H501-TODAY(),""))</f>
        <v/>
      </c>
      <c r="J501" s="4" t="str">
        <f aca="true">IF($D501="Manual Review","Manual Review",IF($G501="","No Data",IF(NOT(ISNUMBER($H501)),"N/A",IF($H501&lt;TODAY(),"Overdue",IF($H501&lt;=TODAY()+30,"Due within 1 Month",IF($H501&lt;=TODAY()+60,"Due within 2 Months","OK"))))))</f>
        <v>No Data</v>
      </c>
      <c r="K501" s="13"/>
    </row>
    <row r="502" customFormat="false" ht="15" hidden="false" customHeight="false" outlineLevel="0" collapsed="false">
      <c r="A502" s="9" t="str">
        <f aca="false">Vessels!B9</f>
        <v>Vessel 05</v>
      </c>
      <c r="B502" s="9" t="s">
        <v>88</v>
      </c>
      <c r="C502" s="7" t="s">
        <v>91</v>
      </c>
      <c r="D502" s="9" t="s">
        <v>45</v>
      </c>
      <c r="E502" s="9" t="s">
        <v>92</v>
      </c>
      <c r="F502" s="5" t="n">
        <v>120</v>
      </c>
      <c r="G502" s="10"/>
      <c r="H502" s="11" t="str">
        <f aca="false">IFERROR(IF($D502="Manual Review","",IF($G502="","",IF($D502="Direct Expiry",$G502,EDATE($G502,$F502)))),"Check Date")</f>
        <v/>
      </c>
      <c r="I502" s="12" t="str">
        <f aca="true">IF($H502="","",IF(ISNUMBER($H502),$H502-TODAY(),""))</f>
        <v/>
      </c>
      <c r="J502" s="4" t="str">
        <f aca="true">IF($D502="Manual Review","Manual Review",IF($G502="","No Data",IF(NOT(ISNUMBER($H502)),"N/A",IF($H502&lt;TODAY(),"Overdue",IF($H502&lt;=TODAY()+30,"Due within 1 Month",IF($H502&lt;=TODAY()+60,"Due within 2 Months","OK"))))))</f>
        <v>No Data</v>
      </c>
      <c r="K502" s="13"/>
    </row>
    <row r="503" customFormat="false" ht="15" hidden="false" customHeight="false" outlineLevel="0" collapsed="false">
      <c r="A503" s="9" t="str">
        <f aca="false">Vessels!B9</f>
        <v>Vessel 05</v>
      </c>
      <c r="B503" s="9" t="s">
        <v>88</v>
      </c>
      <c r="C503" s="7" t="s">
        <v>93</v>
      </c>
      <c r="D503" s="9" t="s">
        <v>45</v>
      </c>
      <c r="E503" s="9" t="s">
        <v>44</v>
      </c>
      <c r="F503" s="5" t="n">
        <v>12</v>
      </c>
      <c r="G503" s="10"/>
      <c r="H503" s="11" t="str">
        <f aca="false">IFERROR(IF($D503="Manual Review","",IF($G503="","",IF($D503="Direct Expiry",$G503,EDATE($G503,$F503)))),"Check Date")</f>
        <v/>
      </c>
      <c r="I503" s="12" t="str">
        <f aca="true">IF($H503="","",IF(ISNUMBER($H503),$H503-TODAY(),""))</f>
        <v/>
      </c>
      <c r="J503" s="4" t="str">
        <f aca="true">IF($D503="Manual Review","Manual Review",IF($G503="","No Data",IF(NOT(ISNUMBER($H503)),"N/A",IF($H503&lt;TODAY(),"Overdue",IF($H503&lt;=TODAY()+30,"Due within 1 Month",IF($H503&lt;=TODAY()+60,"Due within 2 Months","OK"))))))</f>
        <v>No Data</v>
      </c>
      <c r="K503" s="13"/>
    </row>
    <row r="504" customFormat="false" ht="15" hidden="false" customHeight="false" outlineLevel="0" collapsed="false">
      <c r="A504" s="9" t="str">
        <f aca="false">Vessels!B9</f>
        <v>Vessel 05</v>
      </c>
      <c r="B504" s="9" t="s">
        <v>88</v>
      </c>
      <c r="C504" s="7" t="s">
        <v>93</v>
      </c>
      <c r="D504" s="9" t="s">
        <v>45</v>
      </c>
      <c r="E504" s="9" t="s">
        <v>92</v>
      </c>
      <c r="F504" s="5" t="n">
        <v>120</v>
      </c>
      <c r="G504" s="10"/>
      <c r="H504" s="11" t="str">
        <f aca="false">IFERROR(IF($D504="Manual Review","",IF($G504="","",IF($D504="Direct Expiry",$G504,EDATE($G504,$F504)))),"Check Date")</f>
        <v/>
      </c>
      <c r="I504" s="12" t="str">
        <f aca="true">IF($H504="","",IF(ISNUMBER($H504),$H504-TODAY(),""))</f>
        <v/>
      </c>
      <c r="J504" s="4" t="str">
        <f aca="true">IF($D504="Manual Review","Manual Review",IF($G504="","No Data",IF(NOT(ISNUMBER($H504)),"N/A",IF($H504&lt;TODAY(),"Overdue",IF($H504&lt;=TODAY()+30,"Due within 1 Month",IF($H504&lt;=TODAY()+60,"Due within 2 Months","OK"))))))</f>
        <v>No Data</v>
      </c>
      <c r="K504" s="13"/>
    </row>
    <row r="505" customFormat="false" ht="15" hidden="false" customHeight="false" outlineLevel="0" collapsed="false">
      <c r="A505" s="9" t="str">
        <f aca="false">Vessels!B9</f>
        <v>Vessel 05</v>
      </c>
      <c r="B505" s="9" t="s">
        <v>88</v>
      </c>
      <c r="C505" s="7" t="s">
        <v>94</v>
      </c>
      <c r="D505" s="9" t="s">
        <v>45</v>
      </c>
      <c r="E505" s="9" t="s">
        <v>44</v>
      </c>
      <c r="F505" s="5" t="n">
        <v>12</v>
      </c>
      <c r="G505" s="10"/>
      <c r="H505" s="11" t="str">
        <f aca="false">IFERROR(IF($D505="Manual Review","",IF($G505="","",IF($D505="Direct Expiry",$G505,EDATE($G505,$F505)))),"Check Date")</f>
        <v/>
      </c>
      <c r="I505" s="12" t="str">
        <f aca="true">IF($H505="","",IF(ISNUMBER($H505),$H505-TODAY(),""))</f>
        <v/>
      </c>
      <c r="J505" s="4" t="str">
        <f aca="true">IF($D505="Manual Review","Manual Review",IF($G505="","No Data",IF(NOT(ISNUMBER($H505)),"N/A",IF($H505&lt;TODAY(),"Overdue",IF($H505&lt;=TODAY()+30,"Due within 1 Month",IF($H505&lt;=TODAY()+60,"Due within 2 Months","OK"))))))</f>
        <v>No Data</v>
      </c>
      <c r="K505" s="13"/>
    </row>
    <row r="506" customFormat="false" ht="15" hidden="false" customHeight="false" outlineLevel="0" collapsed="false">
      <c r="A506" s="9" t="str">
        <f aca="false">Vessels!B9</f>
        <v>Vessel 05</v>
      </c>
      <c r="B506" s="9" t="s">
        <v>88</v>
      </c>
      <c r="C506" s="7" t="s">
        <v>94</v>
      </c>
      <c r="D506" s="9" t="s">
        <v>45</v>
      </c>
      <c r="E506" s="9" t="s">
        <v>92</v>
      </c>
      <c r="F506" s="5" t="n">
        <v>120</v>
      </c>
      <c r="G506" s="10"/>
      <c r="H506" s="11" t="str">
        <f aca="false">IFERROR(IF($D506="Manual Review","",IF($G506="","",IF($D506="Direct Expiry",$G506,EDATE($G506,$F506)))),"Check Date")</f>
        <v/>
      </c>
      <c r="I506" s="12" t="str">
        <f aca="true">IF($H506="","",IF(ISNUMBER($H506),$H506-TODAY(),""))</f>
        <v/>
      </c>
      <c r="J506" s="4" t="str">
        <f aca="true">IF($D506="Manual Review","Manual Review",IF($G506="","No Data",IF(NOT(ISNUMBER($H506)),"N/A",IF($H506&lt;TODAY(),"Overdue",IF($H506&lt;=TODAY()+30,"Due within 1 Month",IF($H506&lt;=TODAY()+60,"Due within 2 Months","OK"))))))</f>
        <v>No Data</v>
      </c>
      <c r="K506" s="13"/>
    </row>
    <row r="507" customFormat="false" ht="15" hidden="false" customHeight="false" outlineLevel="0" collapsed="false">
      <c r="A507" s="9" t="str">
        <f aca="false">Vessels!B9</f>
        <v>Vessel 05</v>
      </c>
      <c r="B507" s="9" t="s">
        <v>88</v>
      </c>
      <c r="C507" s="7" t="s">
        <v>95</v>
      </c>
      <c r="D507" s="9" t="s">
        <v>45</v>
      </c>
      <c r="E507" s="9" t="s">
        <v>44</v>
      </c>
      <c r="F507" s="5" t="n">
        <v>12</v>
      </c>
      <c r="G507" s="10"/>
      <c r="H507" s="11" t="str">
        <f aca="false">IFERROR(IF($D507="Manual Review","",IF($G507="","",IF($D507="Direct Expiry",$G507,EDATE($G507,$F507)))),"Check Date")</f>
        <v/>
      </c>
      <c r="I507" s="12" t="str">
        <f aca="true">IF($H507="","",IF(ISNUMBER($H507),$H507-TODAY(),""))</f>
        <v/>
      </c>
      <c r="J507" s="4" t="str">
        <f aca="true">IF($D507="Manual Review","Manual Review",IF($G507="","No Data",IF(NOT(ISNUMBER($H507)),"N/A",IF($H507&lt;TODAY(),"Overdue",IF($H507&lt;=TODAY()+30,"Due within 1 Month",IF($H507&lt;=TODAY()+60,"Due within 2 Months","OK"))))))</f>
        <v>No Data</v>
      </c>
      <c r="K507" s="13"/>
    </row>
    <row r="508" customFormat="false" ht="15" hidden="false" customHeight="false" outlineLevel="0" collapsed="false">
      <c r="A508" s="9" t="str">
        <f aca="false">Vessels!B9</f>
        <v>Vessel 05</v>
      </c>
      <c r="B508" s="9" t="s">
        <v>88</v>
      </c>
      <c r="C508" s="7" t="s">
        <v>95</v>
      </c>
      <c r="D508" s="9" t="s">
        <v>45</v>
      </c>
      <c r="E508" s="9" t="s">
        <v>92</v>
      </c>
      <c r="F508" s="5" t="n">
        <v>120</v>
      </c>
      <c r="G508" s="10"/>
      <c r="H508" s="11" t="str">
        <f aca="false">IFERROR(IF($D508="Manual Review","",IF($G508="","",IF($D508="Direct Expiry",$G508,EDATE($G508,$F508)))),"Check Date")</f>
        <v/>
      </c>
      <c r="I508" s="12" t="str">
        <f aca="true">IF($H508="","",IF(ISNUMBER($H508),$H508-TODAY(),""))</f>
        <v/>
      </c>
      <c r="J508" s="4" t="str">
        <f aca="true">IF($D508="Manual Review","Manual Review",IF($G508="","No Data",IF(NOT(ISNUMBER($H508)),"N/A",IF($H508&lt;TODAY(),"Overdue",IF($H508&lt;=TODAY()+30,"Due within 1 Month",IF($H508&lt;=TODAY()+60,"Due within 2 Months","OK"))))))</f>
        <v>No Data</v>
      </c>
      <c r="K508" s="13"/>
    </row>
    <row r="509" customFormat="false" ht="15" hidden="false" customHeight="false" outlineLevel="0" collapsed="false">
      <c r="A509" s="9" t="str">
        <f aca="false">Vessels!B9</f>
        <v>Vessel 05</v>
      </c>
      <c r="B509" s="9" t="s">
        <v>88</v>
      </c>
      <c r="C509" s="7" t="s">
        <v>96</v>
      </c>
      <c r="D509" s="9" t="s">
        <v>45</v>
      </c>
      <c r="E509" s="9" t="s">
        <v>44</v>
      </c>
      <c r="F509" s="5" t="n">
        <v>12</v>
      </c>
      <c r="G509" s="10"/>
      <c r="H509" s="11" t="str">
        <f aca="false">IFERROR(IF($D509="Manual Review","",IF($G509="","",IF($D509="Direct Expiry",$G509,EDATE($G509,$F509)))),"Check Date")</f>
        <v/>
      </c>
      <c r="I509" s="12" t="str">
        <f aca="true">IF($H509="","",IF(ISNUMBER($H509),$H509-TODAY(),""))</f>
        <v/>
      </c>
      <c r="J509" s="4" t="str">
        <f aca="true">IF($D509="Manual Review","Manual Review",IF($G509="","No Data",IF(NOT(ISNUMBER($H509)),"N/A",IF($H509&lt;TODAY(),"Overdue",IF($H509&lt;=TODAY()+30,"Due within 1 Month",IF($H509&lt;=TODAY()+60,"Due within 2 Months","OK"))))))</f>
        <v>No Data</v>
      </c>
      <c r="K509" s="13"/>
    </row>
    <row r="510" customFormat="false" ht="15" hidden="false" customHeight="false" outlineLevel="0" collapsed="false">
      <c r="A510" s="9" t="str">
        <f aca="false">Vessels!B9</f>
        <v>Vessel 05</v>
      </c>
      <c r="B510" s="9" t="s">
        <v>88</v>
      </c>
      <c r="C510" s="7" t="s">
        <v>96</v>
      </c>
      <c r="D510" s="9" t="s">
        <v>45</v>
      </c>
      <c r="E510" s="9" t="s">
        <v>97</v>
      </c>
      <c r="F510" s="5" t="n">
        <v>120</v>
      </c>
      <c r="G510" s="10"/>
      <c r="H510" s="11" t="str">
        <f aca="false">IFERROR(IF($D510="Manual Review","",IF($G510="","",IF($D510="Direct Expiry",$G510,EDATE($G510,$F510)))),"Check Date")</f>
        <v/>
      </c>
      <c r="I510" s="12" t="str">
        <f aca="true">IF($H510="","",IF(ISNUMBER($H510),$H510-TODAY(),""))</f>
        <v/>
      </c>
      <c r="J510" s="4" t="str">
        <f aca="true">IF($D510="Manual Review","Manual Review",IF($G510="","No Data",IF(NOT(ISNUMBER($H510)),"N/A",IF($H510&lt;TODAY(),"Overdue",IF($H510&lt;=TODAY()+30,"Due within 1 Month",IF($H510&lt;=TODAY()+60,"Due within 2 Months","OK"))))))</f>
        <v>No Data</v>
      </c>
      <c r="K510" s="13"/>
    </row>
    <row r="511" customFormat="false" ht="15" hidden="false" customHeight="false" outlineLevel="0" collapsed="false">
      <c r="A511" s="9" t="str">
        <f aca="false">Vessels!B9</f>
        <v>Vessel 05</v>
      </c>
      <c r="B511" s="9" t="s">
        <v>88</v>
      </c>
      <c r="C511" s="7" t="s">
        <v>98</v>
      </c>
      <c r="D511" s="9" t="s">
        <v>45</v>
      </c>
      <c r="E511" s="9" t="s">
        <v>44</v>
      </c>
      <c r="F511" s="5" t="n">
        <v>12</v>
      </c>
      <c r="G511" s="10"/>
      <c r="H511" s="11" t="str">
        <f aca="false">IFERROR(IF($D511="Manual Review","",IF($G511="","",IF($D511="Direct Expiry",$G511,EDATE($G511,$F511)))),"Check Date")</f>
        <v/>
      </c>
      <c r="I511" s="12" t="str">
        <f aca="true">IF($H511="","",IF(ISNUMBER($H511),$H511-TODAY(),""))</f>
        <v/>
      </c>
      <c r="J511" s="4" t="str">
        <f aca="true">IF($D511="Manual Review","Manual Review",IF($G511="","No Data",IF(NOT(ISNUMBER($H511)),"N/A",IF($H511&lt;TODAY(),"Overdue",IF($H511&lt;=TODAY()+30,"Due within 1 Month",IF($H511&lt;=TODAY()+60,"Due within 2 Months","OK"))))))</f>
        <v>No Data</v>
      </c>
      <c r="K511" s="13"/>
    </row>
    <row r="512" customFormat="false" ht="15" hidden="false" customHeight="false" outlineLevel="0" collapsed="false">
      <c r="A512" s="9" t="str">
        <f aca="false">Vessels!B9</f>
        <v>Vessel 05</v>
      </c>
      <c r="B512" s="9" t="s">
        <v>88</v>
      </c>
      <c r="C512" s="7" t="s">
        <v>98</v>
      </c>
      <c r="D512" s="9" t="s">
        <v>45</v>
      </c>
      <c r="E512" s="9" t="s">
        <v>99</v>
      </c>
      <c r="F512" s="5" t="n">
        <v>60</v>
      </c>
      <c r="G512" s="10"/>
      <c r="H512" s="11" t="str">
        <f aca="false">IFERROR(IF($D512="Manual Review","",IF($G512="","",IF($D512="Direct Expiry",$G512,EDATE($G512,$F512)))),"Check Date")</f>
        <v/>
      </c>
      <c r="I512" s="12" t="str">
        <f aca="true">IF($H512="","",IF(ISNUMBER($H512),$H512-TODAY(),""))</f>
        <v/>
      </c>
      <c r="J512" s="4" t="str">
        <f aca="true">IF($D512="Manual Review","Manual Review",IF($G512="","No Data",IF(NOT(ISNUMBER($H512)),"N/A",IF($H512&lt;TODAY(),"Overdue",IF($H512&lt;=TODAY()+30,"Due within 1 Month",IF($H512&lt;=TODAY()+60,"Due within 2 Months","OK"))))))</f>
        <v>No Data</v>
      </c>
      <c r="K512" s="13"/>
    </row>
    <row r="513" customFormat="false" ht="15" hidden="false" customHeight="false" outlineLevel="0" collapsed="false">
      <c r="A513" s="9" t="str">
        <f aca="false">Vessels!B9</f>
        <v>Vessel 05</v>
      </c>
      <c r="B513" s="9" t="s">
        <v>88</v>
      </c>
      <c r="C513" s="7" t="s">
        <v>100</v>
      </c>
      <c r="D513" s="9" t="s">
        <v>45</v>
      </c>
      <c r="E513" s="9" t="s">
        <v>44</v>
      </c>
      <c r="F513" s="5" t="n">
        <v>12</v>
      </c>
      <c r="G513" s="10"/>
      <c r="H513" s="11" t="str">
        <f aca="false">IFERROR(IF($D513="Manual Review","",IF($G513="","",IF($D513="Direct Expiry",$G513,EDATE($G513,$F513)))),"Check Date")</f>
        <v/>
      </c>
      <c r="I513" s="12" t="str">
        <f aca="true">IF($H513="","",IF(ISNUMBER($H513),$H513-TODAY(),""))</f>
        <v/>
      </c>
      <c r="J513" s="4" t="str">
        <f aca="true">IF($D513="Manual Review","Manual Review",IF($G513="","No Data",IF(NOT(ISNUMBER($H513)),"N/A",IF($H513&lt;TODAY(),"Overdue",IF($H513&lt;=TODAY()+30,"Due within 1 Month",IF($H513&lt;=TODAY()+60,"Due within 2 Months","OK"))))))</f>
        <v>No Data</v>
      </c>
      <c r="K513" s="13"/>
    </row>
    <row r="514" customFormat="false" ht="15" hidden="false" customHeight="false" outlineLevel="0" collapsed="false">
      <c r="A514" s="9" t="str">
        <f aca="false">Vessels!B9</f>
        <v>Vessel 05</v>
      </c>
      <c r="B514" s="9" t="s">
        <v>88</v>
      </c>
      <c r="C514" s="7" t="s">
        <v>100</v>
      </c>
      <c r="D514" s="9" t="s">
        <v>45</v>
      </c>
      <c r="E514" s="9" t="s">
        <v>99</v>
      </c>
      <c r="F514" s="5" t="n">
        <v>60</v>
      </c>
      <c r="G514" s="10"/>
      <c r="H514" s="11" t="str">
        <f aca="false">IFERROR(IF($D514="Manual Review","",IF($G514="","",IF($D514="Direct Expiry",$G514,EDATE($G514,$F514)))),"Check Date")</f>
        <v/>
      </c>
      <c r="I514" s="12" t="str">
        <f aca="true">IF($H514="","",IF(ISNUMBER($H514),$H514-TODAY(),""))</f>
        <v/>
      </c>
      <c r="J514" s="4" t="str">
        <f aca="true">IF($D514="Manual Review","Manual Review",IF($G514="","No Data",IF(NOT(ISNUMBER($H514)),"N/A",IF($H514&lt;TODAY(),"Overdue",IF($H514&lt;=TODAY()+30,"Due within 1 Month",IF($H514&lt;=TODAY()+60,"Due within 2 Months","OK"))))))</f>
        <v>No Data</v>
      </c>
      <c r="K514" s="13"/>
    </row>
    <row r="515" customFormat="false" ht="15" hidden="false" customHeight="false" outlineLevel="0" collapsed="false">
      <c r="A515" s="9" t="str">
        <f aca="false">Vessels!B9</f>
        <v>Vessel 05</v>
      </c>
      <c r="B515" s="9" t="s">
        <v>88</v>
      </c>
      <c r="C515" s="7" t="s">
        <v>101</v>
      </c>
      <c r="D515" s="9" t="s">
        <v>45</v>
      </c>
      <c r="E515" s="9" t="s">
        <v>44</v>
      </c>
      <c r="F515" s="5" t="n">
        <v>12</v>
      </c>
      <c r="G515" s="10"/>
      <c r="H515" s="11" t="str">
        <f aca="false">IFERROR(IF($D515="Manual Review","",IF($G515="","",IF($D515="Direct Expiry",$G515,EDATE($G515,$F515)))),"Check Date")</f>
        <v/>
      </c>
      <c r="I515" s="12" t="str">
        <f aca="true">IF($H515="","",IF(ISNUMBER($H515),$H515-TODAY(),""))</f>
        <v/>
      </c>
      <c r="J515" s="4" t="str">
        <f aca="true">IF($D515="Manual Review","Manual Review",IF($G515="","No Data",IF(NOT(ISNUMBER($H515)),"N/A",IF($H515&lt;TODAY(),"Overdue",IF($H515&lt;=TODAY()+30,"Due within 1 Month",IF($H515&lt;=TODAY()+60,"Due within 2 Months","OK"))))))</f>
        <v>No Data</v>
      </c>
      <c r="K515" s="13"/>
    </row>
    <row r="516" customFormat="false" ht="23.85" hidden="false" customHeight="false" outlineLevel="0" collapsed="false">
      <c r="A516" s="9" t="str">
        <f aca="false">Vessels!B9</f>
        <v>Vessel 05</v>
      </c>
      <c r="B516" s="9" t="s">
        <v>88</v>
      </c>
      <c r="C516" s="7" t="s">
        <v>102</v>
      </c>
      <c r="D516" s="9" t="s">
        <v>45</v>
      </c>
      <c r="E516" s="9" t="s">
        <v>44</v>
      </c>
      <c r="F516" s="5" t="n">
        <v>12</v>
      </c>
      <c r="G516" s="10"/>
      <c r="H516" s="11" t="str">
        <f aca="false">IFERROR(IF($D516="Manual Review","",IF($G516="","",IF($D516="Direct Expiry",$G516,EDATE($G516,$F516)))),"Check Date")</f>
        <v/>
      </c>
      <c r="I516" s="12" t="str">
        <f aca="true">IF($H516="","",IF(ISNUMBER($H516),$H516-TODAY(),""))</f>
        <v/>
      </c>
      <c r="J516" s="4" t="str">
        <f aca="true">IF($D516="Manual Review","Manual Review",IF($G516="","No Data",IF(NOT(ISNUMBER($H516)),"N/A",IF($H516&lt;TODAY(),"Overdue",IF($H516&lt;=TODAY()+30,"Due within 1 Month",IF($H516&lt;=TODAY()+60,"Due within 2 Months","OK"))))))</f>
        <v>No Data</v>
      </c>
      <c r="K516" s="13"/>
    </row>
    <row r="517" customFormat="false" ht="23.85" hidden="false" customHeight="false" outlineLevel="0" collapsed="false">
      <c r="A517" s="9" t="str">
        <f aca="false">Vessels!B9</f>
        <v>Vessel 05</v>
      </c>
      <c r="B517" s="9" t="s">
        <v>88</v>
      </c>
      <c r="C517" s="7" t="s">
        <v>102</v>
      </c>
      <c r="D517" s="9" t="s">
        <v>45</v>
      </c>
      <c r="E517" s="9" t="s">
        <v>97</v>
      </c>
      <c r="F517" s="5" t="n">
        <v>120</v>
      </c>
      <c r="G517" s="10"/>
      <c r="H517" s="11" t="str">
        <f aca="false">IFERROR(IF($D517="Manual Review","",IF($G517="","",IF($D517="Direct Expiry",$G517,EDATE($G517,$F517)))),"Check Date")</f>
        <v/>
      </c>
      <c r="I517" s="12" t="str">
        <f aca="true">IF($H517="","",IF(ISNUMBER($H517),$H517-TODAY(),""))</f>
        <v/>
      </c>
      <c r="J517" s="4" t="str">
        <f aca="true">IF($D517="Manual Review","Manual Review",IF($G517="","No Data",IF(NOT(ISNUMBER($H517)),"N/A",IF($H517&lt;TODAY(),"Overdue",IF($H517&lt;=TODAY()+30,"Due within 1 Month",IF($H517&lt;=TODAY()+60,"Due within 2 Months","OK"))))))</f>
        <v>No Data</v>
      </c>
      <c r="K517" s="13"/>
    </row>
    <row r="518" customFormat="false" ht="15" hidden="false" customHeight="false" outlineLevel="0" collapsed="false">
      <c r="A518" s="9" t="str">
        <f aca="false">Vessels!B9</f>
        <v>Vessel 05</v>
      </c>
      <c r="B518" s="9" t="s">
        <v>88</v>
      </c>
      <c r="C518" s="7" t="s">
        <v>103</v>
      </c>
      <c r="D518" s="9" t="s">
        <v>45</v>
      </c>
      <c r="E518" s="9" t="s">
        <v>44</v>
      </c>
      <c r="F518" s="5" t="n">
        <v>12</v>
      </c>
      <c r="G518" s="10"/>
      <c r="H518" s="11" t="str">
        <f aca="false">IFERROR(IF($D518="Manual Review","",IF($G518="","",IF($D518="Direct Expiry",$G518,EDATE($G518,$F518)))),"Check Date")</f>
        <v/>
      </c>
      <c r="I518" s="12" t="str">
        <f aca="true">IF($H518="","",IF(ISNUMBER($H518),$H518-TODAY(),""))</f>
        <v/>
      </c>
      <c r="J518" s="4" t="str">
        <f aca="true">IF($D518="Manual Review","Manual Review",IF($G518="","No Data",IF(NOT(ISNUMBER($H518)),"N/A",IF($H518&lt;TODAY(),"Overdue",IF($H518&lt;=TODAY()+30,"Due within 1 Month",IF($H518&lt;=TODAY()+60,"Due within 2 Months","OK"))))))</f>
        <v>No Data</v>
      </c>
      <c r="K518" s="13"/>
    </row>
    <row r="519" customFormat="false" ht="15" hidden="false" customHeight="false" outlineLevel="0" collapsed="false">
      <c r="A519" s="9" t="str">
        <f aca="false">Vessels!B9</f>
        <v>Vessel 05</v>
      </c>
      <c r="B519" s="9" t="s">
        <v>88</v>
      </c>
      <c r="C519" s="7" t="s">
        <v>103</v>
      </c>
      <c r="D519" s="9" t="s">
        <v>45</v>
      </c>
      <c r="E519" s="9" t="s">
        <v>97</v>
      </c>
      <c r="F519" s="5" t="n">
        <v>120</v>
      </c>
      <c r="G519" s="10"/>
      <c r="H519" s="11" t="str">
        <f aca="false">IFERROR(IF($D519="Manual Review","",IF($G519="","",IF($D519="Direct Expiry",$G519,EDATE($G519,$F519)))),"Check Date")</f>
        <v/>
      </c>
      <c r="I519" s="12" t="str">
        <f aca="true">IF($H519="","",IF(ISNUMBER($H519),$H519-TODAY(),""))</f>
        <v/>
      </c>
      <c r="J519" s="4" t="str">
        <f aca="true">IF($D519="Manual Review","Manual Review",IF($G519="","No Data",IF(NOT(ISNUMBER($H519)),"N/A",IF($H519&lt;TODAY(),"Overdue",IF($H519&lt;=TODAY()+30,"Due within 1 Month",IF($H519&lt;=TODAY()+60,"Due within 2 Months","OK"))))))</f>
        <v>No Data</v>
      </c>
      <c r="K519" s="13"/>
    </row>
    <row r="520" customFormat="false" ht="15" hidden="false" customHeight="false" outlineLevel="0" collapsed="false">
      <c r="A520" s="9" t="str">
        <f aca="false">Vessels!B9</f>
        <v>Vessel 05</v>
      </c>
      <c r="B520" s="9" t="s">
        <v>88</v>
      </c>
      <c r="C520" s="7" t="s">
        <v>104</v>
      </c>
      <c r="D520" s="9" t="s">
        <v>45</v>
      </c>
      <c r="E520" s="9" t="s">
        <v>44</v>
      </c>
      <c r="F520" s="5" t="n">
        <v>12</v>
      </c>
      <c r="G520" s="10"/>
      <c r="H520" s="11" t="str">
        <f aca="false">IFERROR(IF($D520="Manual Review","",IF($G520="","",IF($D520="Direct Expiry",$G520,EDATE($G520,$F520)))),"Check Date")</f>
        <v/>
      </c>
      <c r="I520" s="12" t="str">
        <f aca="true">IF($H520="","",IF(ISNUMBER($H520),$H520-TODAY(),""))</f>
        <v/>
      </c>
      <c r="J520" s="4" t="str">
        <f aca="true">IF($D520="Manual Review","Manual Review",IF($G520="","No Data",IF(NOT(ISNUMBER($H520)),"N/A",IF($H520&lt;TODAY(),"Overdue",IF($H520&lt;=TODAY()+30,"Due within 1 Month",IF($H520&lt;=TODAY()+60,"Due within 2 Months","OK"))))))</f>
        <v>No Data</v>
      </c>
      <c r="K520" s="13"/>
    </row>
    <row r="521" customFormat="false" ht="15" hidden="false" customHeight="false" outlineLevel="0" collapsed="false">
      <c r="A521" s="9" t="str">
        <f aca="false">Vessels!B9</f>
        <v>Vessel 05</v>
      </c>
      <c r="B521" s="9" t="s">
        <v>88</v>
      </c>
      <c r="C521" s="7" t="s">
        <v>105</v>
      </c>
      <c r="D521" s="9" t="s">
        <v>45</v>
      </c>
      <c r="E521" s="9" t="s">
        <v>44</v>
      </c>
      <c r="F521" s="5" t="n">
        <v>12</v>
      </c>
      <c r="G521" s="10"/>
      <c r="H521" s="11" t="str">
        <f aca="false">IFERROR(IF($D521="Manual Review","",IF($G521="","",IF($D521="Direct Expiry",$G521,EDATE($G521,$F521)))),"Check Date")</f>
        <v/>
      </c>
      <c r="I521" s="12" t="str">
        <f aca="true">IF($H521="","",IF(ISNUMBER($H521),$H521-TODAY(),""))</f>
        <v/>
      </c>
      <c r="J521" s="4" t="str">
        <f aca="true">IF($D521="Manual Review","Manual Review",IF($G521="","No Data",IF(NOT(ISNUMBER($H521)),"N/A",IF($H521&lt;TODAY(),"Overdue",IF($H521&lt;=TODAY()+30,"Due within 1 Month",IF($H521&lt;=TODAY()+60,"Due within 2 Months","OK"))))))</f>
        <v>No Data</v>
      </c>
      <c r="K521" s="13"/>
    </row>
    <row r="522" customFormat="false" ht="15" hidden="false" customHeight="false" outlineLevel="0" collapsed="false">
      <c r="A522" s="9" t="str">
        <f aca="false">Vessels!B9</f>
        <v>Vessel 05</v>
      </c>
      <c r="B522" s="9" t="s">
        <v>88</v>
      </c>
      <c r="C522" s="7" t="s">
        <v>106</v>
      </c>
      <c r="D522" s="9" t="s">
        <v>45</v>
      </c>
      <c r="E522" s="9" t="s">
        <v>44</v>
      </c>
      <c r="F522" s="5" t="n">
        <v>12</v>
      </c>
      <c r="G522" s="10"/>
      <c r="H522" s="11" t="str">
        <f aca="false">IFERROR(IF($D522="Manual Review","",IF($G522="","",IF($D522="Direct Expiry",$G522,EDATE($G522,$F522)))),"Check Date")</f>
        <v/>
      </c>
      <c r="I522" s="12" t="str">
        <f aca="true">IF($H522="","",IF(ISNUMBER($H522),$H522-TODAY(),""))</f>
        <v/>
      </c>
      <c r="J522" s="4" t="str">
        <f aca="true">IF($D522="Manual Review","Manual Review",IF($G522="","No Data",IF(NOT(ISNUMBER($H522)),"N/A",IF($H522&lt;TODAY(),"Overdue",IF($H522&lt;=TODAY()+30,"Due within 1 Month",IF($H522&lt;=TODAY()+60,"Due within 2 Months","OK"))))))</f>
        <v>No Data</v>
      </c>
      <c r="K522" s="13"/>
    </row>
    <row r="523" customFormat="false" ht="15" hidden="false" customHeight="false" outlineLevel="0" collapsed="false">
      <c r="A523" s="9" t="str">
        <f aca="false">Vessels!B9</f>
        <v>Vessel 05</v>
      </c>
      <c r="B523" s="9" t="s">
        <v>88</v>
      </c>
      <c r="C523" s="7" t="s">
        <v>107</v>
      </c>
      <c r="D523" s="9" t="s">
        <v>45</v>
      </c>
      <c r="E523" s="9" t="s">
        <v>44</v>
      </c>
      <c r="F523" s="5" t="n">
        <v>12</v>
      </c>
      <c r="G523" s="10"/>
      <c r="H523" s="11" t="str">
        <f aca="false">IFERROR(IF($D523="Manual Review","",IF($G523="","",IF($D523="Direct Expiry",$G523,EDATE($G523,$F523)))),"Check Date")</f>
        <v/>
      </c>
      <c r="I523" s="12" t="str">
        <f aca="true">IF($H523="","",IF(ISNUMBER($H523),$H523-TODAY(),""))</f>
        <v/>
      </c>
      <c r="J523" s="4" t="str">
        <f aca="true">IF($D523="Manual Review","Manual Review",IF($G523="","No Data",IF(NOT(ISNUMBER($H523)),"N/A",IF($H523&lt;TODAY(),"Overdue",IF($H523&lt;=TODAY()+30,"Due within 1 Month",IF($H523&lt;=TODAY()+60,"Due within 2 Months","OK"))))))</f>
        <v>No Data</v>
      </c>
      <c r="K523" s="13"/>
    </row>
    <row r="524" customFormat="false" ht="15" hidden="false" customHeight="false" outlineLevel="0" collapsed="false">
      <c r="A524" s="9" t="str">
        <f aca="false">Vessels!B9</f>
        <v>Vessel 05</v>
      </c>
      <c r="B524" s="9" t="s">
        <v>88</v>
      </c>
      <c r="C524" s="7" t="s">
        <v>108</v>
      </c>
      <c r="D524" s="9" t="s">
        <v>45</v>
      </c>
      <c r="E524" s="9" t="s">
        <v>109</v>
      </c>
      <c r="F524" s="5" t="n">
        <v>12</v>
      </c>
      <c r="G524" s="10"/>
      <c r="H524" s="11" t="str">
        <f aca="false">IFERROR(IF($D524="Manual Review","",IF($G524="","",IF($D524="Direct Expiry",$G524,EDATE($G524,$F524)))),"Check Date")</f>
        <v/>
      </c>
      <c r="I524" s="12" t="str">
        <f aca="true">IF($H524="","",IF(ISNUMBER($H524),$H524-TODAY(),""))</f>
        <v/>
      </c>
      <c r="J524" s="4" t="str">
        <f aca="true">IF($D524="Manual Review","Manual Review",IF($G524="","No Data",IF(NOT(ISNUMBER($H524)),"N/A",IF($H524&lt;TODAY(),"Overdue",IF($H524&lt;=TODAY()+30,"Due within 1 Month",IF($H524&lt;=TODAY()+60,"Due within 2 Months","OK"))))))</f>
        <v>No Data</v>
      </c>
      <c r="K524" s="13"/>
    </row>
    <row r="525" customFormat="false" ht="15" hidden="false" customHeight="false" outlineLevel="0" collapsed="false">
      <c r="A525" s="9" t="str">
        <f aca="false">Vessels!B9</f>
        <v>Vessel 05</v>
      </c>
      <c r="B525" s="9" t="s">
        <v>88</v>
      </c>
      <c r="C525" s="7" t="s">
        <v>108</v>
      </c>
      <c r="D525" s="9" t="s">
        <v>45</v>
      </c>
      <c r="E525" s="9" t="s">
        <v>110</v>
      </c>
      <c r="F525" s="5" t="n">
        <v>60</v>
      </c>
      <c r="G525" s="10"/>
      <c r="H525" s="11" t="str">
        <f aca="false">IFERROR(IF($D525="Manual Review","",IF($G525="","",IF($D525="Direct Expiry",$G525,EDATE($G525,$F525)))),"Check Date")</f>
        <v/>
      </c>
      <c r="I525" s="12" t="str">
        <f aca="true">IF($H525="","",IF(ISNUMBER($H525),$H525-TODAY(),""))</f>
        <v/>
      </c>
      <c r="J525" s="4" t="str">
        <f aca="true">IF($D525="Manual Review","Manual Review",IF($G525="","No Data",IF(NOT(ISNUMBER($H525)),"N/A",IF($H525&lt;TODAY(),"Overdue",IF($H525&lt;=TODAY()+30,"Due within 1 Month",IF($H525&lt;=TODAY()+60,"Due within 2 Months","OK"))))))</f>
        <v>No Data</v>
      </c>
      <c r="K525" s="13"/>
    </row>
    <row r="526" customFormat="false" ht="15" hidden="false" customHeight="false" outlineLevel="0" collapsed="false">
      <c r="A526" s="9" t="str">
        <f aca="false">Vessels!B9</f>
        <v>Vessel 05</v>
      </c>
      <c r="B526" s="9" t="s">
        <v>88</v>
      </c>
      <c r="C526" s="7" t="s">
        <v>111</v>
      </c>
      <c r="D526" s="9" t="s">
        <v>45</v>
      </c>
      <c r="E526" s="9" t="s">
        <v>44</v>
      </c>
      <c r="F526" s="5" t="n">
        <v>12</v>
      </c>
      <c r="G526" s="10"/>
      <c r="H526" s="11" t="str">
        <f aca="false">IFERROR(IF($D526="Manual Review","",IF($G526="","",IF($D526="Direct Expiry",$G526,EDATE($G526,$F526)))),"Check Date")</f>
        <v/>
      </c>
      <c r="I526" s="12" t="str">
        <f aca="true">IF($H526="","",IF(ISNUMBER($H526),$H526-TODAY(),""))</f>
        <v/>
      </c>
      <c r="J526" s="4" t="str">
        <f aca="true">IF($D526="Manual Review","Manual Review",IF($G526="","No Data",IF(NOT(ISNUMBER($H526)),"N/A",IF($H526&lt;TODAY(),"Overdue",IF($H526&lt;=TODAY()+30,"Due within 1 Month",IF($H526&lt;=TODAY()+60,"Due within 2 Months","OK"))))))</f>
        <v>No Data</v>
      </c>
      <c r="K526" s="13"/>
    </row>
    <row r="527" customFormat="false" ht="15" hidden="false" customHeight="false" outlineLevel="0" collapsed="false">
      <c r="A527" s="9" t="str">
        <f aca="false">Vessels!B9</f>
        <v>Vessel 05</v>
      </c>
      <c r="B527" s="9" t="s">
        <v>88</v>
      </c>
      <c r="C527" s="7" t="s">
        <v>112</v>
      </c>
      <c r="D527" s="9" t="s">
        <v>45</v>
      </c>
      <c r="E527" s="9" t="s">
        <v>44</v>
      </c>
      <c r="F527" s="5" t="n">
        <v>12</v>
      </c>
      <c r="G527" s="10"/>
      <c r="H527" s="11" t="str">
        <f aca="false">IFERROR(IF($D527="Manual Review","",IF($G527="","",IF($D527="Direct Expiry",$G527,EDATE($G527,$F527)))),"Check Date")</f>
        <v/>
      </c>
      <c r="I527" s="12" t="str">
        <f aca="true">IF($H527="","",IF(ISNUMBER($H527),$H527-TODAY(),""))</f>
        <v/>
      </c>
      <c r="J527" s="4" t="str">
        <f aca="true">IF($D527="Manual Review","Manual Review",IF($G527="","No Data",IF(NOT(ISNUMBER($H527)),"N/A",IF($H527&lt;TODAY(),"Overdue",IF($H527&lt;=TODAY()+30,"Due within 1 Month",IF($H527&lt;=TODAY()+60,"Due within 2 Months","OK"))))))</f>
        <v>No Data</v>
      </c>
      <c r="K527" s="13"/>
    </row>
    <row r="528" customFormat="false" ht="15" hidden="false" customHeight="false" outlineLevel="0" collapsed="false">
      <c r="A528" s="9" t="str">
        <f aca="false">Vessels!B9</f>
        <v>Vessel 05</v>
      </c>
      <c r="B528" s="9" t="s">
        <v>88</v>
      </c>
      <c r="C528" s="7" t="s">
        <v>113</v>
      </c>
      <c r="D528" s="9" t="s">
        <v>115</v>
      </c>
      <c r="E528" s="9" t="s">
        <v>114</v>
      </c>
      <c r="F528" s="5"/>
      <c r="G528" s="10"/>
      <c r="H528" s="11" t="str">
        <f aca="false">IFERROR(IF($D528="Manual Review","",IF($G528="","",IF($D528="Direct Expiry",$G528,EDATE($G528,$F528)))),"Check Date")</f>
        <v/>
      </c>
      <c r="I528" s="12" t="str">
        <f aca="true">IF($H528="","",IF(ISNUMBER($H528),$H528-TODAY(),""))</f>
        <v/>
      </c>
      <c r="J528" s="4" t="str">
        <f aca="true">IF($D528="Manual Review","Manual Review",IF($G528="","No Data",IF(NOT(ISNUMBER($H528)),"N/A",IF($H528&lt;TODAY(),"Overdue",IF($H528&lt;=TODAY()+30,"Due within 1 Month",IF($H528&lt;=TODAY()+60,"Due within 2 Months","OK"))))))</f>
        <v>Manual Review</v>
      </c>
      <c r="K528" s="13"/>
    </row>
    <row r="529" customFormat="false" ht="15" hidden="false" customHeight="false" outlineLevel="0" collapsed="false">
      <c r="A529" s="9" t="str">
        <f aca="false">Vessels!B9</f>
        <v>Vessel 05</v>
      </c>
      <c r="B529" s="9" t="s">
        <v>88</v>
      </c>
      <c r="C529" s="7" t="s">
        <v>116</v>
      </c>
      <c r="D529" s="9" t="s">
        <v>115</v>
      </c>
      <c r="E529" s="9" t="s">
        <v>114</v>
      </c>
      <c r="F529" s="5"/>
      <c r="G529" s="10"/>
      <c r="H529" s="11" t="str">
        <f aca="false">IFERROR(IF($D529="Manual Review","",IF($G529="","",IF($D529="Direct Expiry",$G529,EDATE($G529,$F529)))),"Check Date")</f>
        <v/>
      </c>
      <c r="I529" s="12" t="str">
        <f aca="true">IF($H529="","",IF(ISNUMBER($H529),$H529-TODAY(),""))</f>
        <v/>
      </c>
      <c r="J529" s="4" t="str">
        <f aca="true">IF($D529="Manual Review","Manual Review",IF($G529="","No Data",IF(NOT(ISNUMBER($H529)),"N/A",IF($H529&lt;TODAY(),"Overdue",IF($H529&lt;=TODAY()+30,"Due within 1 Month",IF($H529&lt;=TODAY()+60,"Due within 2 Months","OK"))))))</f>
        <v>Manual Review</v>
      </c>
      <c r="K529" s="13"/>
    </row>
    <row r="530" customFormat="false" ht="15" hidden="false" customHeight="false" outlineLevel="0" collapsed="false">
      <c r="A530" s="9" t="str">
        <f aca="false">Vessels!B9</f>
        <v>Vessel 05</v>
      </c>
      <c r="B530" s="9" t="s">
        <v>117</v>
      </c>
      <c r="C530" s="7" t="s">
        <v>118</v>
      </c>
      <c r="D530" s="9" t="s">
        <v>59</v>
      </c>
      <c r="E530" s="9" t="s">
        <v>119</v>
      </c>
      <c r="F530" s="5"/>
      <c r="G530" s="10"/>
      <c r="H530" s="11" t="str">
        <f aca="false">IFERROR(IF($D530="Manual Review","",IF($G530="","",IF($D530="Direct Expiry",$G530,EDATE($G530,$F530)))),"Check Date")</f>
        <v/>
      </c>
      <c r="I530" s="12" t="str">
        <f aca="true">IF($H530="","",IF(ISNUMBER($H530),$H530-TODAY(),""))</f>
        <v/>
      </c>
      <c r="J530" s="4" t="str">
        <f aca="true">IF($D530="Manual Review","Manual Review",IF($G530="","No Data",IF(NOT(ISNUMBER($H530)),"N/A",IF($H530&lt;TODAY(),"Overdue",IF($H530&lt;=TODAY()+30,"Due within 1 Month",IF($H530&lt;=TODAY()+60,"Due within 2 Months","OK"))))))</f>
        <v>No Data</v>
      </c>
      <c r="K530" s="13"/>
    </row>
    <row r="531" customFormat="false" ht="15" hidden="false" customHeight="false" outlineLevel="0" collapsed="false">
      <c r="A531" s="9" t="str">
        <f aca="false">Vessels!B9</f>
        <v>Vessel 05</v>
      </c>
      <c r="B531" s="9" t="s">
        <v>117</v>
      </c>
      <c r="C531" s="7" t="s">
        <v>120</v>
      </c>
      <c r="D531" s="9" t="s">
        <v>45</v>
      </c>
      <c r="E531" s="9" t="s">
        <v>44</v>
      </c>
      <c r="F531" s="5" t="n">
        <v>12</v>
      </c>
      <c r="G531" s="10"/>
      <c r="H531" s="11" t="str">
        <f aca="false">IFERROR(IF($D531="Manual Review","",IF($G531="","",IF($D531="Direct Expiry",$G531,EDATE($G531,$F531)))),"Check Date")</f>
        <v/>
      </c>
      <c r="I531" s="12" t="str">
        <f aca="true">IF($H531="","",IF(ISNUMBER($H531),$H531-TODAY(),""))</f>
        <v/>
      </c>
      <c r="J531" s="4" t="str">
        <f aca="true">IF($D531="Manual Review","Manual Review",IF($G531="","No Data",IF(NOT(ISNUMBER($H531)),"N/A",IF($H531&lt;TODAY(),"Overdue",IF($H531&lt;=TODAY()+30,"Due within 1 Month",IF($H531&lt;=TODAY()+60,"Due within 2 Months","OK"))))))</f>
        <v>No Data</v>
      </c>
      <c r="K531" s="13"/>
    </row>
    <row r="532" customFormat="false" ht="15" hidden="false" customHeight="false" outlineLevel="0" collapsed="false">
      <c r="A532" s="9" t="str">
        <f aca="false">Vessels!B9</f>
        <v>Vessel 05</v>
      </c>
      <c r="B532" s="9" t="s">
        <v>117</v>
      </c>
      <c r="C532" s="7" t="s">
        <v>121</v>
      </c>
      <c r="D532" s="9" t="s">
        <v>45</v>
      </c>
      <c r="E532" s="9" t="s">
        <v>44</v>
      </c>
      <c r="F532" s="5" t="n">
        <v>12</v>
      </c>
      <c r="G532" s="10"/>
      <c r="H532" s="11" t="str">
        <f aca="false">IFERROR(IF($D532="Manual Review","",IF($G532="","",IF($D532="Direct Expiry",$G532,EDATE($G532,$F532)))),"Check Date")</f>
        <v/>
      </c>
      <c r="I532" s="12" t="str">
        <f aca="true">IF($H532="","",IF(ISNUMBER($H532),$H532-TODAY(),""))</f>
        <v/>
      </c>
      <c r="J532" s="4" t="str">
        <f aca="true">IF($D532="Manual Review","Manual Review",IF($G532="","No Data",IF(NOT(ISNUMBER($H532)),"N/A",IF($H532&lt;TODAY(),"Overdue",IF($H532&lt;=TODAY()+30,"Due within 1 Month",IF($H532&lt;=TODAY()+60,"Due within 2 Months","OK"))))))</f>
        <v>No Data</v>
      </c>
      <c r="K532" s="13"/>
    </row>
    <row r="533" customFormat="false" ht="15" hidden="false" customHeight="false" outlineLevel="0" collapsed="false">
      <c r="A533" s="9" t="str">
        <f aca="false">Vessels!B9</f>
        <v>Vessel 05</v>
      </c>
      <c r="B533" s="9" t="s">
        <v>117</v>
      </c>
      <c r="C533" s="7" t="s">
        <v>122</v>
      </c>
      <c r="D533" s="9" t="s">
        <v>45</v>
      </c>
      <c r="E533" s="9" t="s">
        <v>123</v>
      </c>
      <c r="F533" s="5" t="n">
        <v>24</v>
      </c>
      <c r="G533" s="10"/>
      <c r="H533" s="11" t="str">
        <f aca="false">IFERROR(IF($D533="Manual Review","",IF($G533="","",IF($D533="Direct Expiry",$G533,EDATE($G533,$F533)))),"Check Date")</f>
        <v/>
      </c>
      <c r="I533" s="12" t="str">
        <f aca="true">IF($H533="","",IF(ISNUMBER($H533),$H533-TODAY(),""))</f>
        <v/>
      </c>
      <c r="J533" s="4" t="str">
        <f aca="true">IF($D533="Manual Review","Manual Review",IF($G533="","No Data",IF(NOT(ISNUMBER($H533)),"N/A",IF($H533&lt;TODAY(),"Overdue",IF($H533&lt;=TODAY()+30,"Due within 1 Month",IF($H533&lt;=TODAY()+60,"Due within 2 Months","OK"))))))</f>
        <v>No Data</v>
      </c>
      <c r="K533" s="13"/>
    </row>
    <row r="534" customFormat="false" ht="15" hidden="false" customHeight="false" outlineLevel="0" collapsed="false">
      <c r="A534" s="9" t="str">
        <f aca="false">Vessels!B9</f>
        <v>Vessel 05</v>
      </c>
      <c r="B534" s="9" t="s">
        <v>117</v>
      </c>
      <c r="C534" s="7" t="s">
        <v>124</v>
      </c>
      <c r="D534" s="9" t="s">
        <v>59</v>
      </c>
      <c r="E534" s="9" t="s">
        <v>58</v>
      </c>
      <c r="F534" s="5"/>
      <c r="G534" s="10"/>
      <c r="H534" s="11" t="str">
        <f aca="false">IFERROR(IF($D534="Manual Review","",IF($G534="","",IF($D534="Direct Expiry",$G534,EDATE($G534,$F534)))),"Check Date")</f>
        <v/>
      </c>
      <c r="I534" s="12" t="str">
        <f aca="true">IF($H534="","",IF(ISNUMBER($H534),$H534-TODAY(),""))</f>
        <v/>
      </c>
      <c r="J534" s="4" t="str">
        <f aca="true">IF($D534="Manual Review","Manual Review",IF($G534="","No Data",IF(NOT(ISNUMBER($H534)),"N/A",IF($H534&lt;TODAY(),"Overdue",IF($H534&lt;=TODAY()+30,"Due within 1 Month",IF($H534&lt;=TODAY()+60,"Due within 2 Months","OK"))))))</f>
        <v>No Data</v>
      </c>
      <c r="K534" s="13"/>
    </row>
    <row r="535" customFormat="false" ht="15" hidden="false" customHeight="false" outlineLevel="0" collapsed="false">
      <c r="A535" s="9" t="str">
        <f aca="false">Vessels!B9</f>
        <v>Vessel 05</v>
      </c>
      <c r="B535" s="9" t="s">
        <v>117</v>
      </c>
      <c r="C535" s="7" t="s">
        <v>125</v>
      </c>
      <c r="D535" s="9" t="s">
        <v>59</v>
      </c>
      <c r="E535" s="9" t="s">
        <v>58</v>
      </c>
      <c r="F535" s="5"/>
      <c r="G535" s="10"/>
      <c r="H535" s="11" t="str">
        <f aca="false">IFERROR(IF($D535="Manual Review","",IF($G535="","",IF($D535="Direct Expiry",$G535,EDATE($G535,$F535)))),"Check Date")</f>
        <v/>
      </c>
      <c r="I535" s="12" t="str">
        <f aca="true">IF($H535="","",IF(ISNUMBER($H535),$H535-TODAY(),""))</f>
        <v/>
      </c>
      <c r="J535" s="4" t="str">
        <f aca="true">IF($D535="Manual Review","Manual Review",IF($G535="","No Data",IF(NOT(ISNUMBER($H535)),"N/A",IF($H535&lt;TODAY(),"Overdue",IF($H535&lt;=TODAY()+30,"Due within 1 Month",IF($H535&lt;=TODAY()+60,"Due within 2 Months","OK"))))))</f>
        <v>No Data</v>
      </c>
      <c r="K535" s="13"/>
    </row>
    <row r="536" customFormat="false" ht="15" hidden="false" customHeight="false" outlineLevel="0" collapsed="false">
      <c r="A536" s="9" t="str">
        <f aca="false">Vessels!B9</f>
        <v>Vessel 05</v>
      </c>
      <c r="B536" s="9" t="s">
        <v>117</v>
      </c>
      <c r="C536" s="7" t="s">
        <v>126</v>
      </c>
      <c r="D536" s="9" t="s">
        <v>45</v>
      </c>
      <c r="E536" s="9" t="s">
        <v>44</v>
      </c>
      <c r="F536" s="5" t="n">
        <v>12</v>
      </c>
      <c r="G536" s="10"/>
      <c r="H536" s="11" t="str">
        <f aca="false">IFERROR(IF($D536="Manual Review","",IF($G536="","",IF($D536="Direct Expiry",$G536,EDATE($G536,$F536)))),"Check Date")</f>
        <v/>
      </c>
      <c r="I536" s="12" t="str">
        <f aca="true">IF($H536="","",IF(ISNUMBER($H536),$H536-TODAY(),""))</f>
        <v/>
      </c>
      <c r="J536" s="4" t="str">
        <f aca="true">IF($D536="Manual Review","Manual Review",IF($G536="","No Data",IF(NOT(ISNUMBER($H536)),"N/A",IF($H536&lt;TODAY(),"Overdue",IF($H536&lt;=TODAY()+30,"Due within 1 Month",IF($H536&lt;=TODAY()+60,"Due within 2 Months","OK"))))))</f>
        <v>No Data</v>
      </c>
      <c r="K536" s="13"/>
    </row>
    <row r="537" customFormat="false" ht="15" hidden="false" customHeight="false" outlineLevel="0" collapsed="false">
      <c r="A537" s="9" t="str">
        <f aca="false">Vessels!B9</f>
        <v>Vessel 05</v>
      </c>
      <c r="B537" s="9" t="s">
        <v>117</v>
      </c>
      <c r="C537" s="7" t="s">
        <v>127</v>
      </c>
      <c r="D537" s="9" t="s">
        <v>59</v>
      </c>
      <c r="E537" s="9" t="s">
        <v>58</v>
      </c>
      <c r="F537" s="5"/>
      <c r="G537" s="10"/>
      <c r="H537" s="11" t="str">
        <f aca="false">IFERROR(IF($D537="Manual Review","",IF($G537="","",IF($D537="Direct Expiry",$G537,EDATE($G537,$F537)))),"Check Date")</f>
        <v/>
      </c>
      <c r="I537" s="12" t="str">
        <f aca="true">IF($H537="","",IF(ISNUMBER($H537),$H537-TODAY(),""))</f>
        <v/>
      </c>
      <c r="J537" s="4" t="str">
        <f aca="true">IF($D537="Manual Review","Manual Review",IF($G537="","No Data",IF(NOT(ISNUMBER($H537)),"N/A",IF($H537&lt;TODAY(),"Overdue",IF($H537&lt;=TODAY()+30,"Due within 1 Month",IF($H537&lt;=TODAY()+60,"Due within 2 Months","OK"))))))</f>
        <v>No Data</v>
      </c>
      <c r="K537" s="13"/>
    </row>
    <row r="538" customFormat="false" ht="15" hidden="false" customHeight="false" outlineLevel="0" collapsed="false">
      <c r="A538" s="9" t="str">
        <f aca="false">Vessels!B9</f>
        <v>Vessel 05</v>
      </c>
      <c r="B538" s="9" t="s">
        <v>117</v>
      </c>
      <c r="C538" s="7" t="s">
        <v>128</v>
      </c>
      <c r="D538" s="9" t="s">
        <v>59</v>
      </c>
      <c r="E538" s="9" t="s">
        <v>58</v>
      </c>
      <c r="F538" s="5"/>
      <c r="G538" s="10"/>
      <c r="H538" s="11" t="str">
        <f aca="false">IFERROR(IF($D538="Manual Review","",IF($G538="","",IF($D538="Direct Expiry",$G538,EDATE($G538,$F538)))),"Check Date")</f>
        <v/>
      </c>
      <c r="I538" s="12" t="str">
        <f aca="true">IF($H538="","",IF(ISNUMBER($H538),$H538-TODAY(),""))</f>
        <v/>
      </c>
      <c r="J538" s="4" t="str">
        <f aca="true">IF($D538="Manual Review","Manual Review",IF($G538="","No Data",IF(NOT(ISNUMBER($H538)),"N/A",IF($H538&lt;TODAY(),"Overdue",IF($H538&lt;=TODAY()+30,"Due within 1 Month",IF($H538&lt;=TODAY()+60,"Due within 2 Months","OK"))))))</f>
        <v>No Data</v>
      </c>
      <c r="K538" s="13"/>
    </row>
    <row r="539" customFormat="false" ht="15" hidden="false" customHeight="false" outlineLevel="0" collapsed="false">
      <c r="A539" s="9" t="str">
        <f aca="false">Vessels!B9</f>
        <v>Vessel 05</v>
      </c>
      <c r="B539" s="9" t="s">
        <v>117</v>
      </c>
      <c r="C539" s="7" t="s">
        <v>129</v>
      </c>
      <c r="D539" s="9" t="s">
        <v>59</v>
      </c>
      <c r="E539" s="9" t="s">
        <v>58</v>
      </c>
      <c r="F539" s="5"/>
      <c r="G539" s="10"/>
      <c r="H539" s="11" t="str">
        <f aca="false">IFERROR(IF($D539="Manual Review","",IF($G539="","",IF($D539="Direct Expiry",$G539,EDATE($G539,$F539)))),"Check Date")</f>
        <v/>
      </c>
      <c r="I539" s="12" t="str">
        <f aca="true">IF($H539="","",IF(ISNUMBER($H539),$H539-TODAY(),""))</f>
        <v/>
      </c>
      <c r="J539" s="4" t="str">
        <f aca="true">IF($D539="Manual Review","Manual Review",IF($G539="","No Data",IF(NOT(ISNUMBER($H539)),"N/A",IF($H539&lt;TODAY(),"Overdue",IF($H539&lt;=TODAY()+30,"Due within 1 Month",IF($H539&lt;=TODAY()+60,"Due within 2 Months","OK"))))))</f>
        <v>No Data</v>
      </c>
      <c r="K539" s="13"/>
    </row>
    <row r="540" customFormat="false" ht="15" hidden="false" customHeight="false" outlineLevel="0" collapsed="false">
      <c r="A540" s="9" t="str">
        <f aca="false">Vessels!B9</f>
        <v>Vessel 05</v>
      </c>
      <c r="B540" s="9" t="s">
        <v>117</v>
      </c>
      <c r="C540" s="7" t="s">
        <v>130</v>
      </c>
      <c r="D540" s="9" t="s">
        <v>45</v>
      </c>
      <c r="E540" s="9" t="s">
        <v>44</v>
      </c>
      <c r="F540" s="5" t="n">
        <v>12</v>
      </c>
      <c r="G540" s="10"/>
      <c r="H540" s="11" t="str">
        <f aca="false">IFERROR(IF($D540="Manual Review","",IF($G540="","",IF($D540="Direct Expiry",$G540,EDATE($G540,$F540)))),"Check Date")</f>
        <v/>
      </c>
      <c r="I540" s="12" t="str">
        <f aca="true">IF($H540="","",IF(ISNUMBER($H540),$H540-TODAY(),""))</f>
        <v/>
      </c>
      <c r="J540" s="4" t="str">
        <f aca="true">IF($D540="Manual Review","Manual Review",IF($G540="","No Data",IF(NOT(ISNUMBER($H540)),"N/A",IF($H540&lt;TODAY(),"Overdue",IF($H540&lt;=TODAY()+30,"Due within 1 Month",IF($H540&lt;=TODAY()+60,"Due within 2 Months","OK"))))))</f>
        <v>No Data</v>
      </c>
      <c r="K540" s="13"/>
    </row>
    <row r="541" customFormat="false" ht="15" hidden="false" customHeight="false" outlineLevel="0" collapsed="false">
      <c r="A541" s="9" t="str">
        <f aca="false">Vessels!B9</f>
        <v>Vessel 05</v>
      </c>
      <c r="B541" s="9" t="s">
        <v>117</v>
      </c>
      <c r="C541" s="7" t="s">
        <v>131</v>
      </c>
      <c r="D541" s="9" t="s">
        <v>45</v>
      </c>
      <c r="E541" s="9" t="s">
        <v>44</v>
      </c>
      <c r="F541" s="5" t="n">
        <v>12</v>
      </c>
      <c r="G541" s="10"/>
      <c r="H541" s="11" t="str">
        <f aca="false">IFERROR(IF($D541="Manual Review","",IF($G541="","",IF($D541="Direct Expiry",$G541,EDATE($G541,$F541)))),"Check Date")</f>
        <v/>
      </c>
      <c r="I541" s="12" t="str">
        <f aca="true">IF($H541="","",IF(ISNUMBER($H541),$H541-TODAY(),""))</f>
        <v/>
      </c>
      <c r="J541" s="4" t="str">
        <f aca="true">IF($D541="Manual Review","Manual Review",IF($G541="","No Data",IF(NOT(ISNUMBER($H541)),"N/A",IF($H541&lt;TODAY(),"Overdue",IF($H541&lt;=TODAY()+30,"Due within 1 Month",IF($H541&lt;=TODAY()+60,"Due within 2 Months","OK"))))))</f>
        <v>No Data</v>
      </c>
      <c r="K541" s="13"/>
    </row>
    <row r="542" customFormat="false" ht="15" hidden="false" customHeight="false" outlineLevel="0" collapsed="false">
      <c r="A542" s="9" t="str">
        <f aca="false">Vessels!B9</f>
        <v>Vessel 05</v>
      </c>
      <c r="B542" s="9" t="s">
        <v>117</v>
      </c>
      <c r="C542" s="7" t="s">
        <v>132</v>
      </c>
      <c r="D542" s="9" t="s">
        <v>45</v>
      </c>
      <c r="E542" s="9" t="s">
        <v>44</v>
      </c>
      <c r="F542" s="5" t="n">
        <v>12</v>
      </c>
      <c r="G542" s="10"/>
      <c r="H542" s="11" t="str">
        <f aca="false">IFERROR(IF($D542="Manual Review","",IF($G542="","",IF($D542="Direct Expiry",$G542,EDATE($G542,$F542)))),"Check Date")</f>
        <v/>
      </c>
      <c r="I542" s="12" t="str">
        <f aca="true">IF($H542="","",IF(ISNUMBER($H542),$H542-TODAY(),""))</f>
        <v/>
      </c>
      <c r="J542" s="4" t="str">
        <f aca="true">IF($D542="Manual Review","Manual Review",IF($G542="","No Data",IF(NOT(ISNUMBER($H542)),"N/A",IF($H542&lt;TODAY(),"Overdue",IF($H542&lt;=TODAY()+30,"Due within 1 Month",IF($H542&lt;=TODAY()+60,"Due within 2 Months","OK"))))))</f>
        <v>No Data</v>
      </c>
      <c r="K542" s="13"/>
    </row>
    <row r="543" customFormat="false" ht="15" hidden="false" customHeight="false" outlineLevel="0" collapsed="false">
      <c r="A543" s="9" t="str">
        <f aca="false">Vessels!B9</f>
        <v>Vessel 05</v>
      </c>
      <c r="B543" s="9" t="s">
        <v>117</v>
      </c>
      <c r="C543" s="7" t="s">
        <v>133</v>
      </c>
      <c r="D543" s="9" t="s">
        <v>45</v>
      </c>
      <c r="E543" s="9" t="s">
        <v>44</v>
      </c>
      <c r="F543" s="5" t="n">
        <v>12</v>
      </c>
      <c r="G543" s="10"/>
      <c r="H543" s="11" t="str">
        <f aca="false">IFERROR(IF($D543="Manual Review","",IF($G543="","",IF($D543="Direct Expiry",$G543,EDATE($G543,$F543)))),"Check Date")</f>
        <v/>
      </c>
      <c r="I543" s="12" t="str">
        <f aca="true">IF($H543="","",IF(ISNUMBER($H543),$H543-TODAY(),""))</f>
        <v/>
      </c>
      <c r="J543" s="4" t="str">
        <f aca="true">IF($D543="Manual Review","Manual Review",IF($G543="","No Data",IF(NOT(ISNUMBER($H543)),"N/A",IF($H543&lt;TODAY(),"Overdue",IF($H543&lt;=TODAY()+30,"Due within 1 Month",IF($H543&lt;=TODAY()+60,"Due within 2 Months","OK"))))))</f>
        <v>No Data</v>
      </c>
      <c r="K543" s="13"/>
    </row>
    <row r="544" customFormat="false" ht="15" hidden="false" customHeight="false" outlineLevel="0" collapsed="false">
      <c r="A544" s="9" t="str">
        <f aca="false">Vessels!B9</f>
        <v>Vessel 05</v>
      </c>
      <c r="B544" s="9" t="s">
        <v>117</v>
      </c>
      <c r="C544" s="7" t="s">
        <v>134</v>
      </c>
      <c r="D544" s="9" t="s">
        <v>45</v>
      </c>
      <c r="E544" s="9" t="s">
        <v>44</v>
      </c>
      <c r="F544" s="5" t="n">
        <v>12</v>
      </c>
      <c r="G544" s="10"/>
      <c r="H544" s="11" t="str">
        <f aca="false">IFERROR(IF($D544="Manual Review","",IF($G544="","",IF($D544="Direct Expiry",$G544,EDATE($G544,$F544)))),"Check Date")</f>
        <v/>
      </c>
      <c r="I544" s="12" t="str">
        <f aca="true">IF($H544="","",IF(ISNUMBER($H544),$H544-TODAY(),""))</f>
        <v/>
      </c>
      <c r="J544" s="4" t="str">
        <f aca="true">IF($D544="Manual Review","Manual Review",IF($G544="","No Data",IF(NOT(ISNUMBER($H544)),"N/A",IF($H544&lt;TODAY(),"Overdue",IF($H544&lt;=TODAY()+30,"Due within 1 Month",IF($H544&lt;=TODAY()+60,"Due within 2 Months","OK"))))))</f>
        <v>No Data</v>
      </c>
      <c r="K544" s="13"/>
    </row>
    <row r="545" customFormat="false" ht="15" hidden="false" customHeight="false" outlineLevel="0" collapsed="false">
      <c r="A545" s="9" t="str">
        <f aca="false">Vessels!B9</f>
        <v>Vessel 05</v>
      </c>
      <c r="B545" s="9" t="s">
        <v>117</v>
      </c>
      <c r="C545" s="7" t="s">
        <v>135</v>
      </c>
      <c r="D545" s="9" t="s">
        <v>45</v>
      </c>
      <c r="E545" s="9" t="s">
        <v>44</v>
      </c>
      <c r="F545" s="5" t="n">
        <v>12</v>
      </c>
      <c r="G545" s="10"/>
      <c r="H545" s="11" t="str">
        <f aca="false">IFERROR(IF($D545="Manual Review","",IF($G545="","",IF($D545="Direct Expiry",$G545,EDATE($G545,$F545)))),"Check Date")</f>
        <v/>
      </c>
      <c r="I545" s="12" t="str">
        <f aca="true">IF($H545="","",IF(ISNUMBER($H545),$H545-TODAY(),""))</f>
        <v/>
      </c>
      <c r="J545" s="4" t="str">
        <f aca="true">IF($D545="Manual Review","Manual Review",IF($G545="","No Data",IF(NOT(ISNUMBER($H545)),"N/A",IF($H545&lt;TODAY(),"Overdue",IF($H545&lt;=TODAY()+30,"Due within 1 Month",IF($H545&lt;=TODAY()+60,"Due within 2 Months","OK"))))))</f>
        <v>No Data</v>
      </c>
      <c r="K545" s="13"/>
    </row>
    <row r="546" customFormat="false" ht="15" hidden="false" customHeight="false" outlineLevel="0" collapsed="false">
      <c r="A546" s="9" t="str">
        <f aca="false">Vessels!B9</f>
        <v>Vessel 05</v>
      </c>
      <c r="B546" s="9" t="s">
        <v>136</v>
      </c>
      <c r="C546" s="7" t="s">
        <v>137</v>
      </c>
      <c r="D546" s="9" t="s">
        <v>45</v>
      </c>
      <c r="E546" s="9" t="s">
        <v>44</v>
      </c>
      <c r="F546" s="5" t="n">
        <v>12</v>
      </c>
      <c r="G546" s="10"/>
      <c r="H546" s="11" t="str">
        <f aca="false">IFERROR(IF($D546="Manual Review","",IF($G546="","",IF($D546="Direct Expiry",$G546,EDATE($G546,$F546)))),"Check Date")</f>
        <v/>
      </c>
      <c r="I546" s="12" t="str">
        <f aca="true">IF($H546="","",IF(ISNUMBER($H546),$H546-TODAY(),""))</f>
        <v/>
      </c>
      <c r="J546" s="4" t="str">
        <f aca="true">IF($D546="Manual Review","Manual Review",IF($G546="","No Data",IF(NOT(ISNUMBER($H546)),"N/A",IF($H546&lt;TODAY(),"Overdue",IF($H546&lt;=TODAY()+30,"Due within 1 Month",IF($H546&lt;=TODAY()+60,"Due within 2 Months","OK"))))))</f>
        <v>No Data</v>
      </c>
      <c r="K546" s="13"/>
    </row>
    <row r="547" customFormat="false" ht="15" hidden="false" customHeight="false" outlineLevel="0" collapsed="false">
      <c r="A547" s="9" t="str">
        <f aca="false">Vessels!B9</f>
        <v>Vessel 05</v>
      </c>
      <c r="B547" s="9" t="s">
        <v>136</v>
      </c>
      <c r="C547" s="7" t="s">
        <v>138</v>
      </c>
      <c r="D547" s="9" t="s">
        <v>45</v>
      </c>
      <c r="E547" s="9" t="s">
        <v>44</v>
      </c>
      <c r="F547" s="5" t="n">
        <v>12</v>
      </c>
      <c r="G547" s="10"/>
      <c r="H547" s="11" t="str">
        <f aca="false">IFERROR(IF($D547="Manual Review","",IF($G547="","",IF($D547="Direct Expiry",$G547,EDATE($G547,$F547)))),"Check Date")</f>
        <v/>
      </c>
      <c r="I547" s="12" t="str">
        <f aca="true">IF($H547="","",IF(ISNUMBER($H547),$H547-TODAY(),""))</f>
        <v/>
      </c>
      <c r="J547" s="4" t="str">
        <f aca="true">IF($D547="Manual Review","Manual Review",IF($G547="","No Data",IF(NOT(ISNUMBER($H547)),"N/A",IF($H547&lt;TODAY(),"Overdue",IF($H547&lt;=TODAY()+30,"Due within 1 Month",IF($H547&lt;=TODAY()+60,"Due within 2 Months","OK"))))))</f>
        <v>No Data</v>
      </c>
      <c r="K547" s="13"/>
    </row>
    <row r="548" customFormat="false" ht="15" hidden="false" customHeight="false" outlineLevel="0" collapsed="false">
      <c r="A548" s="9" t="str">
        <f aca="false">Vessels!B9</f>
        <v>Vessel 05</v>
      </c>
      <c r="B548" s="9" t="s">
        <v>136</v>
      </c>
      <c r="C548" s="7" t="s">
        <v>139</v>
      </c>
      <c r="D548" s="9" t="s">
        <v>45</v>
      </c>
      <c r="E548" s="9" t="s">
        <v>140</v>
      </c>
      <c r="F548" s="5" t="n">
        <v>12</v>
      </c>
      <c r="G548" s="10"/>
      <c r="H548" s="11" t="str">
        <f aca="false">IFERROR(IF($D548="Manual Review","",IF($G548="","",IF($D548="Direct Expiry",$G548,EDATE($G548,$F548)))),"Check Date")</f>
        <v/>
      </c>
      <c r="I548" s="12" t="str">
        <f aca="true">IF($H548="","",IF(ISNUMBER($H548),$H548-TODAY(),""))</f>
        <v/>
      </c>
      <c r="J548" s="4" t="str">
        <f aca="true">IF($D548="Manual Review","Manual Review",IF($G548="","No Data",IF(NOT(ISNUMBER($H548)),"N/A",IF($H548&lt;TODAY(),"Overdue",IF($H548&lt;=TODAY()+30,"Due within 1 Month",IF($H548&lt;=TODAY()+60,"Due within 2 Months","OK"))))))</f>
        <v>No Data</v>
      </c>
      <c r="K548" s="13"/>
    </row>
    <row r="549" customFormat="false" ht="15" hidden="false" customHeight="false" outlineLevel="0" collapsed="false">
      <c r="A549" s="9" t="str">
        <f aca="false">Vessels!B9</f>
        <v>Vessel 05</v>
      </c>
      <c r="B549" s="9" t="s">
        <v>136</v>
      </c>
      <c r="C549" s="7" t="s">
        <v>141</v>
      </c>
      <c r="D549" s="9" t="s">
        <v>45</v>
      </c>
      <c r="E549" s="9" t="s">
        <v>44</v>
      </c>
      <c r="F549" s="5" t="n">
        <v>12</v>
      </c>
      <c r="G549" s="10"/>
      <c r="H549" s="11" t="str">
        <f aca="false">IFERROR(IF($D549="Manual Review","",IF($G549="","",IF($D549="Direct Expiry",$G549,EDATE($G549,$F549)))),"Check Date")</f>
        <v/>
      </c>
      <c r="I549" s="12" t="str">
        <f aca="true">IF($H549="","",IF(ISNUMBER($H549),$H549-TODAY(),""))</f>
        <v/>
      </c>
      <c r="J549" s="4" t="str">
        <f aca="true">IF($D549="Manual Review","Manual Review",IF($G549="","No Data",IF(NOT(ISNUMBER($H549)),"N/A",IF($H549&lt;TODAY(),"Overdue",IF($H549&lt;=TODAY()+30,"Due within 1 Month",IF($H549&lt;=TODAY()+60,"Due within 2 Months","OK"))))))</f>
        <v>No Data</v>
      </c>
      <c r="K549" s="13"/>
    </row>
    <row r="550" customFormat="false" ht="15" hidden="false" customHeight="false" outlineLevel="0" collapsed="false">
      <c r="A550" s="9" t="str">
        <f aca="false">Vessels!B9</f>
        <v>Vessel 05</v>
      </c>
      <c r="B550" s="9" t="s">
        <v>136</v>
      </c>
      <c r="C550" s="7" t="s">
        <v>142</v>
      </c>
      <c r="D550" s="9" t="s">
        <v>115</v>
      </c>
      <c r="E550" s="9" t="s">
        <v>143</v>
      </c>
      <c r="F550" s="5"/>
      <c r="G550" s="10"/>
      <c r="H550" s="11" t="str">
        <f aca="false">IFERROR(IF($D550="Manual Review","",IF($G550="","",IF($D550="Direct Expiry",$G550,EDATE($G550,$F550)))),"Check Date")</f>
        <v/>
      </c>
      <c r="I550" s="12" t="str">
        <f aca="true">IF($H550="","",IF(ISNUMBER($H550),$H550-TODAY(),""))</f>
        <v/>
      </c>
      <c r="J550" s="4" t="str">
        <f aca="true">IF($D550="Manual Review","Manual Review",IF($G550="","No Data",IF(NOT(ISNUMBER($H550)),"N/A",IF($H550&lt;TODAY(),"Overdue",IF($H550&lt;=TODAY()+30,"Due within 1 Month",IF($H550&lt;=TODAY()+60,"Due within 2 Months","OK"))))))</f>
        <v>Manual Review</v>
      </c>
      <c r="K550" s="13"/>
    </row>
    <row r="551" customFormat="false" ht="15" hidden="false" customHeight="false" outlineLevel="0" collapsed="false">
      <c r="A551" s="9" t="str">
        <f aca="false">Vessels!B9</f>
        <v>Vessel 05</v>
      </c>
      <c r="B551" s="9" t="s">
        <v>136</v>
      </c>
      <c r="C551" s="7" t="s">
        <v>144</v>
      </c>
      <c r="D551" s="9" t="s">
        <v>45</v>
      </c>
      <c r="E551" s="9" t="s">
        <v>44</v>
      </c>
      <c r="F551" s="5" t="n">
        <v>12</v>
      </c>
      <c r="G551" s="10"/>
      <c r="H551" s="11" t="str">
        <f aca="false">IFERROR(IF($D551="Manual Review","",IF($G551="","",IF($D551="Direct Expiry",$G551,EDATE($G551,$F551)))),"Check Date")</f>
        <v/>
      </c>
      <c r="I551" s="12" t="str">
        <f aca="true">IF($H551="","",IF(ISNUMBER($H551),$H551-TODAY(),""))</f>
        <v/>
      </c>
      <c r="J551" s="4" t="str">
        <f aca="true">IF($D551="Manual Review","Manual Review",IF($G551="","No Data",IF(NOT(ISNUMBER($H551)),"N/A",IF($H551&lt;TODAY(),"Overdue",IF($H551&lt;=TODAY()+30,"Due within 1 Month",IF($H551&lt;=TODAY()+60,"Due within 2 Months","OK"))))))</f>
        <v>No Data</v>
      </c>
      <c r="K551" s="13"/>
    </row>
    <row r="552" customFormat="false" ht="15" hidden="false" customHeight="false" outlineLevel="0" collapsed="false">
      <c r="A552" s="9" t="str">
        <f aca="false">Vessels!B9</f>
        <v>Vessel 05</v>
      </c>
      <c r="B552" s="9" t="s">
        <v>136</v>
      </c>
      <c r="C552" s="7" t="s">
        <v>145</v>
      </c>
      <c r="D552" s="9" t="s">
        <v>45</v>
      </c>
      <c r="E552" s="9" t="s">
        <v>44</v>
      </c>
      <c r="F552" s="5" t="n">
        <v>12</v>
      </c>
      <c r="G552" s="10"/>
      <c r="H552" s="11" t="str">
        <f aca="false">IFERROR(IF($D552="Manual Review","",IF($G552="","",IF($D552="Direct Expiry",$G552,EDATE($G552,$F552)))),"Check Date")</f>
        <v/>
      </c>
      <c r="I552" s="12" t="str">
        <f aca="true">IF($H552="","",IF(ISNUMBER($H552),$H552-TODAY(),""))</f>
        <v/>
      </c>
      <c r="J552" s="4" t="str">
        <f aca="true">IF($D552="Manual Review","Manual Review",IF($G552="","No Data",IF(NOT(ISNUMBER($H552)),"N/A",IF($H552&lt;TODAY(),"Overdue",IF($H552&lt;=TODAY()+30,"Due within 1 Month",IF($H552&lt;=TODAY()+60,"Due within 2 Months","OK"))))))</f>
        <v>No Data</v>
      </c>
      <c r="K552" s="13"/>
    </row>
    <row r="553" customFormat="false" ht="15" hidden="false" customHeight="false" outlineLevel="0" collapsed="false">
      <c r="A553" s="9" t="str">
        <f aca="false">Vessels!B9</f>
        <v>Vessel 05</v>
      </c>
      <c r="B553" s="9" t="s">
        <v>136</v>
      </c>
      <c r="C553" s="7" t="s">
        <v>146</v>
      </c>
      <c r="D553" s="9" t="s">
        <v>45</v>
      </c>
      <c r="E553" s="9" t="s">
        <v>44</v>
      </c>
      <c r="F553" s="5" t="n">
        <v>12</v>
      </c>
      <c r="G553" s="10"/>
      <c r="H553" s="11" t="str">
        <f aca="false">IFERROR(IF($D553="Manual Review","",IF($G553="","",IF($D553="Direct Expiry",$G553,EDATE($G553,$F553)))),"Check Date")</f>
        <v/>
      </c>
      <c r="I553" s="12" t="str">
        <f aca="true">IF($H553="","",IF(ISNUMBER($H553),$H553-TODAY(),""))</f>
        <v/>
      </c>
      <c r="J553" s="4" t="str">
        <f aca="true">IF($D553="Manual Review","Manual Review",IF($G553="","No Data",IF(NOT(ISNUMBER($H553)),"N/A",IF($H553&lt;TODAY(),"Overdue",IF($H553&lt;=TODAY()+30,"Due within 1 Month",IF($H553&lt;=TODAY()+60,"Due within 2 Months","OK"))))))</f>
        <v>No Data</v>
      </c>
      <c r="K553" s="13"/>
    </row>
    <row r="554" customFormat="false" ht="15" hidden="false" customHeight="false" outlineLevel="0" collapsed="false">
      <c r="A554" s="9" t="str">
        <f aca="false">Vessels!B9</f>
        <v>Vessel 05</v>
      </c>
      <c r="B554" s="9" t="s">
        <v>136</v>
      </c>
      <c r="C554" s="7" t="s">
        <v>147</v>
      </c>
      <c r="D554" s="9" t="s">
        <v>45</v>
      </c>
      <c r="E554" s="9" t="s">
        <v>44</v>
      </c>
      <c r="F554" s="5" t="n">
        <v>12</v>
      </c>
      <c r="G554" s="10"/>
      <c r="H554" s="11" t="str">
        <f aca="false">IFERROR(IF($D554="Manual Review","",IF($G554="","",IF($D554="Direct Expiry",$G554,EDATE($G554,$F554)))),"Check Date")</f>
        <v/>
      </c>
      <c r="I554" s="12" t="str">
        <f aca="true">IF($H554="","",IF(ISNUMBER($H554),$H554-TODAY(),""))</f>
        <v/>
      </c>
      <c r="J554" s="4" t="str">
        <f aca="true">IF($D554="Manual Review","Manual Review",IF($G554="","No Data",IF(NOT(ISNUMBER($H554)),"N/A",IF($H554&lt;TODAY(),"Overdue",IF($H554&lt;=TODAY()+30,"Due within 1 Month",IF($H554&lt;=TODAY()+60,"Due within 2 Months","OK"))))))</f>
        <v>No Data</v>
      </c>
      <c r="K554" s="13"/>
    </row>
    <row r="555" customFormat="false" ht="15" hidden="false" customHeight="false" outlineLevel="0" collapsed="false">
      <c r="A555" s="9" t="str">
        <f aca="false">Vessels!B9</f>
        <v>Vessel 05</v>
      </c>
      <c r="B555" s="9" t="s">
        <v>136</v>
      </c>
      <c r="C555" s="7" t="s">
        <v>148</v>
      </c>
      <c r="D555" s="9" t="s">
        <v>45</v>
      </c>
      <c r="E555" s="9" t="s">
        <v>44</v>
      </c>
      <c r="F555" s="5" t="n">
        <v>12</v>
      </c>
      <c r="G555" s="10"/>
      <c r="H555" s="11" t="str">
        <f aca="false">IFERROR(IF($D555="Manual Review","",IF($G555="","",IF($D555="Direct Expiry",$G555,EDATE($G555,$F555)))),"Check Date")</f>
        <v/>
      </c>
      <c r="I555" s="12" t="str">
        <f aca="true">IF($H555="","",IF(ISNUMBER($H555),$H555-TODAY(),""))</f>
        <v/>
      </c>
      <c r="J555" s="4" t="str">
        <f aca="true">IF($D555="Manual Review","Manual Review",IF($G555="","No Data",IF(NOT(ISNUMBER($H555)),"N/A",IF($H555&lt;TODAY(),"Overdue",IF($H555&lt;=TODAY()+30,"Due within 1 Month",IF($H555&lt;=TODAY()+60,"Due within 2 Months","OK"))))))</f>
        <v>No Data</v>
      </c>
      <c r="K555" s="13"/>
    </row>
    <row r="556" customFormat="false" ht="15" hidden="false" customHeight="false" outlineLevel="0" collapsed="false">
      <c r="A556" s="9" t="str">
        <f aca="false">Vessels!B9</f>
        <v>Vessel 05</v>
      </c>
      <c r="B556" s="9" t="s">
        <v>136</v>
      </c>
      <c r="C556" s="7" t="s">
        <v>149</v>
      </c>
      <c r="D556" s="9" t="s">
        <v>45</v>
      </c>
      <c r="E556" s="9" t="s">
        <v>44</v>
      </c>
      <c r="F556" s="5" t="n">
        <v>12</v>
      </c>
      <c r="G556" s="10"/>
      <c r="H556" s="11" t="str">
        <f aca="false">IFERROR(IF($D556="Manual Review","",IF($G556="","",IF($D556="Direct Expiry",$G556,EDATE($G556,$F556)))),"Check Date")</f>
        <v/>
      </c>
      <c r="I556" s="12" t="str">
        <f aca="true">IF($H556="","",IF(ISNUMBER($H556),$H556-TODAY(),""))</f>
        <v/>
      </c>
      <c r="J556" s="4" t="str">
        <f aca="true">IF($D556="Manual Review","Manual Review",IF($G556="","No Data",IF(NOT(ISNUMBER($H556)),"N/A",IF($H556&lt;TODAY(),"Overdue",IF($H556&lt;=TODAY()+30,"Due within 1 Month",IF($H556&lt;=TODAY()+60,"Due within 2 Months","OK"))))))</f>
        <v>No Data</v>
      </c>
      <c r="K556" s="13"/>
    </row>
    <row r="557" customFormat="false" ht="15" hidden="false" customHeight="false" outlineLevel="0" collapsed="false">
      <c r="A557" s="9" t="str">
        <f aca="false">Vessels!B9</f>
        <v>Vessel 05</v>
      </c>
      <c r="B557" s="9" t="s">
        <v>136</v>
      </c>
      <c r="C557" s="7" t="s">
        <v>150</v>
      </c>
      <c r="D557" s="9" t="s">
        <v>45</v>
      </c>
      <c r="E557" s="9" t="s">
        <v>44</v>
      </c>
      <c r="F557" s="5" t="n">
        <v>12</v>
      </c>
      <c r="G557" s="10"/>
      <c r="H557" s="11" t="str">
        <f aca="false">IFERROR(IF($D557="Manual Review","",IF($G557="","",IF($D557="Direct Expiry",$G557,EDATE($G557,$F557)))),"Check Date")</f>
        <v/>
      </c>
      <c r="I557" s="12" t="str">
        <f aca="true">IF($H557="","",IF(ISNUMBER($H557),$H557-TODAY(),""))</f>
        <v/>
      </c>
      <c r="J557" s="4" t="str">
        <f aca="true">IF($D557="Manual Review","Manual Review",IF($G557="","No Data",IF(NOT(ISNUMBER($H557)),"N/A",IF($H557&lt;TODAY(),"Overdue",IF($H557&lt;=TODAY()+30,"Due within 1 Month",IF($H557&lt;=TODAY()+60,"Due within 2 Months","OK"))))))</f>
        <v>No Data</v>
      </c>
      <c r="K557" s="13"/>
    </row>
    <row r="558" customFormat="false" ht="15" hidden="false" customHeight="false" outlineLevel="0" collapsed="false">
      <c r="A558" s="9" t="str">
        <f aca="false">Vessels!B9</f>
        <v>Vessel 05</v>
      </c>
      <c r="B558" s="9" t="s">
        <v>136</v>
      </c>
      <c r="C558" s="7" t="s">
        <v>151</v>
      </c>
      <c r="D558" s="9" t="s">
        <v>45</v>
      </c>
      <c r="E558" s="9" t="s">
        <v>44</v>
      </c>
      <c r="F558" s="5" t="n">
        <v>12</v>
      </c>
      <c r="G558" s="10"/>
      <c r="H558" s="11" t="str">
        <f aca="false">IFERROR(IF($D558="Manual Review","",IF($G558="","",IF($D558="Direct Expiry",$G558,EDATE($G558,$F558)))),"Check Date")</f>
        <v/>
      </c>
      <c r="I558" s="12" t="str">
        <f aca="true">IF($H558="","",IF(ISNUMBER($H558),$H558-TODAY(),""))</f>
        <v/>
      </c>
      <c r="J558" s="4" t="str">
        <f aca="true">IF($D558="Manual Review","Manual Review",IF($G558="","No Data",IF(NOT(ISNUMBER($H558)),"N/A",IF($H558&lt;TODAY(),"Overdue",IF($H558&lt;=TODAY()+30,"Due within 1 Month",IF($H558&lt;=TODAY()+60,"Due within 2 Months","OK"))))))</f>
        <v>No Data</v>
      </c>
      <c r="K558" s="13"/>
    </row>
    <row r="559" customFormat="false" ht="15" hidden="false" customHeight="false" outlineLevel="0" collapsed="false">
      <c r="A559" s="9" t="str">
        <f aca="false">Vessels!B9</f>
        <v>Vessel 05</v>
      </c>
      <c r="B559" s="9" t="s">
        <v>136</v>
      </c>
      <c r="C559" s="7" t="s">
        <v>152</v>
      </c>
      <c r="D559" s="9" t="s">
        <v>45</v>
      </c>
      <c r="E559" s="9" t="s">
        <v>44</v>
      </c>
      <c r="F559" s="5" t="n">
        <v>12</v>
      </c>
      <c r="G559" s="10"/>
      <c r="H559" s="11" t="str">
        <f aca="false">IFERROR(IF($D559="Manual Review","",IF($G559="","",IF($D559="Direct Expiry",$G559,EDATE($G559,$F559)))),"Check Date")</f>
        <v/>
      </c>
      <c r="I559" s="12" t="str">
        <f aca="true">IF($H559="","",IF(ISNUMBER($H559),$H559-TODAY(),""))</f>
        <v/>
      </c>
      <c r="J559" s="4" t="str">
        <f aca="true">IF($D559="Manual Review","Manual Review",IF($G559="","No Data",IF(NOT(ISNUMBER($H559)),"N/A",IF($H559&lt;TODAY(),"Overdue",IF($H559&lt;=TODAY()+30,"Due within 1 Month",IF($H559&lt;=TODAY()+60,"Due within 2 Months","OK"))))))</f>
        <v>No Data</v>
      </c>
      <c r="K559" s="13"/>
    </row>
    <row r="560" customFormat="false" ht="15" hidden="false" customHeight="false" outlineLevel="0" collapsed="false">
      <c r="A560" s="9" t="str">
        <f aca="false">Vessels!B9</f>
        <v>Vessel 05</v>
      </c>
      <c r="B560" s="9" t="s">
        <v>136</v>
      </c>
      <c r="C560" s="7" t="s">
        <v>153</v>
      </c>
      <c r="D560" s="9" t="s">
        <v>45</v>
      </c>
      <c r="E560" s="9" t="s">
        <v>44</v>
      </c>
      <c r="F560" s="5" t="n">
        <v>12</v>
      </c>
      <c r="G560" s="10"/>
      <c r="H560" s="11" t="str">
        <f aca="false">IFERROR(IF($D560="Manual Review","",IF($G560="","",IF($D560="Direct Expiry",$G560,EDATE($G560,$F560)))),"Check Date")</f>
        <v/>
      </c>
      <c r="I560" s="12" t="str">
        <f aca="true">IF($H560="","",IF(ISNUMBER($H560),$H560-TODAY(),""))</f>
        <v/>
      </c>
      <c r="J560" s="4" t="str">
        <f aca="true">IF($D560="Manual Review","Manual Review",IF($G560="","No Data",IF(NOT(ISNUMBER($H560)),"N/A",IF($H560&lt;TODAY(),"Overdue",IF($H560&lt;=TODAY()+30,"Due within 1 Month",IF($H560&lt;=TODAY()+60,"Due within 2 Months","OK"))))))</f>
        <v>No Data</v>
      </c>
      <c r="K560" s="13"/>
    </row>
    <row r="561" customFormat="false" ht="15" hidden="false" customHeight="false" outlineLevel="0" collapsed="false">
      <c r="A561" s="9" t="str">
        <f aca="false">Vessels!B9</f>
        <v>Vessel 05</v>
      </c>
      <c r="B561" s="9" t="s">
        <v>136</v>
      </c>
      <c r="C561" s="7" t="s">
        <v>154</v>
      </c>
      <c r="D561" s="9" t="s">
        <v>45</v>
      </c>
      <c r="E561" s="9" t="s">
        <v>44</v>
      </c>
      <c r="F561" s="5" t="n">
        <v>12</v>
      </c>
      <c r="G561" s="10"/>
      <c r="H561" s="11" t="str">
        <f aca="false">IFERROR(IF($D561="Manual Review","",IF($G561="","",IF($D561="Direct Expiry",$G561,EDATE($G561,$F561)))),"Check Date")</f>
        <v/>
      </c>
      <c r="I561" s="12" t="str">
        <f aca="true">IF($H561="","",IF(ISNUMBER($H561),$H561-TODAY(),""))</f>
        <v/>
      </c>
      <c r="J561" s="4" t="str">
        <f aca="true">IF($D561="Manual Review","Manual Review",IF($G561="","No Data",IF(NOT(ISNUMBER($H561)),"N/A",IF($H561&lt;TODAY(),"Overdue",IF($H561&lt;=TODAY()+30,"Due within 1 Month",IF($H561&lt;=TODAY()+60,"Due within 2 Months","OK"))))))</f>
        <v>No Data</v>
      </c>
      <c r="K561" s="13"/>
    </row>
    <row r="562" customFormat="false" ht="15" hidden="false" customHeight="false" outlineLevel="0" collapsed="false">
      <c r="A562" s="9" t="str">
        <f aca="false">Vessels!B9</f>
        <v>Vessel 05</v>
      </c>
      <c r="B562" s="9" t="s">
        <v>136</v>
      </c>
      <c r="C562" s="7" t="s">
        <v>155</v>
      </c>
      <c r="D562" s="9" t="s">
        <v>45</v>
      </c>
      <c r="E562" s="9" t="s">
        <v>44</v>
      </c>
      <c r="F562" s="5" t="n">
        <v>12</v>
      </c>
      <c r="G562" s="10"/>
      <c r="H562" s="11" t="str">
        <f aca="false">IFERROR(IF($D562="Manual Review","",IF($G562="","",IF($D562="Direct Expiry",$G562,EDATE($G562,$F562)))),"Check Date")</f>
        <v/>
      </c>
      <c r="I562" s="12" t="str">
        <f aca="true">IF($H562="","",IF(ISNUMBER($H562),$H562-TODAY(),""))</f>
        <v/>
      </c>
      <c r="J562" s="4" t="str">
        <f aca="true">IF($D562="Manual Review","Manual Review",IF($G562="","No Data",IF(NOT(ISNUMBER($H562)),"N/A",IF($H562&lt;TODAY(),"Overdue",IF($H562&lt;=TODAY()+30,"Due within 1 Month",IF($H562&lt;=TODAY()+60,"Due within 2 Months","OK"))))))</f>
        <v>No Data</v>
      </c>
      <c r="K562" s="13"/>
    </row>
    <row r="563" customFormat="false" ht="15" hidden="false" customHeight="false" outlineLevel="0" collapsed="false">
      <c r="A563" s="9" t="str">
        <f aca="false">Vessels!B9</f>
        <v>Vessel 05</v>
      </c>
      <c r="B563" s="9" t="s">
        <v>136</v>
      </c>
      <c r="C563" s="7" t="s">
        <v>156</v>
      </c>
      <c r="D563" s="9" t="s">
        <v>45</v>
      </c>
      <c r="E563" s="9" t="s">
        <v>44</v>
      </c>
      <c r="F563" s="5" t="n">
        <v>12</v>
      </c>
      <c r="G563" s="10"/>
      <c r="H563" s="11" t="str">
        <f aca="false">IFERROR(IF($D563="Manual Review","",IF($G563="","",IF($D563="Direct Expiry",$G563,EDATE($G563,$F563)))),"Check Date")</f>
        <v/>
      </c>
      <c r="I563" s="12" t="str">
        <f aca="true">IF($H563="","",IF(ISNUMBER($H563),$H563-TODAY(),""))</f>
        <v/>
      </c>
      <c r="J563" s="4" t="str">
        <f aca="true">IF($D563="Manual Review","Manual Review",IF($G563="","No Data",IF(NOT(ISNUMBER($H563)),"N/A",IF($H563&lt;TODAY(),"Overdue",IF($H563&lt;=TODAY()+30,"Due within 1 Month",IF($H563&lt;=TODAY()+60,"Due within 2 Months","OK"))))))</f>
        <v>No Data</v>
      </c>
      <c r="K563" s="13"/>
    </row>
    <row r="564" customFormat="false" ht="15" hidden="false" customHeight="false" outlineLevel="0" collapsed="false">
      <c r="A564" s="9" t="str">
        <f aca="false">Vessels!B9</f>
        <v>Vessel 05</v>
      </c>
      <c r="B564" s="9" t="s">
        <v>136</v>
      </c>
      <c r="C564" s="7" t="s">
        <v>157</v>
      </c>
      <c r="D564" s="9" t="s">
        <v>45</v>
      </c>
      <c r="E564" s="9" t="s">
        <v>44</v>
      </c>
      <c r="F564" s="5" t="n">
        <v>12</v>
      </c>
      <c r="G564" s="10"/>
      <c r="H564" s="11" t="str">
        <f aca="false">IFERROR(IF($D564="Manual Review","",IF($G564="","",IF($D564="Direct Expiry",$G564,EDATE($G564,$F564)))),"Check Date")</f>
        <v/>
      </c>
      <c r="I564" s="12" t="str">
        <f aca="true">IF($H564="","",IF(ISNUMBER($H564),$H564-TODAY(),""))</f>
        <v/>
      </c>
      <c r="J564" s="4" t="str">
        <f aca="true">IF($D564="Manual Review","Manual Review",IF($G564="","No Data",IF(NOT(ISNUMBER($H564)),"N/A",IF($H564&lt;TODAY(),"Overdue",IF($H564&lt;=TODAY()+30,"Due within 1 Month",IF($H564&lt;=TODAY()+60,"Due within 2 Months","OK"))))))</f>
        <v>No Data</v>
      </c>
      <c r="K564" s="13"/>
    </row>
    <row r="565" customFormat="false" ht="15" hidden="false" customHeight="false" outlineLevel="0" collapsed="false">
      <c r="A565" s="9" t="str">
        <f aca="false">Vessels!B10</f>
        <v>Vessel 06</v>
      </c>
      <c r="B565" s="9" t="s">
        <v>42</v>
      </c>
      <c r="C565" s="7" t="s">
        <v>43</v>
      </c>
      <c r="D565" s="9" t="s">
        <v>45</v>
      </c>
      <c r="E565" s="9" t="s">
        <v>44</v>
      </c>
      <c r="F565" s="5" t="n">
        <v>12</v>
      </c>
      <c r="G565" s="10"/>
      <c r="H565" s="11" t="str">
        <f aca="false">IFERROR(IF($D565="Manual Review","",IF($G565="","",IF($D565="Direct Expiry",$G565,EDATE($G565,$F565)))),"Check Date")</f>
        <v/>
      </c>
      <c r="I565" s="12" t="str">
        <f aca="true">IF($H565="","",IF(ISNUMBER($H565),$H565-TODAY(),""))</f>
        <v/>
      </c>
      <c r="J565" s="4" t="str">
        <f aca="true">IF($D565="Manual Review","Manual Review",IF($G565="","No Data",IF(NOT(ISNUMBER($H565)),"N/A",IF($H565&lt;TODAY(),"Overdue",IF($H565&lt;=TODAY()+30,"Due within 1 Month",IF($H565&lt;=TODAY()+60,"Due within 2 Months","OK"))))))</f>
        <v>No Data</v>
      </c>
      <c r="K565" s="13"/>
    </row>
    <row r="566" customFormat="false" ht="15" hidden="false" customHeight="false" outlineLevel="0" collapsed="false">
      <c r="A566" s="9" t="str">
        <f aca="false">Vessels!B10</f>
        <v>Vessel 06</v>
      </c>
      <c r="B566" s="9" t="s">
        <v>42</v>
      </c>
      <c r="C566" s="7" t="s">
        <v>43</v>
      </c>
      <c r="D566" s="9" t="s">
        <v>45</v>
      </c>
      <c r="E566" s="9" t="s">
        <v>46</v>
      </c>
      <c r="F566" s="5" t="n">
        <v>60</v>
      </c>
      <c r="G566" s="10"/>
      <c r="H566" s="11" t="str">
        <f aca="false">IFERROR(IF($D566="Manual Review","",IF($G566="","",IF($D566="Direct Expiry",$G566,EDATE($G566,$F566)))),"Check Date")</f>
        <v/>
      </c>
      <c r="I566" s="12" t="str">
        <f aca="true">IF($H566="","",IF(ISNUMBER($H566),$H566-TODAY(),""))</f>
        <v/>
      </c>
      <c r="J566" s="4" t="str">
        <f aca="true">IF($D566="Manual Review","Manual Review",IF($G566="","No Data",IF(NOT(ISNUMBER($H566)),"N/A",IF($H566&lt;TODAY(),"Overdue",IF($H566&lt;=TODAY()+30,"Due within 1 Month",IF($H566&lt;=TODAY()+60,"Due within 2 Months","OK"))))))</f>
        <v>No Data</v>
      </c>
      <c r="K566" s="13"/>
    </row>
    <row r="567" customFormat="false" ht="15" hidden="false" customHeight="false" outlineLevel="0" collapsed="false">
      <c r="A567" s="9" t="str">
        <f aca="false">Vessels!B10</f>
        <v>Vessel 06</v>
      </c>
      <c r="B567" s="9" t="s">
        <v>42</v>
      </c>
      <c r="C567" s="7" t="s">
        <v>47</v>
      </c>
      <c r="D567" s="9" t="s">
        <v>45</v>
      </c>
      <c r="E567" s="9" t="s">
        <v>44</v>
      </c>
      <c r="F567" s="5" t="n">
        <v>12</v>
      </c>
      <c r="G567" s="10"/>
      <c r="H567" s="11" t="str">
        <f aca="false">IFERROR(IF($D567="Manual Review","",IF($G567="","",IF($D567="Direct Expiry",$G567,EDATE($G567,$F567)))),"Check Date")</f>
        <v/>
      </c>
      <c r="I567" s="12" t="str">
        <f aca="true">IF($H567="","",IF(ISNUMBER($H567),$H567-TODAY(),""))</f>
        <v/>
      </c>
      <c r="J567" s="4" t="str">
        <f aca="true">IF($D567="Manual Review","Manual Review",IF($G567="","No Data",IF(NOT(ISNUMBER($H567)),"N/A",IF($H567&lt;TODAY(),"Overdue",IF($H567&lt;=TODAY()+30,"Due within 1 Month",IF($H567&lt;=TODAY()+60,"Due within 2 Months","OK"))))))</f>
        <v>No Data</v>
      </c>
      <c r="K567" s="13"/>
    </row>
    <row r="568" customFormat="false" ht="15" hidden="false" customHeight="false" outlineLevel="0" collapsed="false">
      <c r="A568" s="9" t="str">
        <f aca="false">Vessels!B10</f>
        <v>Vessel 06</v>
      </c>
      <c r="B568" s="9" t="s">
        <v>42</v>
      </c>
      <c r="C568" s="7" t="s">
        <v>47</v>
      </c>
      <c r="D568" s="9" t="s">
        <v>45</v>
      </c>
      <c r="E568" s="9" t="s">
        <v>46</v>
      </c>
      <c r="F568" s="5" t="n">
        <v>60</v>
      </c>
      <c r="G568" s="10"/>
      <c r="H568" s="11" t="str">
        <f aca="false">IFERROR(IF($D568="Manual Review","",IF($G568="","",IF($D568="Direct Expiry",$G568,EDATE($G568,$F568)))),"Check Date")</f>
        <v/>
      </c>
      <c r="I568" s="12" t="str">
        <f aca="true">IF($H568="","",IF(ISNUMBER($H568),$H568-TODAY(),""))</f>
        <v/>
      </c>
      <c r="J568" s="4" t="str">
        <f aca="true">IF($D568="Manual Review","Manual Review",IF($G568="","No Data",IF(NOT(ISNUMBER($H568)),"N/A",IF($H568&lt;TODAY(),"Overdue",IF($H568&lt;=TODAY()+30,"Due within 1 Month",IF($H568&lt;=TODAY()+60,"Due within 2 Months","OK"))))))</f>
        <v>No Data</v>
      </c>
      <c r="K568" s="13"/>
    </row>
    <row r="569" customFormat="false" ht="15" hidden="false" customHeight="false" outlineLevel="0" collapsed="false">
      <c r="A569" s="9" t="str">
        <f aca="false">Vessels!B10</f>
        <v>Vessel 06</v>
      </c>
      <c r="B569" s="9" t="s">
        <v>42</v>
      </c>
      <c r="C569" s="7" t="s">
        <v>48</v>
      </c>
      <c r="D569" s="9" t="s">
        <v>45</v>
      </c>
      <c r="E569" s="9" t="s">
        <v>44</v>
      </c>
      <c r="F569" s="5" t="n">
        <v>12</v>
      </c>
      <c r="G569" s="10"/>
      <c r="H569" s="11" t="str">
        <f aca="false">IFERROR(IF($D569="Manual Review","",IF($G569="","",IF($D569="Direct Expiry",$G569,EDATE($G569,$F569)))),"Check Date")</f>
        <v/>
      </c>
      <c r="I569" s="12" t="str">
        <f aca="true">IF($H569="","",IF(ISNUMBER($H569),$H569-TODAY(),""))</f>
        <v/>
      </c>
      <c r="J569" s="4" t="str">
        <f aca="true">IF($D569="Manual Review","Manual Review",IF($G569="","No Data",IF(NOT(ISNUMBER($H569)),"N/A",IF($H569&lt;TODAY(),"Overdue",IF($H569&lt;=TODAY()+30,"Due within 1 Month",IF($H569&lt;=TODAY()+60,"Due within 2 Months","OK"))))))</f>
        <v>No Data</v>
      </c>
      <c r="K569" s="13"/>
    </row>
    <row r="570" customFormat="false" ht="15" hidden="false" customHeight="false" outlineLevel="0" collapsed="false">
      <c r="A570" s="9" t="str">
        <f aca="false">Vessels!B10</f>
        <v>Vessel 06</v>
      </c>
      <c r="B570" s="9" t="s">
        <v>42</v>
      </c>
      <c r="C570" s="7" t="s">
        <v>48</v>
      </c>
      <c r="D570" s="9" t="s">
        <v>45</v>
      </c>
      <c r="E570" s="9" t="s">
        <v>49</v>
      </c>
      <c r="F570" s="5" t="n">
        <v>60</v>
      </c>
      <c r="G570" s="10"/>
      <c r="H570" s="11" t="str">
        <f aca="false">IFERROR(IF($D570="Manual Review","",IF($G570="","",IF($D570="Direct Expiry",$G570,EDATE($G570,$F570)))),"Check Date")</f>
        <v/>
      </c>
      <c r="I570" s="12" t="str">
        <f aca="true">IF($H570="","",IF(ISNUMBER($H570),$H570-TODAY(),""))</f>
        <v/>
      </c>
      <c r="J570" s="4" t="str">
        <f aca="true">IF($D570="Manual Review","Manual Review",IF($G570="","No Data",IF(NOT(ISNUMBER($H570)),"N/A",IF($H570&lt;TODAY(),"Overdue",IF($H570&lt;=TODAY()+30,"Due within 1 Month",IF($H570&lt;=TODAY()+60,"Due within 2 Months","OK"))))))</f>
        <v>No Data</v>
      </c>
      <c r="K570" s="13"/>
    </row>
    <row r="571" customFormat="false" ht="15" hidden="false" customHeight="false" outlineLevel="0" collapsed="false">
      <c r="A571" s="9" t="str">
        <f aca="false">Vessels!B10</f>
        <v>Vessel 06</v>
      </c>
      <c r="B571" s="9" t="s">
        <v>42</v>
      </c>
      <c r="C571" s="7" t="s">
        <v>50</v>
      </c>
      <c r="D571" s="9" t="s">
        <v>45</v>
      </c>
      <c r="E571" s="9" t="s">
        <v>44</v>
      </c>
      <c r="F571" s="5" t="n">
        <v>12</v>
      </c>
      <c r="G571" s="10"/>
      <c r="H571" s="11" t="str">
        <f aca="false">IFERROR(IF($D571="Manual Review","",IF($G571="","",IF($D571="Direct Expiry",$G571,EDATE($G571,$F571)))),"Check Date")</f>
        <v/>
      </c>
      <c r="I571" s="12" t="str">
        <f aca="true">IF($H571="","",IF(ISNUMBER($H571),$H571-TODAY(),""))</f>
        <v/>
      </c>
      <c r="J571" s="4" t="str">
        <f aca="true">IF($D571="Manual Review","Manual Review",IF($G571="","No Data",IF(NOT(ISNUMBER($H571)),"N/A",IF($H571&lt;TODAY(),"Overdue",IF($H571&lt;=TODAY()+30,"Due within 1 Month",IF($H571&lt;=TODAY()+60,"Due within 2 Months","OK"))))))</f>
        <v>No Data</v>
      </c>
      <c r="K571" s="13"/>
    </row>
    <row r="572" customFormat="false" ht="15" hidden="false" customHeight="false" outlineLevel="0" collapsed="false">
      <c r="A572" s="9" t="str">
        <f aca="false">Vessels!B10</f>
        <v>Vessel 06</v>
      </c>
      <c r="B572" s="9" t="s">
        <v>42</v>
      </c>
      <c r="C572" s="7" t="s">
        <v>50</v>
      </c>
      <c r="D572" s="9" t="s">
        <v>45</v>
      </c>
      <c r="E572" s="9" t="s">
        <v>49</v>
      </c>
      <c r="F572" s="5" t="n">
        <v>60</v>
      </c>
      <c r="G572" s="10"/>
      <c r="H572" s="11" t="str">
        <f aca="false">IFERROR(IF($D572="Manual Review","",IF($G572="","",IF($D572="Direct Expiry",$G572,EDATE($G572,$F572)))),"Check Date")</f>
        <v/>
      </c>
      <c r="I572" s="12" t="str">
        <f aca="true">IF($H572="","",IF(ISNUMBER($H572),$H572-TODAY(),""))</f>
        <v/>
      </c>
      <c r="J572" s="4" t="str">
        <f aca="true">IF($D572="Manual Review","Manual Review",IF($G572="","No Data",IF(NOT(ISNUMBER($H572)),"N/A",IF($H572&lt;TODAY(),"Overdue",IF($H572&lt;=TODAY()+30,"Due within 1 Month",IF($H572&lt;=TODAY()+60,"Due within 2 Months","OK"))))))</f>
        <v>No Data</v>
      </c>
      <c r="K572" s="13"/>
    </row>
    <row r="573" customFormat="false" ht="15" hidden="false" customHeight="false" outlineLevel="0" collapsed="false">
      <c r="A573" s="9" t="str">
        <f aca="false">Vessels!B10</f>
        <v>Vessel 06</v>
      </c>
      <c r="B573" s="9" t="s">
        <v>42</v>
      </c>
      <c r="C573" s="7" t="s">
        <v>51</v>
      </c>
      <c r="D573" s="9" t="s">
        <v>45</v>
      </c>
      <c r="E573" s="9" t="s">
        <v>46</v>
      </c>
      <c r="F573" s="5" t="n">
        <v>60</v>
      </c>
      <c r="G573" s="10"/>
      <c r="H573" s="11" t="str">
        <f aca="false">IFERROR(IF($D573="Manual Review","",IF($G573="","",IF($D573="Direct Expiry",$G573,EDATE($G573,$F573)))),"Check Date")</f>
        <v/>
      </c>
      <c r="I573" s="12" t="str">
        <f aca="true">IF($H573="","",IF(ISNUMBER($H573),$H573-TODAY(),""))</f>
        <v/>
      </c>
      <c r="J573" s="4" t="str">
        <f aca="true">IF($D573="Manual Review","Manual Review",IF($G573="","No Data",IF(NOT(ISNUMBER($H573)),"N/A",IF($H573&lt;TODAY(),"Overdue",IF($H573&lt;=TODAY()+30,"Due within 1 Month",IF($H573&lt;=TODAY()+60,"Due within 2 Months","OK"))))))</f>
        <v>No Data</v>
      </c>
      <c r="K573" s="13"/>
    </row>
    <row r="574" customFormat="false" ht="15" hidden="false" customHeight="false" outlineLevel="0" collapsed="false">
      <c r="A574" s="9" t="str">
        <f aca="false">Vessels!B10</f>
        <v>Vessel 06</v>
      </c>
      <c r="B574" s="9" t="s">
        <v>42</v>
      </c>
      <c r="C574" s="7" t="s">
        <v>52</v>
      </c>
      <c r="D574" s="9" t="s">
        <v>45</v>
      </c>
      <c r="E574" s="9" t="s">
        <v>46</v>
      </c>
      <c r="F574" s="5" t="n">
        <v>60</v>
      </c>
      <c r="G574" s="10"/>
      <c r="H574" s="11" t="str">
        <f aca="false">IFERROR(IF($D574="Manual Review","",IF($G574="","",IF($D574="Direct Expiry",$G574,EDATE($G574,$F574)))),"Check Date")</f>
        <v/>
      </c>
      <c r="I574" s="12" t="str">
        <f aca="true">IF($H574="","",IF(ISNUMBER($H574),$H574-TODAY(),""))</f>
        <v/>
      </c>
      <c r="J574" s="4" t="str">
        <f aca="true">IF($D574="Manual Review","Manual Review",IF($G574="","No Data",IF(NOT(ISNUMBER($H574)),"N/A",IF($H574&lt;TODAY(),"Overdue",IF($H574&lt;=TODAY()+30,"Due within 1 Month",IF($H574&lt;=TODAY()+60,"Due within 2 Months","OK"))))))</f>
        <v>No Data</v>
      </c>
      <c r="K574" s="13"/>
    </row>
    <row r="575" customFormat="false" ht="15" hidden="false" customHeight="false" outlineLevel="0" collapsed="false">
      <c r="A575" s="9" t="str">
        <f aca="false">Vessels!B10</f>
        <v>Vessel 06</v>
      </c>
      <c r="B575" s="9" t="s">
        <v>42</v>
      </c>
      <c r="C575" s="7" t="s">
        <v>53</v>
      </c>
      <c r="D575" s="9" t="s">
        <v>45</v>
      </c>
      <c r="E575" s="9" t="s">
        <v>46</v>
      </c>
      <c r="F575" s="5" t="n">
        <v>60</v>
      </c>
      <c r="G575" s="10"/>
      <c r="H575" s="11" t="str">
        <f aca="false">IFERROR(IF($D575="Manual Review","",IF($G575="","",IF($D575="Direct Expiry",$G575,EDATE($G575,$F575)))),"Check Date")</f>
        <v/>
      </c>
      <c r="I575" s="12" t="str">
        <f aca="true">IF($H575="","",IF(ISNUMBER($H575),$H575-TODAY(),""))</f>
        <v/>
      </c>
      <c r="J575" s="4" t="str">
        <f aca="true">IF($D575="Manual Review","Manual Review",IF($G575="","No Data",IF(NOT(ISNUMBER($H575)),"N/A",IF($H575&lt;TODAY(),"Overdue",IF($H575&lt;=TODAY()+30,"Due within 1 Month",IF($H575&lt;=TODAY()+60,"Due within 2 Months","OK"))))))</f>
        <v>No Data</v>
      </c>
      <c r="K575" s="13"/>
    </row>
    <row r="576" customFormat="false" ht="15" hidden="false" customHeight="false" outlineLevel="0" collapsed="false">
      <c r="A576" s="9" t="str">
        <f aca="false">Vessels!B10</f>
        <v>Vessel 06</v>
      </c>
      <c r="B576" s="9" t="s">
        <v>42</v>
      </c>
      <c r="C576" s="7" t="s">
        <v>54</v>
      </c>
      <c r="D576" s="9" t="s">
        <v>45</v>
      </c>
      <c r="E576" s="9" t="s">
        <v>46</v>
      </c>
      <c r="F576" s="5" t="n">
        <v>60</v>
      </c>
      <c r="G576" s="10"/>
      <c r="H576" s="11" t="str">
        <f aca="false">IFERROR(IF($D576="Manual Review","",IF($G576="","",IF($D576="Direct Expiry",$G576,EDATE($G576,$F576)))),"Check Date")</f>
        <v/>
      </c>
      <c r="I576" s="12" t="str">
        <f aca="true">IF($H576="","",IF(ISNUMBER($H576),$H576-TODAY(),""))</f>
        <v/>
      </c>
      <c r="J576" s="4" t="str">
        <f aca="true">IF($D576="Manual Review","Manual Review",IF($G576="","No Data",IF(NOT(ISNUMBER($H576)),"N/A",IF($H576&lt;TODAY(),"Overdue",IF($H576&lt;=TODAY()+30,"Due within 1 Month",IF($H576&lt;=TODAY()+60,"Due within 2 Months","OK"))))))</f>
        <v>No Data</v>
      </c>
      <c r="K576" s="13"/>
    </row>
    <row r="577" customFormat="false" ht="15" hidden="false" customHeight="false" outlineLevel="0" collapsed="false">
      <c r="A577" s="9" t="str">
        <f aca="false">Vessels!B10</f>
        <v>Vessel 06</v>
      </c>
      <c r="B577" s="9" t="s">
        <v>42</v>
      </c>
      <c r="C577" s="7" t="s">
        <v>55</v>
      </c>
      <c r="D577" s="9" t="s">
        <v>45</v>
      </c>
      <c r="E577" s="9" t="s">
        <v>46</v>
      </c>
      <c r="F577" s="5" t="n">
        <v>60</v>
      </c>
      <c r="G577" s="10"/>
      <c r="H577" s="11" t="str">
        <f aca="false">IFERROR(IF($D577="Manual Review","",IF($G577="","",IF($D577="Direct Expiry",$G577,EDATE($G577,$F577)))),"Check Date")</f>
        <v/>
      </c>
      <c r="I577" s="12" t="str">
        <f aca="true">IF($H577="","",IF(ISNUMBER($H577),$H577-TODAY(),""))</f>
        <v/>
      </c>
      <c r="J577" s="4" t="str">
        <f aca="true">IF($D577="Manual Review","Manual Review",IF($G577="","No Data",IF(NOT(ISNUMBER($H577)),"N/A",IF($H577&lt;TODAY(),"Overdue",IF($H577&lt;=TODAY()+30,"Due within 1 Month",IF($H577&lt;=TODAY()+60,"Due within 2 Months","OK"))))))</f>
        <v>No Data</v>
      </c>
      <c r="K577" s="13"/>
    </row>
    <row r="578" customFormat="false" ht="15" hidden="false" customHeight="false" outlineLevel="0" collapsed="false">
      <c r="A578" s="9" t="str">
        <f aca="false">Vessels!B10</f>
        <v>Vessel 06</v>
      </c>
      <c r="B578" s="9" t="s">
        <v>42</v>
      </c>
      <c r="C578" s="7" t="s">
        <v>56</v>
      </c>
      <c r="D578" s="9" t="s">
        <v>45</v>
      </c>
      <c r="E578" s="9" t="s">
        <v>46</v>
      </c>
      <c r="F578" s="5" t="n">
        <v>60</v>
      </c>
      <c r="G578" s="10"/>
      <c r="H578" s="11" t="str">
        <f aca="false">IFERROR(IF($D578="Manual Review","",IF($G578="","",IF($D578="Direct Expiry",$G578,EDATE($G578,$F578)))),"Check Date")</f>
        <v/>
      </c>
      <c r="I578" s="12" t="str">
        <f aca="true">IF($H578="","",IF(ISNUMBER($H578),$H578-TODAY(),""))</f>
        <v/>
      </c>
      <c r="J578" s="4" t="str">
        <f aca="true">IF($D578="Manual Review","Manual Review",IF($G578="","No Data",IF(NOT(ISNUMBER($H578)),"N/A",IF($H578&lt;TODAY(),"Overdue",IF($H578&lt;=TODAY()+30,"Due within 1 Month",IF($H578&lt;=TODAY()+60,"Due within 2 Months","OK"))))))</f>
        <v>No Data</v>
      </c>
      <c r="K578" s="13"/>
    </row>
    <row r="579" customFormat="false" ht="15" hidden="false" customHeight="false" outlineLevel="0" collapsed="false">
      <c r="A579" s="9" t="str">
        <f aca="false">Vessels!B10</f>
        <v>Vessel 06</v>
      </c>
      <c r="B579" s="9" t="s">
        <v>42</v>
      </c>
      <c r="C579" s="7" t="s">
        <v>57</v>
      </c>
      <c r="D579" s="9" t="s">
        <v>59</v>
      </c>
      <c r="E579" s="9" t="s">
        <v>58</v>
      </c>
      <c r="F579" s="5"/>
      <c r="G579" s="10"/>
      <c r="H579" s="11" t="str">
        <f aca="false">IFERROR(IF($D579="Manual Review","",IF($G579="","",IF($D579="Direct Expiry",$G579,EDATE($G579,$F579)))),"Check Date")</f>
        <v/>
      </c>
      <c r="I579" s="12" t="str">
        <f aca="true">IF($H579="","",IF(ISNUMBER($H579),$H579-TODAY(),""))</f>
        <v/>
      </c>
      <c r="J579" s="4" t="str">
        <f aca="true">IF($D579="Manual Review","Manual Review",IF($G579="","No Data",IF(NOT(ISNUMBER($H579)),"N/A",IF($H579&lt;TODAY(),"Overdue",IF($H579&lt;=TODAY()+30,"Due within 1 Month",IF($H579&lt;=TODAY()+60,"Due within 2 Months","OK"))))))</f>
        <v>No Data</v>
      </c>
      <c r="K579" s="13"/>
    </row>
    <row r="580" customFormat="false" ht="15" hidden="false" customHeight="false" outlineLevel="0" collapsed="false">
      <c r="A580" s="9" t="str">
        <f aca="false">Vessels!B10</f>
        <v>Vessel 06</v>
      </c>
      <c r="B580" s="9" t="s">
        <v>42</v>
      </c>
      <c r="C580" s="7" t="s">
        <v>60</v>
      </c>
      <c r="D580" s="9" t="s">
        <v>45</v>
      </c>
      <c r="E580" s="9" t="s">
        <v>44</v>
      </c>
      <c r="F580" s="5" t="n">
        <v>12</v>
      </c>
      <c r="G580" s="10"/>
      <c r="H580" s="11" t="str">
        <f aca="false">IFERROR(IF($D580="Manual Review","",IF($G580="","",IF($D580="Direct Expiry",$G580,EDATE($G580,$F580)))),"Check Date")</f>
        <v/>
      </c>
      <c r="I580" s="12" t="str">
        <f aca="true">IF($H580="","",IF(ISNUMBER($H580),$H580-TODAY(),""))</f>
        <v/>
      </c>
      <c r="J580" s="4" t="str">
        <f aca="true">IF($D580="Manual Review","Manual Review",IF($G580="","No Data",IF(NOT(ISNUMBER($H580)),"N/A",IF($H580&lt;TODAY(),"Overdue",IF($H580&lt;=TODAY()+30,"Due within 1 Month",IF($H580&lt;=TODAY()+60,"Due within 2 Months","OK"))))))</f>
        <v>No Data</v>
      </c>
      <c r="K580" s="13"/>
    </row>
    <row r="581" customFormat="false" ht="15" hidden="false" customHeight="false" outlineLevel="0" collapsed="false">
      <c r="A581" s="9" t="str">
        <f aca="false">Vessels!B10</f>
        <v>Vessel 06</v>
      </c>
      <c r="B581" s="9" t="s">
        <v>42</v>
      </c>
      <c r="C581" s="7" t="s">
        <v>60</v>
      </c>
      <c r="D581" s="9" t="s">
        <v>45</v>
      </c>
      <c r="E581" s="9" t="s">
        <v>46</v>
      </c>
      <c r="F581" s="5" t="n">
        <v>60</v>
      </c>
      <c r="G581" s="10"/>
      <c r="H581" s="11" t="str">
        <f aca="false">IFERROR(IF($D581="Manual Review","",IF($G581="","",IF($D581="Direct Expiry",$G581,EDATE($G581,$F581)))),"Check Date")</f>
        <v/>
      </c>
      <c r="I581" s="12" t="str">
        <f aca="true">IF($H581="","",IF(ISNUMBER($H581),$H581-TODAY(),""))</f>
        <v/>
      </c>
      <c r="J581" s="4" t="str">
        <f aca="true">IF($D581="Manual Review","Manual Review",IF($G581="","No Data",IF(NOT(ISNUMBER($H581)),"N/A",IF($H581&lt;TODAY(),"Overdue",IF($H581&lt;=TODAY()+30,"Due within 1 Month",IF($H581&lt;=TODAY()+60,"Due within 2 Months","OK"))))))</f>
        <v>No Data</v>
      </c>
      <c r="K581" s="13"/>
    </row>
    <row r="582" customFormat="false" ht="15" hidden="false" customHeight="false" outlineLevel="0" collapsed="false">
      <c r="A582" s="9" t="str">
        <f aca="false">Vessels!B10</f>
        <v>Vessel 06</v>
      </c>
      <c r="B582" s="9" t="s">
        <v>42</v>
      </c>
      <c r="C582" s="7" t="s">
        <v>61</v>
      </c>
      <c r="D582" s="9" t="s">
        <v>45</v>
      </c>
      <c r="E582" s="9" t="s">
        <v>44</v>
      </c>
      <c r="F582" s="5" t="n">
        <v>12</v>
      </c>
      <c r="G582" s="10"/>
      <c r="H582" s="11" t="str">
        <f aca="false">IFERROR(IF($D582="Manual Review","",IF($G582="","",IF($D582="Direct Expiry",$G582,EDATE($G582,$F582)))),"Check Date")</f>
        <v/>
      </c>
      <c r="I582" s="12" t="str">
        <f aca="true">IF($H582="","",IF(ISNUMBER($H582),$H582-TODAY(),""))</f>
        <v/>
      </c>
      <c r="J582" s="4" t="str">
        <f aca="true">IF($D582="Manual Review","Manual Review",IF($G582="","No Data",IF(NOT(ISNUMBER($H582)),"N/A",IF($H582&lt;TODAY(),"Overdue",IF($H582&lt;=TODAY()+30,"Due within 1 Month",IF($H582&lt;=TODAY()+60,"Due within 2 Months","OK"))))))</f>
        <v>No Data</v>
      </c>
      <c r="K582" s="13"/>
    </row>
    <row r="583" customFormat="false" ht="15" hidden="false" customHeight="false" outlineLevel="0" collapsed="false">
      <c r="A583" s="9" t="str">
        <f aca="false">Vessels!B10</f>
        <v>Vessel 06</v>
      </c>
      <c r="B583" s="9" t="s">
        <v>42</v>
      </c>
      <c r="C583" s="7" t="s">
        <v>61</v>
      </c>
      <c r="D583" s="9" t="s">
        <v>45</v>
      </c>
      <c r="E583" s="9" t="s">
        <v>46</v>
      </c>
      <c r="F583" s="5" t="n">
        <v>60</v>
      </c>
      <c r="G583" s="10"/>
      <c r="H583" s="11" t="str">
        <f aca="false">IFERROR(IF($D583="Manual Review","",IF($G583="","",IF($D583="Direct Expiry",$G583,EDATE($G583,$F583)))),"Check Date")</f>
        <v/>
      </c>
      <c r="I583" s="12" t="str">
        <f aca="true">IF($H583="","",IF(ISNUMBER($H583),$H583-TODAY(),""))</f>
        <v/>
      </c>
      <c r="J583" s="4" t="str">
        <f aca="true">IF($D583="Manual Review","Manual Review",IF($G583="","No Data",IF(NOT(ISNUMBER($H583)),"N/A",IF($H583&lt;TODAY(),"Overdue",IF($H583&lt;=TODAY()+30,"Due within 1 Month",IF($H583&lt;=TODAY()+60,"Due within 2 Months","OK"))))))</f>
        <v>No Data</v>
      </c>
      <c r="K583" s="13"/>
    </row>
    <row r="584" customFormat="false" ht="15" hidden="false" customHeight="false" outlineLevel="0" collapsed="false">
      <c r="A584" s="9" t="str">
        <f aca="false">Vessels!B10</f>
        <v>Vessel 06</v>
      </c>
      <c r="B584" s="9" t="s">
        <v>42</v>
      </c>
      <c r="C584" s="7" t="s">
        <v>62</v>
      </c>
      <c r="D584" s="9" t="s">
        <v>45</v>
      </c>
      <c r="E584" s="9" t="s">
        <v>44</v>
      </c>
      <c r="F584" s="5" t="n">
        <v>12</v>
      </c>
      <c r="G584" s="10"/>
      <c r="H584" s="11" t="str">
        <f aca="false">IFERROR(IF($D584="Manual Review","",IF($G584="","",IF($D584="Direct Expiry",$G584,EDATE($G584,$F584)))),"Check Date")</f>
        <v/>
      </c>
      <c r="I584" s="12" t="str">
        <f aca="true">IF($H584="","",IF(ISNUMBER($H584),$H584-TODAY(),""))</f>
        <v/>
      </c>
      <c r="J584" s="4" t="str">
        <f aca="true">IF($D584="Manual Review","Manual Review",IF($G584="","No Data",IF(NOT(ISNUMBER($H584)),"N/A",IF($H584&lt;TODAY(),"Overdue",IF($H584&lt;=TODAY()+30,"Due within 1 Month",IF($H584&lt;=TODAY()+60,"Due within 2 Months","OK"))))))</f>
        <v>No Data</v>
      </c>
      <c r="K584" s="13"/>
    </row>
    <row r="585" customFormat="false" ht="15" hidden="false" customHeight="false" outlineLevel="0" collapsed="false">
      <c r="A585" s="9" t="str">
        <f aca="false">Vessels!B10</f>
        <v>Vessel 06</v>
      </c>
      <c r="B585" s="9" t="s">
        <v>42</v>
      </c>
      <c r="C585" s="7" t="s">
        <v>62</v>
      </c>
      <c r="D585" s="9" t="s">
        <v>45</v>
      </c>
      <c r="E585" s="9" t="s">
        <v>49</v>
      </c>
      <c r="F585" s="5" t="n">
        <v>60</v>
      </c>
      <c r="G585" s="10"/>
      <c r="H585" s="11" t="str">
        <f aca="false">IFERROR(IF($D585="Manual Review","",IF($G585="","",IF($D585="Direct Expiry",$G585,EDATE($G585,$F585)))),"Check Date")</f>
        <v/>
      </c>
      <c r="I585" s="12" t="str">
        <f aca="true">IF($H585="","",IF(ISNUMBER($H585),$H585-TODAY(),""))</f>
        <v/>
      </c>
      <c r="J585" s="4" t="str">
        <f aca="true">IF($D585="Manual Review","Manual Review",IF($G585="","No Data",IF(NOT(ISNUMBER($H585)),"N/A",IF($H585&lt;TODAY(),"Overdue",IF($H585&lt;=TODAY()+30,"Due within 1 Month",IF($H585&lt;=TODAY()+60,"Due within 2 Months","OK"))))))</f>
        <v>No Data</v>
      </c>
      <c r="K585" s="13"/>
    </row>
    <row r="586" customFormat="false" ht="15" hidden="false" customHeight="false" outlineLevel="0" collapsed="false">
      <c r="A586" s="9" t="str">
        <f aca="false">Vessels!B10</f>
        <v>Vessel 06</v>
      </c>
      <c r="B586" s="9" t="s">
        <v>42</v>
      </c>
      <c r="C586" s="7" t="s">
        <v>63</v>
      </c>
      <c r="D586" s="9" t="s">
        <v>45</v>
      </c>
      <c r="E586" s="9" t="s">
        <v>44</v>
      </c>
      <c r="F586" s="5" t="n">
        <v>12</v>
      </c>
      <c r="G586" s="10"/>
      <c r="H586" s="11" t="str">
        <f aca="false">IFERROR(IF($D586="Manual Review","",IF($G586="","",IF($D586="Direct Expiry",$G586,EDATE($G586,$F586)))),"Check Date")</f>
        <v/>
      </c>
      <c r="I586" s="12" t="str">
        <f aca="true">IF($H586="","",IF(ISNUMBER($H586),$H586-TODAY(),""))</f>
        <v/>
      </c>
      <c r="J586" s="4" t="str">
        <f aca="true">IF($D586="Manual Review","Manual Review",IF($G586="","No Data",IF(NOT(ISNUMBER($H586)),"N/A",IF($H586&lt;TODAY(),"Overdue",IF($H586&lt;=TODAY()+30,"Due within 1 Month",IF($H586&lt;=TODAY()+60,"Due within 2 Months","OK"))))))</f>
        <v>No Data</v>
      </c>
      <c r="K586" s="13"/>
    </row>
    <row r="587" customFormat="false" ht="15" hidden="false" customHeight="false" outlineLevel="0" collapsed="false">
      <c r="A587" s="9" t="str">
        <f aca="false">Vessels!B10</f>
        <v>Vessel 06</v>
      </c>
      <c r="B587" s="9" t="s">
        <v>42</v>
      </c>
      <c r="C587" s="7" t="s">
        <v>63</v>
      </c>
      <c r="D587" s="9" t="s">
        <v>45</v>
      </c>
      <c r="E587" s="9" t="s">
        <v>49</v>
      </c>
      <c r="F587" s="5" t="n">
        <v>60</v>
      </c>
      <c r="G587" s="10"/>
      <c r="H587" s="11" t="str">
        <f aca="false">IFERROR(IF($D587="Manual Review","",IF($G587="","",IF($D587="Direct Expiry",$G587,EDATE($G587,$F587)))),"Check Date")</f>
        <v/>
      </c>
      <c r="I587" s="12" t="str">
        <f aca="true">IF($H587="","",IF(ISNUMBER($H587),$H587-TODAY(),""))</f>
        <v/>
      </c>
      <c r="J587" s="4" t="str">
        <f aca="true">IF($D587="Manual Review","Manual Review",IF($G587="","No Data",IF(NOT(ISNUMBER($H587)),"N/A",IF($H587&lt;TODAY(),"Overdue",IF($H587&lt;=TODAY()+30,"Due within 1 Month",IF($H587&lt;=TODAY()+60,"Due within 2 Months","OK"))))))</f>
        <v>No Data</v>
      </c>
      <c r="K587" s="13"/>
    </row>
    <row r="588" customFormat="false" ht="15" hidden="false" customHeight="false" outlineLevel="0" collapsed="false">
      <c r="A588" s="9" t="str">
        <f aca="false">Vessels!B10</f>
        <v>Vessel 06</v>
      </c>
      <c r="B588" s="9" t="s">
        <v>42</v>
      </c>
      <c r="C588" s="7" t="s">
        <v>64</v>
      </c>
      <c r="D588" s="9" t="s">
        <v>45</v>
      </c>
      <c r="E588" s="9" t="s">
        <v>46</v>
      </c>
      <c r="F588" s="5" t="n">
        <v>60</v>
      </c>
      <c r="G588" s="10"/>
      <c r="H588" s="11" t="str">
        <f aca="false">IFERROR(IF($D588="Manual Review","",IF($G588="","",IF($D588="Direct Expiry",$G588,EDATE($G588,$F588)))),"Check Date")</f>
        <v/>
      </c>
      <c r="I588" s="12" t="str">
        <f aca="true">IF($H588="","",IF(ISNUMBER($H588),$H588-TODAY(),""))</f>
        <v/>
      </c>
      <c r="J588" s="4" t="str">
        <f aca="true">IF($D588="Manual Review","Manual Review",IF($G588="","No Data",IF(NOT(ISNUMBER($H588)),"N/A",IF($H588&lt;TODAY(),"Overdue",IF($H588&lt;=TODAY()+30,"Due within 1 Month",IF($H588&lt;=TODAY()+60,"Due within 2 Months","OK"))))))</f>
        <v>No Data</v>
      </c>
      <c r="K588" s="13"/>
    </row>
    <row r="589" customFormat="false" ht="15" hidden="false" customHeight="false" outlineLevel="0" collapsed="false">
      <c r="A589" s="9" t="str">
        <f aca="false">Vessels!B10</f>
        <v>Vessel 06</v>
      </c>
      <c r="B589" s="9" t="s">
        <v>42</v>
      </c>
      <c r="C589" s="7" t="s">
        <v>65</v>
      </c>
      <c r="D589" s="9" t="s">
        <v>45</v>
      </c>
      <c r="E589" s="9" t="s">
        <v>46</v>
      </c>
      <c r="F589" s="5" t="n">
        <v>60</v>
      </c>
      <c r="G589" s="10"/>
      <c r="H589" s="11" t="str">
        <f aca="false">IFERROR(IF($D589="Manual Review","",IF($G589="","",IF($D589="Direct Expiry",$G589,EDATE($G589,$F589)))),"Check Date")</f>
        <v/>
      </c>
      <c r="I589" s="12" t="str">
        <f aca="true">IF($H589="","",IF(ISNUMBER($H589),$H589-TODAY(),""))</f>
        <v/>
      </c>
      <c r="J589" s="4" t="str">
        <f aca="true">IF($D589="Manual Review","Manual Review",IF($G589="","No Data",IF(NOT(ISNUMBER($H589)),"N/A",IF($H589&lt;TODAY(),"Overdue",IF($H589&lt;=TODAY()+30,"Due within 1 Month",IF($H589&lt;=TODAY()+60,"Due within 2 Months","OK"))))))</f>
        <v>No Data</v>
      </c>
      <c r="K589" s="13"/>
    </row>
    <row r="590" customFormat="false" ht="15" hidden="false" customHeight="false" outlineLevel="0" collapsed="false">
      <c r="A590" s="9" t="str">
        <f aca="false">Vessels!B10</f>
        <v>Vessel 06</v>
      </c>
      <c r="B590" s="9" t="s">
        <v>42</v>
      </c>
      <c r="C590" s="7" t="s">
        <v>66</v>
      </c>
      <c r="D590" s="9" t="s">
        <v>45</v>
      </c>
      <c r="E590" s="9" t="s">
        <v>46</v>
      </c>
      <c r="F590" s="5" t="n">
        <v>60</v>
      </c>
      <c r="G590" s="10"/>
      <c r="H590" s="11" t="str">
        <f aca="false">IFERROR(IF($D590="Manual Review","",IF($G590="","",IF($D590="Direct Expiry",$G590,EDATE($G590,$F590)))),"Check Date")</f>
        <v/>
      </c>
      <c r="I590" s="12" t="str">
        <f aca="true">IF($H590="","",IF(ISNUMBER($H590),$H590-TODAY(),""))</f>
        <v/>
      </c>
      <c r="J590" s="4" t="str">
        <f aca="true">IF($D590="Manual Review","Manual Review",IF($G590="","No Data",IF(NOT(ISNUMBER($H590)),"N/A",IF($H590&lt;TODAY(),"Overdue",IF($H590&lt;=TODAY()+30,"Due within 1 Month",IF($H590&lt;=TODAY()+60,"Due within 2 Months","OK"))))))</f>
        <v>No Data</v>
      </c>
      <c r="K590" s="13"/>
    </row>
    <row r="591" customFormat="false" ht="15" hidden="false" customHeight="false" outlineLevel="0" collapsed="false">
      <c r="A591" s="9" t="str">
        <f aca="false">Vessels!B10</f>
        <v>Vessel 06</v>
      </c>
      <c r="B591" s="9" t="s">
        <v>42</v>
      </c>
      <c r="C591" s="7" t="s">
        <v>67</v>
      </c>
      <c r="D591" s="9" t="s">
        <v>45</v>
      </c>
      <c r="E591" s="9" t="s">
        <v>46</v>
      </c>
      <c r="F591" s="5" t="n">
        <v>60</v>
      </c>
      <c r="G591" s="10"/>
      <c r="H591" s="11" t="str">
        <f aca="false">IFERROR(IF($D591="Manual Review","",IF($G591="","",IF($D591="Direct Expiry",$G591,EDATE($G591,$F591)))),"Check Date")</f>
        <v/>
      </c>
      <c r="I591" s="12" t="str">
        <f aca="true">IF($H591="","",IF(ISNUMBER($H591),$H591-TODAY(),""))</f>
        <v/>
      </c>
      <c r="J591" s="4" t="str">
        <f aca="true">IF($D591="Manual Review","Manual Review",IF($G591="","No Data",IF(NOT(ISNUMBER($H591)),"N/A",IF($H591&lt;TODAY(),"Overdue",IF($H591&lt;=TODAY()+30,"Due within 1 Month",IF($H591&lt;=TODAY()+60,"Due within 2 Months","OK"))))))</f>
        <v>No Data</v>
      </c>
      <c r="K591" s="13"/>
    </row>
    <row r="592" customFormat="false" ht="15" hidden="false" customHeight="false" outlineLevel="0" collapsed="false">
      <c r="A592" s="9" t="str">
        <f aca="false">Vessels!B10</f>
        <v>Vessel 06</v>
      </c>
      <c r="B592" s="9" t="s">
        <v>42</v>
      </c>
      <c r="C592" s="7" t="s">
        <v>68</v>
      </c>
      <c r="D592" s="9" t="s">
        <v>45</v>
      </c>
      <c r="E592" s="9" t="s">
        <v>46</v>
      </c>
      <c r="F592" s="5" t="n">
        <v>60</v>
      </c>
      <c r="G592" s="10"/>
      <c r="H592" s="11" t="str">
        <f aca="false">IFERROR(IF($D592="Manual Review","",IF($G592="","",IF($D592="Direct Expiry",$G592,EDATE($G592,$F592)))),"Check Date")</f>
        <v/>
      </c>
      <c r="I592" s="12" t="str">
        <f aca="true">IF($H592="","",IF(ISNUMBER($H592),$H592-TODAY(),""))</f>
        <v/>
      </c>
      <c r="J592" s="4" t="str">
        <f aca="true">IF($D592="Manual Review","Manual Review",IF($G592="","No Data",IF(NOT(ISNUMBER($H592)),"N/A",IF($H592&lt;TODAY(),"Overdue",IF($H592&lt;=TODAY()+30,"Due within 1 Month",IF($H592&lt;=TODAY()+60,"Due within 2 Months","OK"))))))</f>
        <v>No Data</v>
      </c>
      <c r="K592" s="13"/>
    </row>
    <row r="593" customFormat="false" ht="15" hidden="false" customHeight="false" outlineLevel="0" collapsed="false">
      <c r="A593" s="9" t="str">
        <f aca="false">Vessels!B10</f>
        <v>Vessel 06</v>
      </c>
      <c r="B593" s="9" t="s">
        <v>42</v>
      </c>
      <c r="C593" s="7" t="s">
        <v>69</v>
      </c>
      <c r="D593" s="9" t="s">
        <v>45</v>
      </c>
      <c r="E593" s="9" t="s">
        <v>46</v>
      </c>
      <c r="F593" s="5" t="n">
        <v>60</v>
      </c>
      <c r="G593" s="10"/>
      <c r="H593" s="11" t="str">
        <f aca="false">IFERROR(IF($D593="Manual Review","",IF($G593="","",IF($D593="Direct Expiry",$G593,EDATE($G593,$F593)))),"Check Date")</f>
        <v/>
      </c>
      <c r="I593" s="12" t="str">
        <f aca="true">IF($H593="","",IF(ISNUMBER($H593),$H593-TODAY(),""))</f>
        <v/>
      </c>
      <c r="J593" s="4" t="str">
        <f aca="true">IF($D593="Manual Review","Manual Review",IF($G593="","No Data",IF(NOT(ISNUMBER($H593)),"N/A",IF($H593&lt;TODAY(),"Overdue",IF($H593&lt;=TODAY()+30,"Due within 1 Month",IF($H593&lt;=TODAY()+60,"Due within 2 Months","OK"))))))</f>
        <v>No Data</v>
      </c>
      <c r="K593" s="13"/>
    </row>
    <row r="594" customFormat="false" ht="15" hidden="false" customHeight="false" outlineLevel="0" collapsed="false">
      <c r="A594" s="9" t="str">
        <f aca="false">Vessels!B10</f>
        <v>Vessel 06</v>
      </c>
      <c r="B594" s="9" t="s">
        <v>42</v>
      </c>
      <c r="C594" s="7" t="s">
        <v>70</v>
      </c>
      <c r="D594" s="9" t="s">
        <v>59</v>
      </c>
      <c r="E594" s="9" t="s">
        <v>58</v>
      </c>
      <c r="F594" s="5"/>
      <c r="G594" s="10"/>
      <c r="H594" s="11" t="str">
        <f aca="false">IFERROR(IF($D594="Manual Review","",IF($G594="","",IF($D594="Direct Expiry",$G594,EDATE($G594,$F594)))),"Check Date")</f>
        <v/>
      </c>
      <c r="I594" s="12" t="str">
        <f aca="true">IF($H594="","",IF(ISNUMBER($H594),$H594-TODAY(),""))</f>
        <v/>
      </c>
      <c r="J594" s="4" t="str">
        <f aca="true">IF($D594="Manual Review","Manual Review",IF($G594="","No Data",IF(NOT(ISNUMBER($H594)),"N/A",IF($H594&lt;TODAY(),"Overdue",IF($H594&lt;=TODAY()+30,"Due within 1 Month",IF($H594&lt;=TODAY()+60,"Due within 2 Months","OK"))))))</f>
        <v>No Data</v>
      </c>
      <c r="K594" s="13"/>
    </row>
    <row r="595" customFormat="false" ht="15" hidden="false" customHeight="false" outlineLevel="0" collapsed="false">
      <c r="A595" s="9" t="str">
        <f aca="false">Vessels!B10</f>
        <v>Vessel 06</v>
      </c>
      <c r="B595" s="9" t="s">
        <v>42</v>
      </c>
      <c r="C595" s="7" t="s">
        <v>71</v>
      </c>
      <c r="D595" s="9" t="s">
        <v>45</v>
      </c>
      <c r="E595" s="9" t="s">
        <v>44</v>
      </c>
      <c r="F595" s="5" t="n">
        <v>12</v>
      </c>
      <c r="G595" s="10"/>
      <c r="H595" s="11" t="str">
        <f aca="false">IFERROR(IF($D595="Manual Review","",IF($G595="","",IF($D595="Direct Expiry",$G595,EDATE($G595,$F595)))),"Check Date")</f>
        <v/>
      </c>
      <c r="I595" s="12" t="str">
        <f aca="true">IF($H595="","",IF(ISNUMBER($H595),$H595-TODAY(),""))</f>
        <v/>
      </c>
      <c r="J595" s="4" t="str">
        <f aca="true">IF($D595="Manual Review","Manual Review",IF($G595="","No Data",IF(NOT(ISNUMBER($H595)),"N/A",IF($H595&lt;TODAY(),"Overdue",IF($H595&lt;=TODAY()+30,"Due within 1 Month",IF($H595&lt;=TODAY()+60,"Due within 2 Months","OK"))))))</f>
        <v>No Data</v>
      </c>
      <c r="K595" s="13"/>
    </row>
    <row r="596" customFormat="false" ht="15" hidden="false" customHeight="false" outlineLevel="0" collapsed="false">
      <c r="A596" s="9" t="str">
        <f aca="false">Vessels!B10</f>
        <v>Vessel 06</v>
      </c>
      <c r="B596" s="9" t="s">
        <v>42</v>
      </c>
      <c r="C596" s="7" t="s">
        <v>72</v>
      </c>
      <c r="D596" s="9" t="s">
        <v>59</v>
      </c>
      <c r="E596" s="9" t="s">
        <v>58</v>
      </c>
      <c r="F596" s="5"/>
      <c r="G596" s="10"/>
      <c r="H596" s="11" t="str">
        <f aca="false">IFERROR(IF($D596="Manual Review","",IF($G596="","",IF($D596="Direct Expiry",$G596,EDATE($G596,$F596)))),"Check Date")</f>
        <v/>
      </c>
      <c r="I596" s="12" t="str">
        <f aca="true">IF($H596="","",IF(ISNUMBER($H596),$H596-TODAY(),""))</f>
        <v/>
      </c>
      <c r="J596" s="4" t="str">
        <f aca="true">IF($D596="Manual Review","Manual Review",IF($G596="","No Data",IF(NOT(ISNUMBER($H596)),"N/A",IF($H596&lt;TODAY(),"Overdue",IF($H596&lt;=TODAY()+30,"Due within 1 Month",IF($H596&lt;=TODAY()+60,"Due within 2 Months","OK"))))))</f>
        <v>No Data</v>
      </c>
      <c r="K596" s="13"/>
    </row>
    <row r="597" customFormat="false" ht="15" hidden="false" customHeight="false" outlineLevel="0" collapsed="false">
      <c r="A597" s="9" t="str">
        <f aca="false">Vessels!B10</f>
        <v>Vessel 06</v>
      </c>
      <c r="B597" s="9" t="s">
        <v>42</v>
      </c>
      <c r="C597" s="7" t="s">
        <v>73</v>
      </c>
      <c r="D597" s="9" t="s">
        <v>45</v>
      </c>
      <c r="E597" s="9" t="s">
        <v>44</v>
      </c>
      <c r="F597" s="5" t="n">
        <v>12</v>
      </c>
      <c r="G597" s="10"/>
      <c r="H597" s="11" t="str">
        <f aca="false">IFERROR(IF($D597="Manual Review","",IF($G597="","",IF($D597="Direct Expiry",$G597,EDATE($G597,$F597)))),"Check Date")</f>
        <v/>
      </c>
      <c r="I597" s="12" t="str">
        <f aca="true">IF($H597="","",IF(ISNUMBER($H597),$H597-TODAY(),""))</f>
        <v/>
      </c>
      <c r="J597" s="4" t="str">
        <f aca="true">IF($D597="Manual Review","Manual Review",IF($G597="","No Data",IF(NOT(ISNUMBER($H597)),"N/A",IF($H597&lt;TODAY(),"Overdue",IF($H597&lt;=TODAY()+30,"Due within 1 Month",IF($H597&lt;=TODAY()+60,"Due within 2 Months","OK"))))))</f>
        <v>No Data</v>
      </c>
      <c r="K597" s="13"/>
    </row>
    <row r="598" customFormat="false" ht="15" hidden="false" customHeight="false" outlineLevel="0" collapsed="false">
      <c r="A598" s="9" t="str">
        <f aca="false">Vessels!B10</f>
        <v>Vessel 06</v>
      </c>
      <c r="B598" s="9" t="s">
        <v>42</v>
      </c>
      <c r="C598" s="7" t="s">
        <v>74</v>
      </c>
      <c r="D598" s="9" t="s">
        <v>59</v>
      </c>
      <c r="E598" s="9" t="s">
        <v>58</v>
      </c>
      <c r="F598" s="5"/>
      <c r="G598" s="10"/>
      <c r="H598" s="11" t="str">
        <f aca="false">IFERROR(IF($D598="Manual Review","",IF($G598="","",IF($D598="Direct Expiry",$G598,EDATE($G598,$F598)))),"Check Date")</f>
        <v/>
      </c>
      <c r="I598" s="12" t="str">
        <f aca="true">IF($H598="","",IF(ISNUMBER($H598),$H598-TODAY(),""))</f>
        <v/>
      </c>
      <c r="J598" s="4" t="str">
        <f aca="true">IF($D598="Manual Review","Manual Review",IF($G598="","No Data",IF(NOT(ISNUMBER($H598)),"N/A",IF($H598&lt;TODAY(),"Overdue",IF($H598&lt;=TODAY()+30,"Due within 1 Month",IF($H598&lt;=TODAY()+60,"Due within 2 Months","OK"))))))</f>
        <v>No Data</v>
      </c>
      <c r="K598" s="13"/>
    </row>
    <row r="599" customFormat="false" ht="15" hidden="false" customHeight="false" outlineLevel="0" collapsed="false">
      <c r="A599" s="9" t="str">
        <f aca="false">Vessels!B10</f>
        <v>Vessel 06</v>
      </c>
      <c r="B599" s="9" t="s">
        <v>42</v>
      </c>
      <c r="C599" s="7" t="s">
        <v>75</v>
      </c>
      <c r="D599" s="9" t="s">
        <v>45</v>
      </c>
      <c r="E599" s="9" t="s">
        <v>44</v>
      </c>
      <c r="F599" s="5" t="n">
        <v>12</v>
      </c>
      <c r="G599" s="10"/>
      <c r="H599" s="11" t="str">
        <f aca="false">IFERROR(IF($D599="Manual Review","",IF($G599="","",IF($D599="Direct Expiry",$G599,EDATE($G599,$F599)))),"Check Date")</f>
        <v/>
      </c>
      <c r="I599" s="12" t="str">
        <f aca="true">IF($H599="","",IF(ISNUMBER($H599),$H599-TODAY(),""))</f>
        <v/>
      </c>
      <c r="J599" s="4" t="str">
        <f aca="true">IF($D599="Manual Review","Manual Review",IF($G599="","No Data",IF(NOT(ISNUMBER($H599)),"N/A",IF($H599&lt;TODAY(),"Overdue",IF($H599&lt;=TODAY()+30,"Due within 1 Month",IF($H599&lt;=TODAY()+60,"Due within 2 Months","OK"))))))</f>
        <v>No Data</v>
      </c>
      <c r="K599" s="13"/>
    </row>
    <row r="600" customFormat="false" ht="15" hidden="false" customHeight="false" outlineLevel="0" collapsed="false">
      <c r="A600" s="9" t="str">
        <f aca="false">Vessels!B10</f>
        <v>Vessel 06</v>
      </c>
      <c r="B600" s="9" t="s">
        <v>42</v>
      </c>
      <c r="C600" s="7" t="s">
        <v>76</v>
      </c>
      <c r="D600" s="9" t="s">
        <v>59</v>
      </c>
      <c r="E600" s="9" t="s">
        <v>58</v>
      </c>
      <c r="F600" s="5"/>
      <c r="G600" s="10"/>
      <c r="H600" s="11" t="str">
        <f aca="false">IFERROR(IF($D600="Manual Review","",IF($G600="","",IF($D600="Direct Expiry",$G600,EDATE($G600,$F600)))),"Check Date")</f>
        <v/>
      </c>
      <c r="I600" s="12" t="str">
        <f aca="true">IF($H600="","",IF(ISNUMBER($H600),$H600-TODAY(),""))</f>
        <v/>
      </c>
      <c r="J600" s="4" t="str">
        <f aca="true">IF($D600="Manual Review","Manual Review",IF($G600="","No Data",IF(NOT(ISNUMBER($H600)),"N/A",IF($H600&lt;TODAY(),"Overdue",IF($H600&lt;=TODAY()+30,"Due within 1 Month",IF($H600&lt;=TODAY()+60,"Due within 2 Months","OK"))))))</f>
        <v>No Data</v>
      </c>
      <c r="K600" s="13"/>
    </row>
    <row r="601" customFormat="false" ht="15" hidden="false" customHeight="false" outlineLevel="0" collapsed="false">
      <c r="A601" s="9" t="str">
        <f aca="false">Vessels!B10</f>
        <v>Vessel 06</v>
      </c>
      <c r="B601" s="9" t="s">
        <v>42</v>
      </c>
      <c r="C601" s="7" t="s">
        <v>77</v>
      </c>
      <c r="D601" s="9" t="s">
        <v>59</v>
      </c>
      <c r="E601" s="9" t="s">
        <v>58</v>
      </c>
      <c r="F601" s="5"/>
      <c r="G601" s="10"/>
      <c r="H601" s="11" t="str">
        <f aca="false">IFERROR(IF($D601="Manual Review","",IF($G601="","",IF($D601="Direct Expiry",$G601,EDATE($G601,$F601)))),"Check Date")</f>
        <v/>
      </c>
      <c r="I601" s="12" t="str">
        <f aca="true">IF($H601="","",IF(ISNUMBER($H601),$H601-TODAY(),""))</f>
        <v/>
      </c>
      <c r="J601" s="4" t="str">
        <f aca="true">IF($D601="Manual Review","Manual Review",IF($G601="","No Data",IF(NOT(ISNUMBER($H601)),"N/A",IF($H601&lt;TODAY(),"Overdue",IF($H601&lt;=TODAY()+30,"Due within 1 Month",IF($H601&lt;=TODAY()+60,"Due within 2 Months","OK"))))))</f>
        <v>No Data</v>
      </c>
      <c r="K601" s="13"/>
    </row>
    <row r="602" customFormat="false" ht="15" hidden="false" customHeight="false" outlineLevel="0" collapsed="false">
      <c r="A602" s="9" t="str">
        <f aca="false">Vessels!B10</f>
        <v>Vessel 06</v>
      </c>
      <c r="B602" s="9" t="s">
        <v>42</v>
      </c>
      <c r="C602" s="7" t="s">
        <v>78</v>
      </c>
      <c r="D602" s="9" t="s">
        <v>59</v>
      </c>
      <c r="E602" s="9" t="s">
        <v>58</v>
      </c>
      <c r="F602" s="5"/>
      <c r="G602" s="10"/>
      <c r="H602" s="11" t="str">
        <f aca="false">IFERROR(IF($D602="Manual Review","",IF($G602="","",IF($D602="Direct Expiry",$G602,EDATE($G602,$F602)))),"Check Date")</f>
        <v/>
      </c>
      <c r="I602" s="12" t="str">
        <f aca="true">IF($H602="","",IF(ISNUMBER($H602),$H602-TODAY(),""))</f>
        <v/>
      </c>
      <c r="J602" s="4" t="str">
        <f aca="true">IF($D602="Manual Review","Manual Review",IF($G602="","No Data",IF(NOT(ISNUMBER($H602)),"N/A",IF($H602&lt;TODAY(),"Overdue",IF($H602&lt;=TODAY()+30,"Due within 1 Month",IF($H602&lt;=TODAY()+60,"Due within 2 Months","OK"))))))</f>
        <v>No Data</v>
      </c>
      <c r="K602" s="13"/>
    </row>
    <row r="603" customFormat="false" ht="15" hidden="false" customHeight="false" outlineLevel="0" collapsed="false">
      <c r="A603" s="9" t="str">
        <f aca="false">Vessels!B10</f>
        <v>Vessel 06</v>
      </c>
      <c r="B603" s="9" t="s">
        <v>42</v>
      </c>
      <c r="C603" s="7" t="s">
        <v>79</v>
      </c>
      <c r="D603" s="9" t="s">
        <v>45</v>
      </c>
      <c r="E603" s="9" t="s">
        <v>44</v>
      </c>
      <c r="F603" s="5" t="n">
        <v>12</v>
      </c>
      <c r="G603" s="10"/>
      <c r="H603" s="11" t="str">
        <f aca="false">IFERROR(IF($D603="Manual Review","",IF($G603="","",IF($D603="Direct Expiry",$G603,EDATE($G603,$F603)))),"Check Date")</f>
        <v/>
      </c>
      <c r="I603" s="12" t="str">
        <f aca="true">IF($H603="","",IF(ISNUMBER($H603),$H603-TODAY(),""))</f>
        <v/>
      </c>
      <c r="J603" s="4" t="str">
        <f aca="true">IF($D603="Manual Review","Manual Review",IF($G603="","No Data",IF(NOT(ISNUMBER($H603)),"N/A",IF($H603&lt;TODAY(),"Overdue",IF($H603&lt;=TODAY()+30,"Due within 1 Month",IF($H603&lt;=TODAY()+60,"Due within 2 Months","OK"))))))</f>
        <v>No Data</v>
      </c>
      <c r="K603" s="13"/>
    </row>
    <row r="604" customFormat="false" ht="15" hidden="false" customHeight="false" outlineLevel="0" collapsed="false">
      <c r="A604" s="9" t="str">
        <f aca="false">Vessels!B10</f>
        <v>Vessel 06</v>
      </c>
      <c r="B604" s="9" t="s">
        <v>42</v>
      </c>
      <c r="C604" s="7" t="s">
        <v>80</v>
      </c>
      <c r="D604" s="9" t="s">
        <v>45</v>
      </c>
      <c r="E604" s="9" t="s">
        <v>81</v>
      </c>
      <c r="F604" s="5" t="n">
        <v>36</v>
      </c>
      <c r="G604" s="10"/>
      <c r="H604" s="11" t="str">
        <f aca="false">IFERROR(IF($D604="Manual Review","",IF($G604="","",IF($D604="Direct Expiry",$G604,EDATE($G604,$F604)))),"Check Date")</f>
        <v/>
      </c>
      <c r="I604" s="12" t="str">
        <f aca="true">IF($H604="","",IF(ISNUMBER($H604),$H604-TODAY(),""))</f>
        <v/>
      </c>
      <c r="J604" s="4" t="str">
        <f aca="true">IF($D604="Manual Review","Manual Review",IF($G604="","No Data",IF(NOT(ISNUMBER($H604)),"N/A",IF($H604&lt;TODAY(),"Overdue",IF($H604&lt;=TODAY()+30,"Due within 1 Month",IF($H604&lt;=TODAY()+60,"Due within 2 Months","OK"))))))</f>
        <v>No Data</v>
      </c>
      <c r="K604" s="13"/>
    </row>
    <row r="605" customFormat="false" ht="15" hidden="false" customHeight="false" outlineLevel="0" collapsed="false">
      <c r="A605" s="9" t="str">
        <f aca="false">Vessels!B10</f>
        <v>Vessel 06</v>
      </c>
      <c r="B605" s="9" t="s">
        <v>42</v>
      </c>
      <c r="C605" s="7" t="s">
        <v>80</v>
      </c>
      <c r="D605" s="9" t="s">
        <v>45</v>
      </c>
      <c r="E605" s="9" t="s">
        <v>82</v>
      </c>
      <c r="F605" s="5" t="n">
        <v>24</v>
      </c>
      <c r="G605" s="10"/>
      <c r="H605" s="11" t="str">
        <f aca="false">IFERROR(IF($D605="Manual Review","",IF($G605="","",IF($D605="Direct Expiry",$G605,EDATE($G605,$F605)))),"Check Date")</f>
        <v/>
      </c>
      <c r="I605" s="12" t="str">
        <f aca="true">IF($H605="","",IF(ISNUMBER($H605),$H605-TODAY(),""))</f>
        <v/>
      </c>
      <c r="J605" s="4" t="str">
        <f aca="true">IF($D605="Manual Review","Manual Review",IF($G605="","No Data",IF(NOT(ISNUMBER($H605)),"N/A",IF($H605&lt;TODAY(),"Overdue",IF($H605&lt;=TODAY()+30,"Due within 1 Month",IF($H605&lt;=TODAY()+60,"Due within 2 Months","OK"))))))</f>
        <v>No Data</v>
      </c>
      <c r="K605" s="13"/>
    </row>
    <row r="606" customFormat="false" ht="15" hidden="false" customHeight="false" outlineLevel="0" collapsed="false">
      <c r="A606" s="9" t="str">
        <f aca="false">Vessels!B10</f>
        <v>Vessel 06</v>
      </c>
      <c r="B606" s="9" t="s">
        <v>42</v>
      </c>
      <c r="C606" s="7" t="s">
        <v>83</v>
      </c>
      <c r="D606" s="9" t="s">
        <v>45</v>
      </c>
      <c r="E606" s="9" t="s">
        <v>44</v>
      </c>
      <c r="F606" s="5" t="n">
        <v>12</v>
      </c>
      <c r="G606" s="10"/>
      <c r="H606" s="11" t="str">
        <f aca="false">IFERROR(IF($D606="Manual Review","",IF($G606="","",IF($D606="Direct Expiry",$G606,EDATE($G606,$F606)))),"Check Date")</f>
        <v/>
      </c>
      <c r="I606" s="12" t="str">
        <f aca="true">IF($H606="","",IF(ISNUMBER($H606),$H606-TODAY(),""))</f>
        <v/>
      </c>
      <c r="J606" s="4" t="str">
        <f aca="true">IF($D606="Manual Review","Manual Review",IF($G606="","No Data",IF(NOT(ISNUMBER($H606)),"N/A",IF($H606&lt;TODAY(),"Overdue",IF($H606&lt;=TODAY()+30,"Due within 1 Month",IF($H606&lt;=TODAY()+60,"Due within 2 Months","OK"))))))</f>
        <v>No Data</v>
      </c>
      <c r="K606" s="13"/>
    </row>
    <row r="607" customFormat="false" ht="15" hidden="false" customHeight="false" outlineLevel="0" collapsed="false">
      <c r="A607" s="9" t="str">
        <f aca="false">Vessels!B10</f>
        <v>Vessel 06</v>
      </c>
      <c r="B607" s="9" t="s">
        <v>42</v>
      </c>
      <c r="C607" s="7" t="s">
        <v>83</v>
      </c>
      <c r="D607" s="9" t="s">
        <v>45</v>
      </c>
      <c r="E607" s="9" t="s">
        <v>84</v>
      </c>
      <c r="F607" s="5" t="n">
        <v>60</v>
      </c>
      <c r="G607" s="10"/>
      <c r="H607" s="11" t="str">
        <f aca="false">IFERROR(IF($D607="Manual Review","",IF($G607="","",IF($D607="Direct Expiry",$G607,EDATE($G607,$F607)))),"Check Date")</f>
        <v/>
      </c>
      <c r="I607" s="12" t="str">
        <f aca="true">IF($H607="","",IF(ISNUMBER($H607),$H607-TODAY(),""))</f>
        <v/>
      </c>
      <c r="J607" s="4" t="str">
        <f aca="true">IF($D607="Manual Review","Manual Review",IF($G607="","No Data",IF(NOT(ISNUMBER($H607)),"N/A",IF($H607&lt;TODAY(),"Overdue",IF($H607&lt;=TODAY()+30,"Due within 1 Month",IF($H607&lt;=TODAY()+60,"Due within 2 Months","OK"))))))</f>
        <v>No Data</v>
      </c>
      <c r="K607" s="13"/>
    </row>
    <row r="608" customFormat="false" ht="15" hidden="false" customHeight="false" outlineLevel="0" collapsed="false">
      <c r="A608" s="9" t="str">
        <f aca="false">Vessels!B10</f>
        <v>Vessel 06</v>
      </c>
      <c r="B608" s="9" t="s">
        <v>42</v>
      </c>
      <c r="C608" s="7" t="s">
        <v>85</v>
      </c>
      <c r="D608" s="9" t="s">
        <v>45</v>
      </c>
      <c r="E608" s="9" t="s">
        <v>44</v>
      </c>
      <c r="F608" s="5" t="n">
        <v>12</v>
      </c>
      <c r="G608" s="10"/>
      <c r="H608" s="11" t="str">
        <f aca="false">IFERROR(IF($D608="Manual Review","",IF($G608="","",IF($D608="Direct Expiry",$G608,EDATE($G608,$F608)))),"Check Date")</f>
        <v/>
      </c>
      <c r="I608" s="12" t="str">
        <f aca="true">IF($H608="","",IF(ISNUMBER($H608),$H608-TODAY(),""))</f>
        <v/>
      </c>
      <c r="J608" s="4" t="str">
        <f aca="true">IF($D608="Manual Review","Manual Review",IF($G608="","No Data",IF(NOT(ISNUMBER($H608)),"N/A",IF($H608&lt;TODAY(),"Overdue",IF($H608&lt;=TODAY()+30,"Due within 1 Month",IF($H608&lt;=TODAY()+60,"Due within 2 Months","OK"))))))</f>
        <v>No Data</v>
      </c>
      <c r="K608" s="13"/>
    </row>
    <row r="609" customFormat="false" ht="15" hidden="false" customHeight="false" outlineLevel="0" collapsed="false">
      <c r="A609" s="9" t="str">
        <f aca="false">Vessels!B10</f>
        <v>Vessel 06</v>
      </c>
      <c r="B609" s="9" t="s">
        <v>42</v>
      </c>
      <c r="C609" s="7" t="s">
        <v>85</v>
      </c>
      <c r="D609" s="9" t="s">
        <v>45</v>
      </c>
      <c r="E609" s="9" t="s">
        <v>84</v>
      </c>
      <c r="F609" s="5" t="n">
        <v>60</v>
      </c>
      <c r="G609" s="10"/>
      <c r="H609" s="11" t="str">
        <f aca="false">IFERROR(IF($D609="Manual Review","",IF($G609="","",IF($D609="Direct Expiry",$G609,EDATE($G609,$F609)))),"Check Date")</f>
        <v/>
      </c>
      <c r="I609" s="12" t="str">
        <f aca="true">IF($H609="","",IF(ISNUMBER($H609),$H609-TODAY(),""))</f>
        <v/>
      </c>
      <c r="J609" s="4" t="str">
        <f aca="true">IF($D609="Manual Review","Manual Review",IF($G609="","No Data",IF(NOT(ISNUMBER($H609)),"N/A",IF($H609&lt;TODAY(),"Overdue",IF($H609&lt;=TODAY()+30,"Due within 1 Month",IF($H609&lt;=TODAY()+60,"Due within 2 Months","OK"))))))</f>
        <v>No Data</v>
      </c>
      <c r="K609" s="13"/>
    </row>
    <row r="610" customFormat="false" ht="15" hidden="false" customHeight="false" outlineLevel="0" collapsed="false">
      <c r="A610" s="9" t="str">
        <f aca="false">Vessels!B10</f>
        <v>Vessel 06</v>
      </c>
      <c r="B610" s="9" t="s">
        <v>42</v>
      </c>
      <c r="C610" s="7" t="s">
        <v>86</v>
      </c>
      <c r="D610" s="9" t="s">
        <v>45</v>
      </c>
      <c r="E610" s="9" t="s">
        <v>44</v>
      </c>
      <c r="F610" s="5" t="n">
        <v>12</v>
      </c>
      <c r="G610" s="10"/>
      <c r="H610" s="11" t="str">
        <f aca="false">IFERROR(IF($D610="Manual Review","",IF($G610="","",IF($D610="Direct Expiry",$G610,EDATE($G610,$F610)))),"Check Date")</f>
        <v/>
      </c>
      <c r="I610" s="12" t="str">
        <f aca="true">IF($H610="","",IF(ISNUMBER($H610),$H610-TODAY(),""))</f>
        <v/>
      </c>
      <c r="J610" s="4" t="str">
        <f aca="true">IF($D610="Manual Review","Manual Review",IF($G610="","No Data",IF(NOT(ISNUMBER($H610)),"N/A",IF($H610&lt;TODAY(),"Overdue",IF($H610&lt;=TODAY()+30,"Due within 1 Month",IF($H610&lt;=TODAY()+60,"Due within 2 Months","OK"))))))</f>
        <v>No Data</v>
      </c>
      <c r="K610" s="13"/>
    </row>
    <row r="611" customFormat="false" ht="15" hidden="false" customHeight="false" outlineLevel="0" collapsed="false">
      <c r="A611" s="9" t="str">
        <f aca="false">Vessels!B10</f>
        <v>Vessel 06</v>
      </c>
      <c r="B611" s="9" t="s">
        <v>42</v>
      </c>
      <c r="C611" s="7" t="s">
        <v>87</v>
      </c>
      <c r="D611" s="9" t="s">
        <v>45</v>
      </c>
      <c r="E611" s="9" t="s">
        <v>44</v>
      </c>
      <c r="F611" s="5" t="n">
        <v>12</v>
      </c>
      <c r="G611" s="10"/>
      <c r="H611" s="11" t="str">
        <f aca="false">IFERROR(IF($D611="Manual Review","",IF($G611="","",IF($D611="Direct Expiry",$G611,EDATE($G611,$F611)))),"Check Date")</f>
        <v/>
      </c>
      <c r="I611" s="12" t="str">
        <f aca="true">IF($H611="","",IF(ISNUMBER($H611),$H611-TODAY(),""))</f>
        <v/>
      </c>
      <c r="J611" s="4" t="str">
        <f aca="true">IF($D611="Manual Review","Manual Review",IF($G611="","No Data",IF(NOT(ISNUMBER($H611)),"N/A",IF($H611&lt;TODAY(),"Overdue",IF($H611&lt;=TODAY()+30,"Due within 1 Month",IF($H611&lt;=TODAY()+60,"Due within 2 Months","OK"))))))</f>
        <v>No Data</v>
      </c>
      <c r="K611" s="13"/>
    </row>
    <row r="612" customFormat="false" ht="15" hidden="false" customHeight="false" outlineLevel="0" collapsed="false">
      <c r="A612" s="9" t="str">
        <f aca="false">Vessels!B10</f>
        <v>Vessel 06</v>
      </c>
      <c r="B612" s="9" t="s">
        <v>88</v>
      </c>
      <c r="C612" s="7" t="s">
        <v>89</v>
      </c>
      <c r="D612" s="9" t="s">
        <v>45</v>
      </c>
      <c r="E612" s="9" t="s">
        <v>90</v>
      </c>
      <c r="F612" s="5" t="n">
        <v>36</v>
      </c>
      <c r="G612" s="10"/>
      <c r="H612" s="11" t="str">
        <f aca="false">IFERROR(IF($D612="Manual Review","",IF($G612="","",IF($D612="Direct Expiry",$G612,EDATE($G612,$F612)))),"Check Date")</f>
        <v/>
      </c>
      <c r="I612" s="12" t="str">
        <f aca="true">IF($H612="","",IF(ISNUMBER($H612),$H612-TODAY(),""))</f>
        <v/>
      </c>
      <c r="J612" s="4" t="str">
        <f aca="true">IF($D612="Manual Review","Manual Review",IF($G612="","No Data",IF(NOT(ISNUMBER($H612)),"N/A",IF($H612&lt;TODAY(),"Overdue",IF($H612&lt;=TODAY()+30,"Due within 1 Month",IF($H612&lt;=TODAY()+60,"Due within 2 Months","OK"))))))</f>
        <v>No Data</v>
      </c>
      <c r="K612" s="13"/>
    </row>
    <row r="613" customFormat="false" ht="15" hidden="false" customHeight="false" outlineLevel="0" collapsed="false">
      <c r="A613" s="9" t="str">
        <f aca="false">Vessels!B10</f>
        <v>Vessel 06</v>
      </c>
      <c r="B613" s="9" t="s">
        <v>88</v>
      </c>
      <c r="C613" s="7" t="s">
        <v>91</v>
      </c>
      <c r="D613" s="9" t="s">
        <v>45</v>
      </c>
      <c r="E613" s="9" t="s">
        <v>44</v>
      </c>
      <c r="F613" s="5" t="n">
        <v>12</v>
      </c>
      <c r="G613" s="10"/>
      <c r="H613" s="11" t="str">
        <f aca="false">IFERROR(IF($D613="Manual Review","",IF($G613="","",IF($D613="Direct Expiry",$G613,EDATE($G613,$F613)))),"Check Date")</f>
        <v/>
      </c>
      <c r="I613" s="12" t="str">
        <f aca="true">IF($H613="","",IF(ISNUMBER($H613),$H613-TODAY(),""))</f>
        <v/>
      </c>
      <c r="J613" s="4" t="str">
        <f aca="true">IF($D613="Manual Review","Manual Review",IF($G613="","No Data",IF(NOT(ISNUMBER($H613)),"N/A",IF($H613&lt;TODAY(),"Overdue",IF($H613&lt;=TODAY()+30,"Due within 1 Month",IF($H613&lt;=TODAY()+60,"Due within 2 Months","OK"))))))</f>
        <v>No Data</v>
      </c>
      <c r="K613" s="13"/>
    </row>
    <row r="614" customFormat="false" ht="15" hidden="false" customHeight="false" outlineLevel="0" collapsed="false">
      <c r="A614" s="9" t="str">
        <f aca="false">Vessels!B10</f>
        <v>Vessel 06</v>
      </c>
      <c r="B614" s="9" t="s">
        <v>88</v>
      </c>
      <c r="C614" s="7" t="s">
        <v>91</v>
      </c>
      <c r="D614" s="9" t="s">
        <v>45</v>
      </c>
      <c r="E614" s="9" t="s">
        <v>92</v>
      </c>
      <c r="F614" s="5" t="n">
        <v>120</v>
      </c>
      <c r="G614" s="10"/>
      <c r="H614" s="11" t="str">
        <f aca="false">IFERROR(IF($D614="Manual Review","",IF($G614="","",IF($D614="Direct Expiry",$G614,EDATE($G614,$F614)))),"Check Date")</f>
        <v/>
      </c>
      <c r="I614" s="12" t="str">
        <f aca="true">IF($H614="","",IF(ISNUMBER($H614),$H614-TODAY(),""))</f>
        <v/>
      </c>
      <c r="J614" s="4" t="str">
        <f aca="true">IF($D614="Manual Review","Manual Review",IF($G614="","No Data",IF(NOT(ISNUMBER($H614)),"N/A",IF($H614&lt;TODAY(),"Overdue",IF($H614&lt;=TODAY()+30,"Due within 1 Month",IF($H614&lt;=TODAY()+60,"Due within 2 Months","OK"))))))</f>
        <v>No Data</v>
      </c>
      <c r="K614" s="13"/>
    </row>
    <row r="615" customFormat="false" ht="15" hidden="false" customHeight="false" outlineLevel="0" collapsed="false">
      <c r="A615" s="9" t="str">
        <f aca="false">Vessels!B10</f>
        <v>Vessel 06</v>
      </c>
      <c r="B615" s="9" t="s">
        <v>88</v>
      </c>
      <c r="C615" s="7" t="s">
        <v>93</v>
      </c>
      <c r="D615" s="9" t="s">
        <v>45</v>
      </c>
      <c r="E615" s="9" t="s">
        <v>44</v>
      </c>
      <c r="F615" s="5" t="n">
        <v>12</v>
      </c>
      <c r="G615" s="10"/>
      <c r="H615" s="11" t="str">
        <f aca="false">IFERROR(IF($D615="Manual Review","",IF($G615="","",IF($D615="Direct Expiry",$G615,EDATE($G615,$F615)))),"Check Date")</f>
        <v/>
      </c>
      <c r="I615" s="12" t="str">
        <f aca="true">IF($H615="","",IF(ISNUMBER($H615),$H615-TODAY(),""))</f>
        <v/>
      </c>
      <c r="J615" s="4" t="str">
        <f aca="true">IF($D615="Manual Review","Manual Review",IF($G615="","No Data",IF(NOT(ISNUMBER($H615)),"N/A",IF($H615&lt;TODAY(),"Overdue",IF($H615&lt;=TODAY()+30,"Due within 1 Month",IF($H615&lt;=TODAY()+60,"Due within 2 Months","OK"))))))</f>
        <v>No Data</v>
      </c>
      <c r="K615" s="13"/>
    </row>
    <row r="616" customFormat="false" ht="15" hidden="false" customHeight="false" outlineLevel="0" collapsed="false">
      <c r="A616" s="9" t="str">
        <f aca="false">Vessels!B10</f>
        <v>Vessel 06</v>
      </c>
      <c r="B616" s="9" t="s">
        <v>88</v>
      </c>
      <c r="C616" s="7" t="s">
        <v>93</v>
      </c>
      <c r="D616" s="9" t="s">
        <v>45</v>
      </c>
      <c r="E616" s="9" t="s">
        <v>92</v>
      </c>
      <c r="F616" s="5" t="n">
        <v>120</v>
      </c>
      <c r="G616" s="10"/>
      <c r="H616" s="11" t="str">
        <f aca="false">IFERROR(IF($D616="Manual Review","",IF($G616="","",IF($D616="Direct Expiry",$G616,EDATE($G616,$F616)))),"Check Date")</f>
        <v/>
      </c>
      <c r="I616" s="12" t="str">
        <f aca="true">IF($H616="","",IF(ISNUMBER($H616),$H616-TODAY(),""))</f>
        <v/>
      </c>
      <c r="J616" s="4" t="str">
        <f aca="true">IF($D616="Manual Review","Manual Review",IF($G616="","No Data",IF(NOT(ISNUMBER($H616)),"N/A",IF($H616&lt;TODAY(),"Overdue",IF($H616&lt;=TODAY()+30,"Due within 1 Month",IF($H616&lt;=TODAY()+60,"Due within 2 Months","OK"))))))</f>
        <v>No Data</v>
      </c>
      <c r="K616" s="13"/>
    </row>
    <row r="617" customFormat="false" ht="15" hidden="false" customHeight="false" outlineLevel="0" collapsed="false">
      <c r="A617" s="9" t="str">
        <f aca="false">Vessels!B10</f>
        <v>Vessel 06</v>
      </c>
      <c r="B617" s="9" t="s">
        <v>88</v>
      </c>
      <c r="C617" s="7" t="s">
        <v>94</v>
      </c>
      <c r="D617" s="9" t="s">
        <v>45</v>
      </c>
      <c r="E617" s="9" t="s">
        <v>44</v>
      </c>
      <c r="F617" s="5" t="n">
        <v>12</v>
      </c>
      <c r="G617" s="10"/>
      <c r="H617" s="11" t="str">
        <f aca="false">IFERROR(IF($D617="Manual Review","",IF($G617="","",IF($D617="Direct Expiry",$G617,EDATE($G617,$F617)))),"Check Date")</f>
        <v/>
      </c>
      <c r="I617" s="12" t="str">
        <f aca="true">IF($H617="","",IF(ISNUMBER($H617),$H617-TODAY(),""))</f>
        <v/>
      </c>
      <c r="J617" s="4" t="str">
        <f aca="true">IF($D617="Manual Review","Manual Review",IF($G617="","No Data",IF(NOT(ISNUMBER($H617)),"N/A",IF($H617&lt;TODAY(),"Overdue",IF($H617&lt;=TODAY()+30,"Due within 1 Month",IF($H617&lt;=TODAY()+60,"Due within 2 Months","OK"))))))</f>
        <v>No Data</v>
      </c>
      <c r="K617" s="13"/>
    </row>
    <row r="618" customFormat="false" ht="15" hidden="false" customHeight="false" outlineLevel="0" collapsed="false">
      <c r="A618" s="9" t="str">
        <f aca="false">Vessels!B10</f>
        <v>Vessel 06</v>
      </c>
      <c r="B618" s="9" t="s">
        <v>88</v>
      </c>
      <c r="C618" s="7" t="s">
        <v>94</v>
      </c>
      <c r="D618" s="9" t="s">
        <v>45</v>
      </c>
      <c r="E618" s="9" t="s">
        <v>92</v>
      </c>
      <c r="F618" s="5" t="n">
        <v>120</v>
      </c>
      <c r="G618" s="10"/>
      <c r="H618" s="11" t="str">
        <f aca="false">IFERROR(IF($D618="Manual Review","",IF($G618="","",IF($D618="Direct Expiry",$G618,EDATE($G618,$F618)))),"Check Date")</f>
        <v/>
      </c>
      <c r="I618" s="12" t="str">
        <f aca="true">IF($H618="","",IF(ISNUMBER($H618),$H618-TODAY(),""))</f>
        <v/>
      </c>
      <c r="J618" s="4" t="str">
        <f aca="true">IF($D618="Manual Review","Manual Review",IF($G618="","No Data",IF(NOT(ISNUMBER($H618)),"N/A",IF($H618&lt;TODAY(),"Overdue",IF($H618&lt;=TODAY()+30,"Due within 1 Month",IF($H618&lt;=TODAY()+60,"Due within 2 Months","OK"))))))</f>
        <v>No Data</v>
      </c>
      <c r="K618" s="13"/>
    </row>
    <row r="619" customFormat="false" ht="15" hidden="false" customHeight="false" outlineLevel="0" collapsed="false">
      <c r="A619" s="9" t="str">
        <f aca="false">Vessels!B10</f>
        <v>Vessel 06</v>
      </c>
      <c r="B619" s="9" t="s">
        <v>88</v>
      </c>
      <c r="C619" s="7" t="s">
        <v>95</v>
      </c>
      <c r="D619" s="9" t="s">
        <v>45</v>
      </c>
      <c r="E619" s="9" t="s">
        <v>44</v>
      </c>
      <c r="F619" s="5" t="n">
        <v>12</v>
      </c>
      <c r="G619" s="10"/>
      <c r="H619" s="11" t="str">
        <f aca="false">IFERROR(IF($D619="Manual Review","",IF($G619="","",IF($D619="Direct Expiry",$G619,EDATE($G619,$F619)))),"Check Date")</f>
        <v/>
      </c>
      <c r="I619" s="12" t="str">
        <f aca="true">IF($H619="","",IF(ISNUMBER($H619),$H619-TODAY(),""))</f>
        <v/>
      </c>
      <c r="J619" s="4" t="str">
        <f aca="true">IF($D619="Manual Review","Manual Review",IF($G619="","No Data",IF(NOT(ISNUMBER($H619)),"N/A",IF($H619&lt;TODAY(),"Overdue",IF($H619&lt;=TODAY()+30,"Due within 1 Month",IF($H619&lt;=TODAY()+60,"Due within 2 Months","OK"))))))</f>
        <v>No Data</v>
      </c>
      <c r="K619" s="13"/>
    </row>
    <row r="620" customFormat="false" ht="15" hidden="false" customHeight="false" outlineLevel="0" collapsed="false">
      <c r="A620" s="9" t="str">
        <f aca="false">Vessels!B10</f>
        <v>Vessel 06</v>
      </c>
      <c r="B620" s="9" t="s">
        <v>88</v>
      </c>
      <c r="C620" s="7" t="s">
        <v>95</v>
      </c>
      <c r="D620" s="9" t="s">
        <v>45</v>
      </c>
      <c r="E620" s="9" t="s">
        <v>92</v>
      </c>
      <c r="F620" s="5" t="n">
        <v>120</v>
      </c>
      <c r="G620" s="10"/>
      <c r="H620" s="11" t="str">
        <f aca="false">IFERROR(IF($D620="Manual Review","",IF($G620="","",IF($D620="Direct Expiry",$G620,EDATE($G620,$F620)))),"Check Date")</f>
        <v/>
      </c>
      <c r="I620" s="12" t="str">
        <f aca="true">IF($H620="","",IF(ISNUMBER($H620),$H620-TODAY(),""))</f>
        <v/>
      </c>
      <c r="J620" s="4" t="str">
        <f aca="true">IF($D620="Manual Review","Manual Review",IF($G620="","No Data",IF(NOT(ISNUMBER($H620)),"N/A",IF($H620&lt;TODAY(),"Overdue",IF($H620&lt;=TODAY()+30,"Due within 1 Month",IF($H620&lt;=TODAY()+60,"Due within 2 Months","OK"))))))</f>
        <v>No Data</v>
      </c>
      <c r="K620" s="13"/>
    </row>
    <row r="621" customFormat="false" ht="15" hidden="false" customHeight="false" outlineLevel="0" collapsed="false">
      <c r="A621" s="9" t="str">
        <f aca="false">Vessels!B10</f>
        <v>Vessel 06</v>
      </c>
      <c r="B621" s="9" t="s">
        <v>88</v>
      </c>
      <c r="C621" s="7" t="s">
        <v>96</v>
      </c>
      <c r="D621" s="9" t="s">
        <v>45</v>
      </c>
      <c r="E621" s="9" t="s">
        <v>44</v>
      </c>
      <c r="F621" s="5" t="n">
        <v>12</v>
      </c>
      <c r="G621" s="10"/>
      <c r="H621" s="11" t="str">
        <f aca="false">IFERROR(IF($D621="Manual Review","",IF($G621="","",IF($D621="Direct Expiry",$G621,EDATE($G621,$F621)))),"Check Date")</f>
        <v/>
      </c>
      <c r="I621" s="12" t="str">
        <f aca="true">IF($H621="","",IF(ISNUMBER($H621),$H621-TODAY(),""))</f>
        <v/>
      </c>
      <c r="J621" s="4" t="str">
        <f aca="true">IF($D621="Manual Review","Manual Review",IF($G621="","No Data",IF(NOT(ISNUMBER($H621)),"N/A",IF($H621&lt;TODAY(),"Overdue",IF($H621&lt;=TODAY()+30,"Due within 1 Month",IF($H621&lt;=TODAY()+60,"Due within 2 Months","OK"))))))</f>
        <v>No Data</v>
      </c>
      <c r="K621" s="13"/>
    </row>
    <row r="622" customFormat="false" ht="15" hidden="false" customHeight="false" outlineLevel="0" collapsed="false">
      <c r="A622" s="9" t="str">
        <f aca="false">Vessels!B10</f>
        <v>Vessel 06</v>
      </c>
      <c r="B622" s="9" t="s">
        <v>88</v>
      </c>
      <c r="C622" s="7" t="s">
        <v>96</v>
      </c>
      <c r="D622" s="9" t="s">
        <v>45</v>
      </c>
      <c r="E622" s="9" t="s">
        <v>97</v>
      </c>
      <c r="F622" s="5" t="n">
        <v>120</v>
      </c>
      <c r="G622" s="10"/>
      <c r="H622" s="11" t="str">
        <f aca="false">IFERROR(IF($D622="Manual Review","",IF($G622="","",IF($D622="Direct Expiry",$G622,EDATE($G622,$F622)))),"Check Date")</f>
        <v/>
      </c>
      <c r="I622" s="12" t="str">
        <f aca="true">IF($H622="","",IF(ISNUMBER($H622),$H622-TODAY(),""))</f>
        <v/>
      </c>
      <c r="J622" s="4" t="str">
        <f aca="true">IF($D622="Manual Review","Manual Review",IF($G622="","No Data",IF(NOT(ISNUMBER($H622)),"N/A",IF($H622&lt;TODAY(),"Overdue",IF($H622&lt;=TODAY()+30,"Due within 1 Month",IF($H622&lt;=TODAY()+60,"Due within 2 Months","OK"))))))</f>
        <v>No Data</v>
      </c>
      <c r="K622" s="13"/>
    </row>
    <row r="623" customFormat="false" ht="15" hidden="false" customHeight="false" outlineLevel="0" collapsed="false">
      <c r="A623" s="9" t="str">
        <f aca="false">Vessels!B10</f>
        <v>Vessel 06</v>
      </c>
      <c r="B623" s="9" t="s">
        <v>88</v>
      </c>
      <c r="C623" s="7" t="s">
        <v>98</v>
      </c>
      <c r="D623" s="9" t="s">
        <v>45</v>
      </c>
      <c r="E623" s="9" t="s">
        <v>44</v>
      </c>
      <c r="F623" s="5" t="n">
        <v>12</v>
      </c>
      <c r="G623" s="10"/>
      <c r="H623" s="11" t="str">
        <f aca="false">IFERROR(IF($D623="Manual Review","",IF($G623="","",IF($D623="Direct Expiry",$G623,EDATE($G623,$F623)))),"Check Date")</f>
        <v/>
      </c>
      <c r="I623" s="12" t="str">
        <f aca="true">IF($H623="","",IF(ISNUMBER($H623),$H623-TODAY(),""))</f>
        <v/>
      </c>
      <c r="J623" s="4" t="str">
        <f aca="true">IF($D623="Manual Review","Manual Review",IF($G623="","No Data",IF(NOT(ISNUMBER($H623)),"N/A",IF($H623&lt;TODAY(),"Overdue",IF($H623&lt;=TODAY()+30,"Due within 1 Month",IF($H623&lt;=TODAY()+60,"Due within 2 Months","OK"))))))</f>
        <v>No Data</v>
      </c>
      <c r="K623" s="13"/>
    </row>
    <row r="624" customFormat="false" ht="15" hidden="false" customHeight="false" outlineLevel="0" collapsed="false">
      <c r="A624" s="9" t="str">
        <f aca="false">Vessels!B10</f>
        <v>Vessel 06</v>
      </c>
      <c r="B624" s="9" t="s">
        <v>88</v>
      </c>
      <c r="C624" s="7" t="s">
        <v>98</v>
      </c>
      <c r="D624" s="9" t="s">
        <v>45</v>
      </c>
      <c r="E624" s="9" t="s">
        <v>99</v>
      </c>
      <c r="F624" s="5" t="n">
        <v>60</v>
      </c>
      <c r="G624" s="10"/>
      <c r="H624" s="11" t="str">
        <f aca="false">IFERROR(IF($D624="Manual Review","",IF($G624="","",IF($D624="Direct Expiry",$G624,EDATE($G624,$F624)))),"Check Date")</f>
        <v/>
      </c>
      <c r="I624" s="12" t="str">
        <f aca="true">IF($H624="","",IF(ISNUMBER($H624),$H624-TODAY(),""))</f>
        <v/>
      </c>
      <c r="J624" s="4" t="str">
        <f aca="true">IF($D624="Manual Review","Manual Review",IF($G624="","No Data",IF(NOT(ISNUMBER($H624)),"N/A",IF($H624&lt;TODAY(),"Overdue",IF($H624&lt;=TODAY()+30,"Due within 1 Month",IF($H624&lt;=TODAY()+60,"Due within 2 Months","OK"))))))</f>
        <v>No Data</v>
      </c>
      <c r="K624" s="13"/>
    </row>
    <row r="625" customFormat="false" ht="15" hidden="false" customHeight="false" outlineLevel="0" collapsed="false">
      <c r="A625" s="9" t="str">
        <f aca="false">Vessels!B10</f>
        <v>Vessel 06</v>
      </c>
      <c r="B625" s="9" t="s">
        <v>88</v>
      </c>
      <c r="C625" s="7" t="s">
        <v>100</v>
      </c>
      <c r="D625" s="9" t="s">
        <v>45</v>
      </c>
      <c r="E625" s="9" t="s">
        <v>44</v>
      </c>
      <c r="F625" s="5" t="n">
        <v>12</v>
      </c>
      <c r="G625" s="10"/>
      <c r="H625" s="11" t="str">
        <f aca="false">IFERROR(IF($D625="Manual Review","",IF($G625="","",IF($D625="Direct Expiry",$G625,EDATE($G625,$F625)))),"Check Date")</f>
        <v/>
      </c>
      <c r="I625" s="12" t="str">
        <f aca="true">IF($H625="","",IF(ISNUMBER($H625),$H625-TODAY(),""))</f>
        <v/>
      </c>
      <c r="J625" s="4" t="str">
        <f aca="true">IF($D625="Manual Review","Manual Review",IF($G625="","No Data",IF(NOT(ISNUMBER($H625)),"N/A",IF($H625&lt;TODAY(),"Overdue",IF($H625&lt;=TODAY()+30,"Due within 1 Month",IF($H625&lt;=TODAY()+60,"Due within 2 Months","OK"))))))</f>
        <v>No Data</v>
      </c>
      <c r="K625" s="13"/>
    </row>
    <row r="626" customFormat="false" ht="15" hidden="false" customHeight="false" outlineLevel="0" collapsed="false">
      <c r="A626" s="9" t="str">
        <f aca="false">Vessels!B10</f>
        <v>Vessel 06</v>
      </c>
      <c r="B626" s="9" t="s">
        <v>88</v>
      </c>
      <c r="C626" s="7" t="s">
        <v>100</v>
      </c>
      <c r="D626" s="9" t="s">
        <v>45</v>
      </c>
      <c r="E626" s="9" t="s">
        <v>99</v>
      </c>
      <c r="F626" s="5" t="n">
        <v>60</v>
      </c>
      <c r="G626" s="10"/>
      <c r="H626" s="11" t="str">
        <f aca="false">IFERROR(IF($D626="Manual Review","",IF($G626="","",IF($D626="Direct Expiry",$G626,EDATE($G626,$F626)))),"Check Date")</f>
        <v/>
      </c>
      <c r="I626" s="12" t="str">
        <f aca="true">IF($H626="","",IF(ISNUMBER($H626),$H626-TODAY(),""))</f>
        <v/>
      </c>
      <c r="J626" s="4" t="str">
        <f aca="true">IF($D626="Manual Review","Manual Review",IF($G626="","No Data",IF(NOT(ISNUMBER($H626)),"N/A",IF($H626&lt;TODAY(),"Overdue",IF($H626&lt;=TODAY()+30,"Due within 1 Month",IF($H626&lt;=TODAY()+60,"Due within 2 Months","OK"))))))</f>
        <v>No Data</v>
      </c>
      <c r="K626" s="13"/>
    </row>
    <row r="627" customFormat="false" ht="15" hidden="false" customHeight="false" outlineLevel="0" collapsed="false">
      <c r="A627" s="9" t="str">
        <f aca="false">Vessels!B10</f>
        <v>Vessel 06</v>
      </c>
      <c r="B627" s="9" t="s">
        <v>88</v>
      </c>
      <c r="C627" s="7" t="s">
        <v>101</v>
      </c>
      <c r="D627" s="9" t="s">
        <v>45</v>
      </c>
      <c r="E627" s="9" t="s">
        <v>44</v>
      </c>
      <c r="F627" s="5" t="n">
        <v>12</v>
      </c>
      <c r="G627" s="10"/>
      <c r="H627" s="11" t="str">
        <f aca="false">IFERROR(IF($D627="Manual Review","",IF($G627="","",IF($D627="Direct Expiry",$G627,EDATE($G627,$F627)))),"Check Date")</f>
        <v/>
      </c>
      <c r="I627" s="12" t="str">
        <f aca="true">IF($H627="","",IF(ISNUMBER($H627),$H627-TODAY(),""))</f>
        <v/>
      </c>
      <c r="J627" s="4" t="str">
        <f aca="true">IF($D627="Manual Review","Manual Review",IF($G627="","No Data",IF(NOT(ISNUMBER($H627)),"N/A",IF($H627&lt;TODAY(),"Overdue",IF($H627&lt;=TODAY()+30,"Due within 1 Month",IF($H627&lt;=TODAY()+60,"Due within 2 Months","OK"))))))</f>
        <v>No Data</v>
      </c>
      <c r="K627" s="13"/>
    </row>
    <row r="628" customFormat="false" ht="23.85" hidden="false" customHeight="false" outlineLevel="0" collapsed="false">
      <c r="A628" s="9" t="str">
        <f aca="false">Vessels!B10</f>
        <v>Vessel 06</v>
      </c>
      <c r="B628" s="9" t="s">
        <v>88</v>
      </c>
      <c r="C628" s="7" t="s">
        <v>102</v>
      </c>
      <c r="D628" s="9" t="s">
        <v>45</v>
      </c>
      <c r="E628" s="9" t="s">
        <v>44</v>
      </c>
      <c r="F628" s="5" t="n">
        <v>12</v>
      </c>
      <c r="G628" s="10"/>
      <c r="H628" s="11" t="str">
        <f aca="false">IFERROR(IF($D628="Manual Review","",IF($G628="","",IF($D628="Direct Expiry",$G628,EDATE($G628,$F628)))),"Check Date")</f>
        <v/>
      </c>
      <c r="I628" s="12" t="str">
        <f aca="true">IF($H628="","",IF(ISNUMBER($H628),$H628-TODAY(),""))</f>
        <v/>
      </c>
      <c r="J628" s="4" t="str">
        <f aca="true">IF($D628="Manual Review","Manual Review",IF($G628="","No Data",IF(NOT(ISNUMBER($H628)),"N/A",IF($H628&lt;TODAY(),"Overdue",IF($H628&lt;=TODAY()+30,"Due within 1 Month",IF($H628&lt;=TODAY()+60,"Due within 2 Months","OK"))))))</f>
        <v>No Data</v>
      </c>
      <c r="K628" s="13"/>
    </row>
    <row r="629" customFormat="false" ht="23.85" hidden="false" customHeight="false" outlineLevel="0" collapsed="false">
      <c r="A629" s="9" t="str">
        <f aca="false">Vessels!B10</f>
        <v>Vessel 06</v>
      </c>
      <c r="B629" s="9" t="s">
        <v>88</v>
      </c>
      <c r="C629" s="7" t="s">
        <v>102</v>
      </c>
      <c r="D629" s="9" t="s">
        <v>45</v>
      </c>
      <c r="E629" s="9" t="s">
        <v>97</v>
      </c>
      <c r="F629" s="5" t="n">
        <v>120</v>
      </c>
      <c r="G629" s="10"/>
      <c r="H629" s="11" t="str">
        <f aca="false">IFERROR(IF($D629="Manual Review","",IF($G629="","",IF($D629="Direct Expiry",$G629,EDATE($G629,$F629)))),"Check Date")</f>
        <v/>
      </c>
      <c r="I629" s="12" t="str">
        <f aca="true">IF($H629="","",IF(ISNUMBER($H629),$H629-TODAY(),""))</f>
        <v/>
      </c>
      <c r="J629" s="4" t="str">
        <f aca="true">IF($D629="Manual Review","Manual Review",IF($G629="","No Data",IF(NOT(ISNUMBER($H629)),"N/A",IF($H629&lt;TODAY(),"Overdue",IF($H629&lt;=TODAY()+30,"Due within 1 Month",IF($H629&lt;=TODAY()+60,"Due within 2 Months","OK"))))))</f>
        <v>No Data</v>
      </c>
      <c r="K629" s="13"/>
    </row>
    <row r="630" customFormat="false" ht="15" hidden="false" customHeight="false" outlineLevel="0" collapsed="false">
      <c r="A630" s="9" t="str">
        <f aca="false">Vessels!B10</f>
        <v>Vessel 06</v>
      </c>
      <c r="B630" s="9" t="s">
        <v>88</v>
      </c>
      <c r="C630" s="7" t="s">
        <v>103</v>
      </c>
      <c r="D630" s="9" t="s">
        <v>45</v>
      </c>
      <c r="E630" s="9" t="s">
        <v>44</v>
      </c>
      <c r="F630" s="5" t="n">
        <v>12</v>
      </c>
      <c r="G630" s="10"/>
      <c r="H630" s="11" t="str">
        <f aca="false">IFERROR(IF($D630="Manual Review","",IF($G630="","",IF($D630="Direct Expiry",$G630,EDATE($G630,$F630)))),"Check Date")</f>
        <v/>
      </c>
      <c r="I630" s="12" t="str">
        <f aca="true">IF($H630="","",IF(ISNUMBER($H630),$H630-TODAY(),""))</f>
        <v/>
      </c>
      <c r="J630" s="4" t="str">
        <f aca="true">IF($D630="Manual Review","Manual Review",IF($G630="","No Data",IF(NOT(ISNUMBER($H630)),"N/A",IF($H630&lt;TODAY(),"Overdue",IF($H630&lt;=TODAY()+30,"Due within 1 Month",IF($H630&lt;=TODAY()+60,"Due within 2 Months","OK"))))))</f>
        <v>No Data</v>
      </c>
      <c r="K630" s="13"/>
    </row>
    <row r="631" customFormat="false" ht="15" hidden="false" customHeight="false" outlineLevel="0" collapsed="false">
      <c r="A631" s="9" t="str">
        <f aca="false">Vessels!B10</f>
        <v>Vessel 06</v>
      </c>
      <c r="B631" s="9" t="s">
        <v>88</v>
      </c>
      <c r="C631" s="7" t="s">
        <v>103</v>
      </c>
      <c r="D631" s="9" t="s">
        <v>45</v>
      </c>
      <c r="E631" s="9" t="s">
        <v>97</v>
      </c>
      <c r="F631" s="5" t="n">
        <v>120</v>
      </c>
      <c r="G631" s="10"/>
      <c r="H631" s="11" t="str">
        <f aca="false">IFERROR(IF($D631="Manual Review","",IF($G631="","",IF($D631="Direct Expiry",$G631,EDATE($G631,$F631)))),"Check Date")</f>
        <v/>
      </c>
      <c r="I631" s="12" t="str">
        <f aca="true">IF($H631="","",IF(ISNUMBER($H631),$H631-TODAY(),""))</f>
        <v/>
      </c>
      <c r="J631" s="4" t="str">
        <f aca="true">IF($D631="Manual Review","Manual Review",IF($G631="","No Data",IF(NOT(ISNUMBER($H631)),"N/A",IF($H631&lt;TODAY(),"Overdue",IF($H631&lt;=TODAY()+30,"Due within 1 Month",IF($H631&lt;=TODAY()+60,"Due within 2 Months","OK"))))))</f>
        <v>No Data</v>
      </c>
      <c r="K631" s="13"/>
    </row>
    <row r="632" customFormat="false" ht="15" hidden="false" customHeight="false" outlineLevel="0" collapsed="false">
      <c r="A632" s="9" t="str">
        <f aca="false">Vessels!B10</f>
        <v>Vessel 06</v>
      </c>
      <c r="B632" s="9" t="s">
        <v>88</v>
      </c>
      <c r="C632" s="7" t="s">
        <v>104</v>
      </c>
      <c r="D632" s="9" t="s">
        <v>45</v>
      </c>
      <c r="E632" s="9" t="s">
        <v>44</v>
      </c>
      <c r="F632" s="5" t="n">
        <v>12</v>
      </c>
      <c r="G632" s="10"/>
      <c r="H632" s="11" t="str">
        <f aca="false">IFERROR(IF($D632="Manual Review","",IF($G632="","",IF($D632="Direct Expiry",$G632,EDATE($G632,$F632)))),"Check Date")</f>
        <v/>
      </c>
      <c r="I632" s="12" t="str">
        <f aca="true">IF($H632="","",IF(ISNUMBER($H632),$H632-TODAY(),""))</f>
        <v/>
      </c>
      <c r="J632" s="4" t="str">
        <f aca="true">IF($D632="Manual Review","Manual Review",IF($G632="","No Data",IF(NOT(ISNUMBER($H632)),"N/A",IF($H632&lt;TODAY(),"Overdue",IF($H632&lt;=TODAY()+30,"Due within 1 Month",IF($H632&lt;=TODAY()+60,"Due within 2 Months","OK"))))))</f>
        <v>No Data</v>
      </c>
      <c r="K632" s="13"/>
    </row>
    <row r="633" customFormat="false" ht="15" hidden="false" customHeight="false" outlineLevel="0" collapsed="false">
      <c r="A633" s="9" t="str">
        <f aca="false">Vessels!B10</f>
        <v>Vessel 06</v>
      </c>
      <c r="B633" s="9" t="s">
        <v>88</v>
      </c>
      <c r="C633" s="7" t="s">
        <v>105</v>
      </c>
      <c r="D633" s="9" t="s">
        <v>45</v>
      </c>
      <c r="E633" s="9" t="s">
        <v>44</v>
      </c>
      <c r="F633" s="5" t="n">
        <v>12</v>
      </c>
      <c r="G633" s="10"/>
      <c r="H633" s="11" t="str">
        <f aca="false">IFERROR(IF($D633="Manual Review","",IF($G633="","",IF($D633="Direct Expiry",$G633,EDATE($G633,$F633)))),"Check Date")</f>
        <v/>
      </c>
      <c r="I633" s="12" t="str">
        <f aca="true">IF($H633="","",IF(ISNUMBER($H633),$H633-TODAY(),""))</f>
        <v/>
      </c>
      <c r="J633" s="4" t="str">
        <f aca="true">IF($D633="Manual Review","Manual Review",IF($G633="","No Data",IF(NOT(ISNUMBER($H633)),"N/A",IF($H633&lt;TODAY(),"Overdue",IF($H633&lt;=TODAY()+30,"Due within 1 Month",IF($H633&lt;=TODAY()+60,"Due within 2 Months","OK"))))))</f>
        <v>No Data</v>
      </c>
      <c r="K633" s="13"/>
    </row>
    <row r="634" customFormat="false" ht="15" hidden="false" customHeight="false" outlineLevel="0" collapsed="false">
      <c r="A634" s="9" t="str">
        <f aca="false">Vessels!B10</f>
        <v>Vessel 06</v>
      </c>
      <c r="B634" s="9" t="s">
        <v>88</v>
      </c>
      <c r="C634" s="7" t="s">
        <v>106</v>
      </c>
      <c r="D634" s="9" t="s">
        <v>45</v>
      </c>
      <c r="E634" s="9" t="s">
        <v>44</v>
      </c>
      <c r="F634" s="5" t="n">
        <v>12</v>
      </c>
      <c r="G634" s="10"/>
      <c r="H634" s="11" t="str">
        <f aca="false">IFERROR(IF($D634="Manual Review","",IF($G634="","",IF($D634="Direct Expiry",$G634,EDATE($G634,$F634)))),"Check Date")</f>
        <v/>
      </c>
      <c r="I634" s="12" t="str">
        <f aca="true">IF($H634="","",IF(ISNUMBER($H634),$H634-TODAY(),""))</f>
        <v/>
      </c>
      <c r="J634" s="4" t="str">
        <f aca="true">IF($D634="Manual Review","Manual Review",IF($G634="","No Data",IF(NOT(ISNUMBER($H634)),"N/A",IF($H634&lt;TODAY(),"Overdue",IF($H634&lt;=TODAY()+30,"Due within 1 Month",IF($H634&lt;=TODAY()+60,"Due within 2 Months","OK"))))))</f>
        <v>No Data</v>
      </c>
      <c r="K634" s="13"/>
    </row>
    <row r="635" customFormat="false" ht="15" hidden="false" customHeight="false" outlineLevel="0" collapsed="false">
      <c r="A635" s="9" t="str">
        <f aca="false">Vessels!B10</f>
        <v>Vessel 06</v>
      </c>
      <c r="B635" s="9" t="s">
        <v>88</v>
      </c>
      <c r="C635" s="7" t="s">
        <v>107</v>
      </c>
      <c r="D635" s="9" t="s">
        <v>45</v>
      </c>
      <c r="E635" s="9" t="s">
        <v>44</v>
      </c>
      <c r="F635" s="5" t="n">
        <v>12</v>
      </c>
      <c r="G635" s="10"/>
      <c r="H635" s="11" t="str">
        <f aca="false">IFERROR(IF($D635="Manual Review","",IF($G635="","",IF($D635="Direct Expiry",$G635,EDATE($G635,$F635)))),"Check Date")</f>
        <v/>
      </c>
      <c r="I635" s="12" t="str">
        <f aca="true">IF($H635="","",IF(ISNUMBER($H635),$H635-TODAY(),""))</f>
        <v/>
      </c>
      <c r="J635" s="4" t="str">
        <f aca="true">IF($D635="Manual Review","Manual Review",IF($G635="","No Data",IF(NOT(ISNUMBER($H635)),"N/A",IF($H635&lt;TODAY(),"Overdue",IF($H635&lt;=TODAY()+30,"Due within 1 Month",IF($H635&lt;=TODAY()+60,"Due within 2 Months","OK"))))))</f>
        <v>No Data</v>
      </c>
      <c r="K635" s="13"/>
    </row>
    <row r="636" customFormat="false" ht="15" hidden="false" customHeight="false" outlineLevel="0" collapsed="false">
      <c r="A636" s="9" t="str">
        <f aca="false">Vessels!B10</f>
        <v>Vessel 06</v>
      </c>
      <c r="B636" s="9" t="s">
        <v>88</v>
      </c>
      <c r="C636" s="7" t="s">
        <v>108</v>
      </c>
      <c r="D636" s="9" t="s">
        <v>45</v>
      </c>
      <c r="E636" s="9" t="s">
        <v>109</v>
      </c>
      <c r="F636" s="5" t="n">
        <v>12</v>
      </c>
      <c r="G636" s="10"/>
      <c r="H636" s="11" t="str">
        <f aca="false">IFERROR(IF($D636="Manual Review","",IF($G636="","",IF($D636="Direct Expiry",$G636,EDATE($G636,$F636)))),"Check Date")</f>
        <v/>
      </c>
      <c r="I636" s="12" t="str">
        <f aca="true">IF($H636="","",IF(ISNUMBER($H636),$H636-TODAY(),""))</f>
        <v/>
      </c>
      <c r="J636" s="4" t="str">
        <f aca="true">IF($D636="Manual Review","Manual Review",IF($G636="","No Data",IF(NOT(ISNUMBER($H636)),"N/A",IF($H636&lt;TODAY(),"Overdue",IF($H636&lt;=TODAY()+30,"Due within 1 Month",IF($H636&lt;=TODAY()+60,"Due within 2 Months","OK"))))))</f>
        <v>No Data</v>
      </c>
      <c r="K636" s="13"/>
    </row>
    <row r="637" customFormat="false" ht="15" hidden="false" customHeight="false" outlineLevel="0" collapsed="false">
      <c r="A637" s="9" t="str">
        <f aca="false">Vessels!B10</f>
        <v>Vessel 06</v>
      </c>
      <c r="B637" s="9" t="s">
        <v>88</v>
      </c>
      <c r="C637" s="7" t="s">
        <v>108</v>
      </c>
      <c r="D637" s="9" t="s">
        <v>45</v>
      </c>
      <c r="E637" s="9" t="s">
        <v>110</v>
      </c>
      <c r="F637" s="5" t="n">
        <v>60</v>
      </c>
      <c r="G637" s="10"/>
      <c r="H637" s="11" t="str">
        <f aca="false">IFERROR(IF($D637="Manual Review","",IF($G637="","",IF($D637="Direct Expiry",$G637,EDATE($G637,$F637)))),"Check Date")</f>
        <v/>
      </c>
      <c r="I637" s="12" t="str">
        <f aca="true">IF($H637="","",IF(ISNUMBER($H637),$H637-TODAY(),""))</f>
        <v/>
      </c>
      <c r="J637" s="4" t="str">
        <f aca="true">IF($D637="Manual Review","Manual Review",IF($G637="","No Data",IF(NOT(ISNUMBER($H637)),"N/A",IF($H637&lt;TODAY(),"Overdue",IF($H637&lt;=TODAY()+30,"Due within 1 Month",IF($H637&lt;=TODAY()+60,"Due within 2 Months","OK"))))))</f>
        <v>No Data</v>
      </c>
      <c r="K637" s="13"/>
    </row>
    <row r="638" customFormat="false" ht="15" hidden="false" customHeight="false" outlineLevel="0" collapsed="false">
      <c r="A638" s="9" t="str">
        <f aca="false">Vessels!B10</f>
        <v>Vessel 06</v>
      </c>
      <c r="B638" s="9" t="s">
        <v>88</v>
      </c>
      <c r="C638" s="7" t="s">
        <v>111</v>
      </c>
      <c r="D638" s="9" t="s">
        <v>45</v>
      </c>
      <c r="E638" s="9" t="s">
        <v>44</v>
      </c>
      <c r="F638" s="5" t="n">
        <v>12</v>
      </c>
      <c r="G638" s="10"/>
      <c r="H638" s="11" t="str">
        <f aca="false">IFERROR(IF($D638="Manual Review","",IF($G638="","",IF($D638="Direct Expiry",$G638,EDATE($G638,$F638)))),"Check Date")</f>
        <v/>
      </c>
      <c r="I638" s="12" t="str">
        <f aca="true">IF($H638="","",IF(ISNUMBER($H638),$H638-TODAY(),""))</f>
        <v/>
      </c>
      <c r="J638" s="4" t="str">
        <f aca="true">IF($D638="Manual Review","Manual Review",IF($G638="","No Data",IF(NOT(ISNUMBER($H638)),"N/A",IF($H638&lt;TODAY(),"Overdue",IF($H638&lt;=TODAY()+30,"Due within 1 Month",IF($H638&lt;=TODAY()+60,"Due within 2 Months","OK"))))))</f>
        <v>No Data</v>
      </c>
      <c r="K638" s="13"/>
    </row>
    <row r="639" customFormat="false" ht="15" hidden="false" customHeight="false" outlineLevel="0" collapsed="false">
      <c r="A639" s="9" t="str">
        <f aca="false">Vessels!B10</f>
        <v>Vessel 06</v>
      </c>
      <c r="B639" s="9" t="s">
        <v>88</v>
      </c>
      <c r="C639" s="7" t="s">
        <v>112</v>
      </c>
      <c r="D639" s="9" t="s">
        <v>45</v>
      </c>
      <c r="E639" s="9" t="s">
        <v>44</v>
      </c>
      <c r="F639" s="5" t="n">
        <v>12</v>
      </c>
      <c r="G639" s="10"/>
      <c r="H639" s="11" t="str">
        <f aca="false">IFERROR(IF($D639="Manual Review","",IF($G639="","",IF($D639="Direct Expiry",$G639,EDATE($G639,$F639)))),"Check Date")</f>
        <v/>
      </c>
      <c r="I639" s="12" t="str">
        <f aca="true">IF($H639="","",IF(ISNUMBER($H639),$H639-TODAY(),""))</f>
        <v/>
      </c>
      <c r="J639" s="4" t="str">
        <f aca="true">IF($D639="Manual Review","Manual Review",IF($G639="","No Data",IF(NOT(ISNUMBER($H639)),"N/A",IF($H639&lt;TODAY(),"Overdue",IF($H639&lt;=TODAY()+30,"Due within 1 Month",IF($H639&lt;=TODAY()+60,"Due within 2 Months","OK"))))))</f>
        <v>No Data</v>
      </c>
      <c r="K639" s="13"/>
    </row>
    <row r="640" customFormat="false" ht="15" hidden="false" customHeight="false" outlineLevel="0" collapsed="false">
      <c r="A640" s="9" t="str">
        <f aca="false">Vessels!B10</f>
        <v>Vessel 06</v>
      </c>
      <c r="B640" s="9" t="s">
        <v>88</v>
      </c>
      <c r="C640" s="7" t="s">
        <v>113</v>
      </c>
      <c r="D640" s="9" t="s">
        <v>115</v>
      </c>
      <c r="E640" s="9" t="s">
        <v>114</v>
      </c>
      <c r="F640" s="5"/>
      <c r="G640" s="10"/>
      <c r="H640" s="11" t="str">
        <f aca="false">IFERROR(IF($D640="Manual Review","",IF($G640="","",IF($D640="Direct Expiry",$G640,EDATE($G640,$F640)))),"Check Date")</f>
        <v/>
      </c>
      <c r="I640" s="12" t="str">
        <f aca="true">IF($H640="","",IF(ISNUMBER($H640),$H640-TODAY(),""))</f>
        <v/>
      </c>
      <c r="J640" s="4" t="str">
        <f aca="true">IF($D640="Manual Review","Manual Review",IF($G640="","No Data",IF(NOT(ISNUMBER($H640)),"N/A",IF($H640&lt;TODAY(),"Overdue",IF($H640&lt;=TODAY()+30,"Due within 1 Month",IF($H640&lt;=TODAY()+60,"Due within 2 Months","OK"))))))</f>
        <v>Manual Review</v>
      </c>
      <c r="K640" s="13"/>
    </row>
    <row r="641" customFormat="false" ht="15" hidden="false" customHeight="false" outlineLevel="0" collapsed="false">
      <c r="A641" s="9" t="str">
        <f aca="false">Vessels!B10</f>
        <v>Vessel 06</v>
      </c>
      <c r="B641" s="9" t="s">
        <v>88</v>
      </c>
      <c r="C641" s="7" t="s">
        <v>116</v>
      </c>
      <c r="D641" s="9" t="s">
        <v>115</v>
      </c>
      <c r="E641" s="9" t="s">
        <v>114</v>
      </c>
      <c r="F641" s="5"/>
      <c r="G641" s="10"/>
      <c r="H641" s="11" t="str">
        <f aca="false">IFERROR(IF($D641="Manual Review","",IF($G641="","",IF($D641="Direct Expiry",$G641,EDATE($G641,$F641)))),"Check Date")</f>
        <v/>
      </c>
      <c r="I641" s="12" t="str">
        <f aca="true">IF($H641="","",IF(ISNUMBER($H641),$H641-TODAY(),""))</f>
        <v/>
      </c>
      <c r="J641" s="4" t="str">
        <f aca="true">IF($D641="Manual Review","Manual Review",IF($G641="","No Data",IF(NOT(ISNUMBER($H641)),"N/A",IF($H641&lt;TODAY(),"Overdue",IF($H641&lt;=TODAY()+30,"Due within 1 Month",IF($H641&lt;=TODAY()+60,"Due within 2 Months","OK"))))))</f>
        <v>Manual Review</v>
      </c>
      <c r="K641" s="13"/>
    </row>
    <row r="642" customFormat="false" ht="15" hidden="false" customHeight="false" outlineLevel="0" collapsed="false">
      <c r="A642" s="9" t="str">
        <f aca="false">Vessels!B10</f>
        <v>Vessel 06</v>
      </c>
      <c r="B642" s="9" t="s">
        <v>117</v>
      </c>
      <c r="C642" s="7" t="s">
        <v>118</v>
      </c>
      <c r="D642" s="9" t="s">
        <v>59</v>
      </c>
      <c r="E642" s="9" t="s">
        <v>119</v>
      </c>
      <c r="F642" s="5"/>
      <c r="G642" s="10"/>
      <c r="H642" s="11" t="str">
        <f aca="false">IFERROR(IF($D642="Manual Review","",IF($G642="","",IF($D642="Direct Expiry",$G642,EDATE($G642,$F642)))),"Check Date")</f>
        <v/>
      </c>
      <c r="I642" s="12" t="str">
        <f aca="true">IF($H642="","",IF(ISNUMBER($H642),$H642-TODAY(),""))</f>
        <v/>
      </c>
      <c r="J642" s="4" t="str">
        <f aca="true">IF($D642="Manual Review","Manual Review",IF($G642="","No Data",IF(NOT(ISNUMBER($H642)),"N/A",IF($H642&lt;TODAY(),"Overdue",IF($H642&lt;=TODAY()+30,"Due within 1 Month",IF($H642&lt;=TODAY()+60,"Due within 2 Months","OK"))))))</f>
        <v>No Data</v>
      </c>
      <c r="K642" s="13"/>
    </row>
    <row r="643" customFormat="false" ht="15" hidden="false" customHeight="false" outlineLevel="0" collapsed="false">
      <c r="A643" s="9" t="str">
        <f aca="false">Vessels!B10</f>
        <v>Vessel 06</v>
      </c>
      <c r="B643" s="9" t="s">
        <v>117</v>
      </c>
      <c r="C643" s="7" t="s">
        <v>120</v>
      </c>
      <c r="D643" s="9" t="s">
        <v>45</v>
      </c>
      <c r="E643" s="9" t="s">
        <v>44</v>
      </c>
      <c r="F643" s="5" t="n">
        <v>12</v>
      </c>
      <c r="G643" s="10"/>
      <c r="H643" s="11" t="str">
        <f aca="false">IFERROR(IF($D643="Manual Review","",IF($G643="","",IF($D643="Direct Expiry",$G643,EDATE($G643,$F643)))),"Check Date")</f>
        <v/>
      </c>
      <c r="I643" s="12" t="str">
        <f aca="true">IF($H643="","",IF(ISNUMBER($H643),$H643-TODAY(),""))</f>
        <v/>
      </c>
      <c r="J643" s="4" t="str">
        <f aca="true">IF($D643="Manual Review","Manual Review",IF($G643="","No Data",IF(NOT(ISNUMBER($H643)),"N/A",IF($H643&lt;TODAY(),"Overdue",IF($H643&lt;=TODAY()+30,"Due within 1 Month",IF($H643&lt;=TODAY()+60,"Due within 2 Months","OK"))))))</f>
        <v>No Data</v>
      </c>
      <c r="K643" s="13"/>
    </row>
    <row r="644" customFormat="false" ht="15" hidden="false" customHeight="false" outlineLevel="0" collapsed="false">
      <c r="A644" s="9" t="str">
        <f aca="false">Vessels!B10</f>
        <v>Vessel 06</v>
      </c>
      <c r="B644" s="9" t="s">
        <v>117</v>
      </c>
      <c r="C644" s="7" t="s">
        <v>121</v>
      </c>
      <c r="D644" s="9" t="s">
        <v>45</v>
      </c>
      <c r="E644" s="9" t="s">
        <v>44</v>
      </c>
      <c r="F644" s="5" t="n">
        <v>12</v>
      </c>
      <c r="G644" s="10"/>
      <c r="H644" s="11" t="str">
        <f aca="false">IFERROR(IF($D644="Manual Review","",IF($G644="","",IF($D644="Direct Expiry",$G644,EDATE($G644,$F644)))),"Check Date")</f>
        <v/>
      </c>
      <c r="I644" s="12" t="str">
        <f aca="true">IF($H644="","",IF(ISNUMBER($H644),$H644-TODAY(),""))</f>
        <v/>
      </c>
      <c r="J644" s="4" t="str">
        <f aca="true">IF($D644="Manual Review","Manual Review",IF($G644="","No Data",IF(NOT(ISNUMBER($H644)),"N/A",IF($H644&lt;TODAY(),"Overdue",IF($H644&lt;=TODAY()+30,"Due within 1 Month",IF($H644&lt;=TODAY()+60,"Due within 2 Months","OK"))))))</f>
        <v>No Data</v>
      </c>
      <c r="K644" s="13"/>
    </row>
    <row r="645" customFormat="false" ht="15" hidden="false" customHeight="false" outlineLevel="0" collapsed="false">
      <c r="A645" s="9" t="str">
        <f aca="false">Vessels!B10</f>
        <v>Vessel 06</v>
      </c>
      <c r="B645" s="9" t="s">
        <v>117</v>
      </c>
      <c r="C645" s="7" t="s">
        <v>122</v>
      </c>
      <c r="D645" s="9" t="s">
        <v>45</v>
      </c>
      <c r="E645" s="9" t="s">
        <v>123</v>
      </c>
      <c r="F645" s="5" t="n">
        <v>24</v>
      </c>
      <c r="G645" s="10"/>
      <c r="H645" s="11" t="str">
        <f aca="false">IFERROR(IF($D645="Manual Review","",IF($G645="","",IF($D645="Direct Expiry",$G645,EDATE($G645,$F645)))),"Check Date")</f>
        <v/>
      </c>
      <c r="I645" s="12" t="str">
        <f aca="true">IF($H645="","",IF(ISNUMBER($H645),$H645-TODAY(),""))</f>
        <v/>
      </c>
      <c r="J645" s="4" t="str">
        <f aca="true">IF($D645="Manual Review","Manual Review",IF($G645="","No Data",IF(NOT(ISNUMBER($H645)),"N/A",IF($H645&lt;TODAY(),"Overdue",IF($H645&lt;=TODAY()+30,"Due within 1 Month",IF($H645&lt;=TODAY()+60,"Due within 2 Months","OK"))))))</f>
        <v>No Data</v>
      </c>
      <c r="K645" s="13"/>
    </row>
    <row r="646" customFormat="false" ht="15" hidden="false" customHeight="false" outlineLevel="0" collapsed="false">
      <c r="A646" s="9" t="str">
        <f aca="false">Vessels!B10</f>
        <v>Vessel 06</v>
      </c>
      <c r="B646" s="9" t="s">
        <v>117</v>
      </c>
      <c r="C646" s="7" t="s">
        <v>124</v>
      </c>
      <c r="D646" s="9" t="s">
        <v>59</v>
      </c>
      <c r="E646" s="9" t="s">
        <v>58</v>
      </c>
      <c r="F646" s="5"/>
      <c r="G646" s="10"/>
      <c r="H646" s="11" t="str">
        <f aca="false">IFERROR(IF($D646="Manual Review","",IF($G646="","",IF($D646="Direct Expiry",$G646,EDATE($G646,$F646)))),"Check Date")</f>
        <v/>
      </c>
      <c r="I646" s="12" t="str">
        <f aca="true">IF($H646="","",IF(ISNUMBER($H646),$H646-TODAY(),""))</f>
        <v/>
      </c>
      <c r="J646" s="4" t="str">
        <f aca="true">IF($D646="Manual Review","Manual Review",IF($G646="","No Data",IF(NOT(ISNUMBER($H646)),"N/A",IF($H646&lt;TODAY(),"Overdue",IF($H646&lt;=TODAY()+30,"Due within 1 Month",IF($H646&lt;=TODAY()+60,"Due within 2 Months","OK"))))))</f>
        <v>No Data</v>
      </c>
      <c r="K646" s="13"/>
    </row>
    <row r="647" customFormat="false" ht="15" hidden="false" customHeight="false" outlineLevel="0" collapsed="false">
      <c r="A647" s="9" t="str">
        <f aca="false">Vessels!B10</f>
        <v>Vessel 06</v>
      </c>
      <c r="B647" s="9" t="s">
        <v>117</v>
      </c>
      <c r="C647" s="7" t="s">
        <v>125</v>
      </c>
      <c r="D647" s="9" t="s">
        <v>59</v>
      </c>
      <c r="E647" s="9" t="s">
        <v>58</v>
      </c>
      <c r="F647" s="5"/>
      <c r="G647" s="10"/>
      <c r="H647" s="11" t="str">
        <f aca="false">IFERROR(IF($D647="Manual Review","",IF($G647="","",IF($D647="Direct Expiry",$G647,EDATE($G647,$F647)))),"Check Date")</f>
        <v/>
      </c>
      <c r="I647" s="12" t="str">
        <f aca="true">IF($H647="","",IF(ISNUMBER($H647),$H647-TODAY(),""))</f>
        <v/>
      </c>
      <c r="J647" s="4" t="str">
        <f aca="true">IF($D647="Manual Review","Manual Review",IF($G647="","No Data",IF(NOT(ISNUMBER($H647)),"N/A",IF($H647&lt;TODAY(),"Overdue",IF($H647&lt;=TODAY()+30,"Due within 1 Month",IF($H647&lt;=TODAY()+60,"Due within 2 Months","OK"))))))</f>
        <v>No Data</v>
      </c>
      <c r="K647" s="13"/>
    </row>
    <row r="648" customFormat="false" ht="15" hidden="false" customHeight="false" outlineLevel="0" collapsed="false">
      <c r="A648" s="9" t="str">
        <f aca="false">Vessels!B10</f>
        <v>Vessel 06</v>
      </c>
      <c r="B648" s="9" t="s">
        <v>117</v>
      </c>
      <c r="C648" s="7" t="s">
        <v>126</v>
      </c>
      <c r="D648" s="9" t="s">
        <v>45</v>
      </c>
      <c r="E648" s="9" t="s">
        <v>44</v>
      </c>
      <c r="F648" s="5" t="n">
        <v>12</v>
      </c>
      <c r="G648" s="10"/>
      <c r="H648" s="11" t="str">
        <f aca="false">IFERROR(IF($D648="Manual Review","",IF($G648="","",IF($D648="Direct Expiry",$G648,EDATE($G648,$F648)))),"Check Date")</f>
        <v/>
      </c>
      <c r="I648" s="12" t="str">
        <f aca="true">IF($H648="","",IF(ISNUMBER($H648),$H648-TODAY(),""))</f>
        <v/>
      </c>
      <c r="J648" s="4" t="str">
        <f aca="true">IF($D648="Manual Review","Manual Review",IF($G648="","No Data",IF(NOT(ISNUMBER($H648)),"N/A",IF($H648&lt;TODAY(),"Overdue",IF($H648&lt;=TODAY()+30,"Due within 1 Month",IF($H648&lt;=TODAY()+60,"Due within 2 Months","OK"))))))</f>
        <v>No Data</v>
      </c>
      <c r="K648" s="13"/>
    </row>
    <row r="649" customFormat="false" ht="15" hidden="false" customHeight="false" outlineLevel="0" collapsed="false">
      <c r="A649" s="9" t="str">
        <f aca="false">Vessels!B10</f>
        <v>Vessel 06</v>
      </c>
      <c r="B649" s="9" t="s">
        <v>117</v>
      </c>
      <c r="C649" s="7" t="s">
        <v>127</v>
      </c>
      <c r="D649" s="9" t="s">
        <v>59</v>
      </c>
      <c r="E649" s="9" t="s">
        <v>58</v>
      </c>
      <c r="F649" s="5"/>
      <c r="G649" s="10"/>
      <c r="H649" s="11" t="str">
        <f aca="false">IFERROR(IF($D649="Manual Review","",IF($G649="","",IF($D649="Direct Expiry",$G649,EDATE($G649,$F649)))),"Check Date")</f>
        <v/>
      </c>
      <c r="I649" s="12" t="str">
        <f aca="true">IF($H649="","",IF(ISNUMBER($H649),$H649-TODAY(),""))</f>
        <v/>
      </c>
      <c r="J649" s="4" t="str">
        <f aca="true">IF($D649="Manual Review","Manual Review",IF($G649="","No Data",IF(NOT(ISNUMBER($H649)),"N/A",IF($H649&lt;TODAY(),"Overdue",IF($H649&lt;=TODAY()+30,"Due within 1 Month",IF($H649&lt;=TODAY()+60,"Due within 2 Months","OK"))))))</f>
        <v>No Data</v>
      </c>
      <c r="K649" s="13"/>
    </row>
    <row r="650" customFormat="false" ht="15" hidden="false" customHeight="false" outlineLevel="0" collapsed="false">
      <c r="A650" s="9" t="str">
        <f aca="false">Vessels!B10</f>
        <v>Vessel 06</v>
      </c>
      <c r="B650" s="9" t="s">
        <v>117</v>
      </c>
      <c r="C650" s="7" t="s">
        <v>128</v>
      </c>
      <c r="D650" s="9" t="s">
        <v>59</v>
      </c>
      <c r="E650" s="9" t="s">
        <v>58</v>
      </c>
      <c r="F650" s="5"/>
      <c r="G650" s="10"/>
      <c r="H650" s="11" t="str">
        <f aca="false">IFERROR(IF($D650="Manual Review","",IF($G650="","",IF($D650="Direct Expiry",$G650,EDATE($G650,$F650)))),"Check Date")</f>
        <v/>
      </c>
      <c r="I650" s="12" t="str">
        <f aca="true">IF($H650="","",IF(ISNUMBER($H650),$H650-TODAY(),""))</f>
        <v/>
      </c>
      <c r="J650" s="4" t="str">
        <f aca="true">IF($D650="Manual Review","Manual Review",IF($G650="","No Data",IF(NOT(ISNUMBER($H650)),"N/A",IF($H650&lt;TODAY(),"Overdue",IF($H650&lt;=TODAY()+30,"Due within 1 Month",IF($H650&lt;=TODAY()+60,"Due within 2 Months","OK"))))))</f>
        <v>No Data</v>
      </c>
      <c r="K650" s="13"/>
    </row>
    <row r="651" customFormat="false" ht="15" hidden="false" customHeight="false" outlineLevel="0" collapsed="false">
      <c r="A651" s="9" t="str">
        <f aca="false">Vessels!B10</f>
        <v>Vessel 06</v>
      </c>
      <c r="B651" s="9" t="s">
        <v>117</v>
      </c>
      <c r="C651" s="7" t="s">
        <v>129</v>
      </c>
      <c r="D651" s="9" t="s">
        <v>59</v>
      </c>
      <c r="E651" s="9" t="s">
        <v>58</v>
      </c>
      <c r="F651" s="5"/>
      <c r="G651" s="10"/>
      <c r="H651" s="11" t="str">
        <f aca="false">IFERROR(IF($D651="Manual Review","",IF($G651="","",IF($D651="Direct Expiry",$G651,EDATE($G651,$F651)))),"Check Date")</f>
        <v/>
      </c>
      <c r="I651" s="12" t="str">
        <f aca="true">IF($H651="","",IF(ISNUMBER($H651),$H651-TODAY(),""))</f>
        <v/>
      </c>
      <c r="J651" s="4" t="str">
        <f aca="true">IF($D651="Manual Review","Manual Review",IF($G651="","No Data",IF(NOT(ISNUMBER($H651)),"N/A",IF($H651&lt;TODAY(),"Overdue",IF($H651&lt;=TODAY()+30,"Due within 1 Month",IF($H651&lt;=TODAY()+60,"Due within 2 Months","OK"))))))</f>
        <v>No Data</v>
      </c>
      <c r="K651" s="13"/>
    </row>
    <row r="652" customFormat="false" ht="15" hidden="false" customHeight="false" outlineLevel="0" collapsed="false">
      <c r="A652" s="9" t="str">
        <f aca="false">Vessels!B10</f>
        <v>Vessel 06</v>
      </c>
      <c r="B652" s="9" t="s">
        <v>117</v>
      </c>
      <c r="C652" s="7" t="s">
        <v>130</v>
      </c>
      <c r="D652" s="9" t="s">
        <v>45</v>
      </c>
      <c r="E652" s="9" t="s">
        <v>44</v>
      </c>
      <c r="F652" s="5" t="n">
        <v>12</v>
      </c>
      <c r="G652" s="10"/>
      <c r="H652" s="11" t="str">
        <f aca="false">IFERROR(IF($D652="Manual Review","",IF($G652="","",IF($D652="Direct Expiry",$G652,EDATE($G652,$F652)))),"Check Date")</f>
        <v/>
      </c>
      <c r="I652" s="12" t="str">
        <f aca="true">IF($H652="","",IF(ISNUMBER($H652),$H652-TODAY(),""))</f>
        <v/>
      </c>
      <c r="J652" s="4" t="str">
        <f aca="true">IF($D652="Manual Review","Manual Review",IF($G652="","No Data",IF(NOT(ISNUMBER($H652)),"N/A",IF($H652&lt;TODAY(),"Overdue",IF($H652&lt;=TODAY()+30,"Due within 1 Month",IF($H652&lt;=TODAY()+60,"Due within 2 Months","OK"))))))</f>
        <v>No Data</v>
      </c>
      <c r="K652" s="13"/>
    </row>
    <row r="653" customFormat="false" ht="15" hidden="false" customHeight="false" outlineLevel="0" collapsed="false">
      <c r="A653" s="9" t="str">
        <f aca="false">Vessels!B10</f>
        <v>Vessel 06</v>
      </c>
      <c r="B653" s="9" t="s">
        <v>117</v>
      </c>
      <c r="C653" s="7" t="s">
        <v>131</v>
      </c>
      <c r="D653" s="9" t="s">
        <v>45</v>
      </c>
      <c r="E653" s="9" t="s">
        <v>44</v>
      </c>
      <c r="F653" s="5" t="n">
        <v>12</v>
      </c>
      <c r="G653" s="10"/>
      <c r="H653" s="11" t="str">
        <f aca="false">IFERROR(IF($D653="Manual Review","",IF($G653="","",IF($D653="Direct Expiry",$G653,EDATE($G653,$F653)))),"Check Date")</f>
        <v/>
      </c>
      <c r="I653" s="12" t="str">
        <f aca="true">IF($H653="","",IF(ISNUMBER($H653),$H653-TODAY(),""))</f>
        <v/>
      </c>
      <c r="J653" s="4" t="str">
        <f aca="true">IF($D653="Manual Review","Manual Review",IF($G653="","No Data",IF(NOT(ISNUMBER($H653)),"N/A",IF($H653&lt;TODAY(),"Overdue",IF($H653&lt;=TODAY()+30,"Due within 1 Month",IF($H653&lt;=TODAY()+60,"Due within 2 Months","OK"))))))</f>
        <v>No Data</v>
      </c>
      <c r="K653" s="13"/>
    </row>
    <row r="654" customFormat="false" ht="15" hidden="false" customHeight="false" outlineLevel="0" collapsed="false">
      <c r="A654" s="9" t="str">
        <f aca="false">Vessels!B10</f>
        <v>Vessel 06</v>
      </c>
      <c r="B654" s="9" t="s">
        <v>117</v>
      </c>
      <c r="C654" s="7" t="s">
        <v>132</v>
      </c>
      <c r="D654" s="9" t="s">
        <v>45</v>
      </c>
      <c r="E654" s="9" t="s">
        <v>44</v>
      </c>
      <c r="F654" s="5" t="n">
        <v>12</v>
      </c>
      <c r="G654" s="10"/>
      <c r="H654" s="11" t="str">
        <f aca="false">IFERROR(IF($D654="Manual Review","",IF($G654="","",IF($D654="Direct Expiry",$G654,EDATE($G654,$F654)))),"Check Date")</f>
        <v/>
      </c>
      <c r="I654" s="12" t="str">
        <f aca="true">IF($H654="","",IF(ISNUMBER($H654),$H654-TODAY(),""))</f>
        <v/>
      </c>
      <c r="J654" s="4" t="str">
        <f aca="true">IF($D654="Manual Review","Manual Review",IF($G654="","No Data",IF(NOT(ISNUMBER($H654)),"N/A",IF($H654&lt;TODAY(),"Overdue",IF($H654&lt;=TODAY()+30,"Due within 1 Month",IF($H654&lt;=TODAY()+60,"Due within 2 Months","OK"))))))</f>
        <v>No Data</v>
      </c>
      <c r="K654" s="13"/>
    </row>
    <row r="655" customFormat="false" ht="15" hidden="false" customHeight="false" outlineLevel="0" collapsed="false">
      <c r="A655" s="9" t="str">
        <f aca="false">Vessels!B10</f>
        <v>Vessel 06</v>
      </c>
      <c r="B655" s="9" t="s">
        <v>117</v>
      </c>
      <c r="C655" s="7" t="s">
        <v>133</v>
      </c>
      <c r="D655" s="9" t="s">
        <v>45</v>
      </c>
      <c r="E655" s="9" t="s">
        <v>44</v>
      </c>
      <c r="F655" s="5" t="n">
        <v>12</v>
      </c>
      <c r="G655" s="10"/>
      <c r="H655" s="11" t="str">
        <f aca="false">IFERROR(IF($D655="Manual Review","",IF($G655="","",IF($D655="Direct Expiry",$G655,EDATE($G655,$F655)))),"Check Date")</f>
        <v/>
      </c>
      <c r="I655" s="12" t="str">
        <f aca="true">IF($H655="","",IF(ISNUMBER($H655),$H655-TODAY(),""))</f>
        <v/>
      </c>
      <c r="J655" s="4" t="str">
        <f aca="true">IF($D655="Manual Review","Manual Review",IF($G655="","No Data",IF(NOT(ISNUMBER($H655)),"N/A",IF($H655&lt;TODAY(),"Overdue",IF($H655&lt;=TODAY()+30,"Due within 1 Month",IF($H655&lt;=TODAY()+60,"Due within 2 Months","OK"))))))</f>
        <v>No Data</v>
      </c>
      <c r="K655" s="13"/>
    </row>
    <row r="656" customFormat="false" ht="15" hidden="false" customHeight="false" outlineLevel="0" collapsed="false">
      <c r="A656" s="9" t="str">
        <f aca="false">Vessels!B10</f>
        <v>Vessel 06</v>
      </c>
      <c r="B656" s="9" t="s">
        <v>117</v>
      </c>
      <c r="C656" s="7" t="s">
        <v>134</v>
      </c>
      <c r="D656" s="9" t="s">
        <v>45</v>
      </c>
      <c r="E656" s="9" t="s">
        <v>44</v>
      </c>
      <c r="F656" s="5" t="n">
        <v>12</v>
      </c>
      <c r="G656" s="10"/>
      <c r="H656" s="11" t="str">
        <f aca="false">IFERROR(IF($D656="Manual Review","",IF($G656="","",IF($D656="Direct Expiry",$G656,EDATE($G656,$F656)))),"Check Date")</f>
        <v/>
      </c>
      <c r="I656" s="12" t="str">
        <f aca="true">IF($H656="","",IF(ISNUMBER($H656),$H656-TODAY(),""))</f>
        <v/>
      </c>
      <c r="J656" s="4" t="str">
        <f aca="true">IF($D656="Manual Review","Manual Review",IF($G656="","No Data",IF(NOT(ISNUMBER($H656)),"N/A",IF($H656&lt;TODAY(),"Overdue",IF($H656&lt;=TODAY()+30,"Due within 1 Month",IF($H656&lt;=TODAY()+60,"Due within 2 Months","OK"))))))</f>
        <v>No Data</v>
      </c>
      <c r="K656" s="13"/>
    </row>
    <row r="657" customFormat="false" ht="15" hidden="false" customHeight="false" outlineLevel="0" collapsed="false">
      <c r="A657" s="9" t="str">
        <f aca="false">Vessels!B10</f>
        <v>Vessel 06</v>
      </c>
      <c r="B657" s="9" t="s">
        <v>117</v>
      </c>
      <c r="C657" s="7" t="s">
        <v>135</v>
      </c>
      <c r="D657" s="9" t="s">
        <v>45</v>
      </c>
      <c r="E657" s="9" t="s">
        <v>44</v>
      </c>
      <c r="F657" s="5" t="n">
        <v>12</v>
      </c>
      <c r="G657" s="10"/>
      <c r="H657" s="11" t="str">
        <f aca="false">IFERROR(IF($D657="Manual Review","",IF($G657="","",IF($D657="Direct Expiry",$G657,EDATE($G657,$F657)))),"Check Date")</f>
        <v/>
      </c>
      <c r="I657" s="12" t="str">
        <f aca="true">IF($H657="","",IF(ISNUMBER($H657),$H657-TODAY(),""))</f>
        <v/>
      </c>
      <c r="J657" s="4" t="str">
        <f aca="true">IF($D657="Manual Review","Manual Review",IF($G657="","No Data",IF(NOT(ISNUMBER($H657)),"N/A",IF($H657&lt;TODAY(),"Overdue",IF($H657&lt;=TODAY()+30,"Due within 1 Month",IF($H657&lt;=TODAY()+60,"Due within 2 Months","OK"))))))</f>
        <v>No Data</v>
      </c>
      <c r="K657" s="13"/>
    </row>
    <row r="658" customFormat="false" ht="15" hidden="false" customHeight="false" outlineLevel="0" collapsed="false">
      <c r="A658" s="9" t="str">
        <f aca="false">Vessels!B10</f>
        <v>Vessel 06</v>
      </c>
      <c r="B658" s="9" t="s">
        <v>136</v>
      </c>
      <c r="C658" s="7" t="s">
        <v>137</v>
      </c>
      <c r="D658" s="9" t="s">
        <v>45</v>
      </c>
      <c r="E658" s="9" t="s">
        <v>44</v>
      </c>
      <c r="F658" s="5" t="n">
        <v>12</v>
      </c>
      <c r="G658" s="10"/>
      <c r="H658" s="11" t="str">
        <f aca="false">IFERROR(IF($D658="Manual Review","",IF($G658="","",IF($D658="Direct Expiry",$G658,EDATE($G658,$F658)))),"Check Date")</f>
        <v/>
      </c>
      <c r="I658" s="12" t="str">
        <f aca="true">IF($H658="","",IF(ISNUMBER($H658),$H658-TODAY(),""))</f>
        <v/>
      </c>
      <c r="J658" s="4" t="str">
        <f aca="true">IF($D658="Manual Review","Manual Review",IF($G658="","No Data",IF(NOT(ISNUMBER($H658)),"N/A",IF($H658&lt;TODAY(),"Overdue",IF($H658&lt;=TODAY()+30,"Due within 1 Month",IF($H658&lt;=TODAY()+60,"Due within 2 Months","OK"))))))</f>
        <v>No Data</v>
      </c>
      <c r="K658" s="13"/>
    </row>
    <row r="659" customFormat="false" ht="15" hidden="false" customHeight="false" outlineLevel="0" collapsed="false">
      <c r="A659" s="9" t="str">
        <f aca="false">Vessels!B10</f>
        <v>Vessel 06</v>
      </c>
      <c r="B659" s="9" t="s">
        <v>136</v>
      </c>
      <c r="C659" s="7" t="s">
        <v>138</v>
      </c>
      <c r="D659" s="9" t="s">
        <v>45</v>
      </c>
      <c r="E659" s="9" t="s">
        <v>44</v>
      </c>
      <c r="F659" s="5" t="n">
        <v>12</v>
      </c>
      <c r="G659" s="10"/>
      <c r="H659" s="11" t="str">
        <f aca="false">IFERROR(IF($D659="Manual Review","",IF($G659="","",IF($D659="Direct Expiry",$G659,EDATE($G659,$F659)))),"Check Date")</f>
        <v/>
      </c>
      <c r="I659" s="12" t="str">
        <f aca="true">IF($H659="","",IF(ISNUMBER($H659),$H659-TODAY(),""))</f>
        <v/>
      </c>
      <c r="J659" s="4" t="str">
        <f aca="true">IF($D659="Manual Review","Manual Review",IF($G659="","No Data",IF(NOT(ISNUMBER($H659)),"N/A",IF($H659&lt;TODAY(),"Overdue",IF($H659&lt;=TODAY()+30,"Due within 1 Month",IF($H659&lt;=TODAY()+60,"Due within 2 Months","OK"))))))</f>
        <v>No Data</v>
      </c>
      <c r="K659" s="13"/>
    </row>
    <row r="660" customFormat="false" ht="15" hidden="false" customHeight="false" outlineLevel="0" collapsed="false">
      <c r="A660" s="9" t="str">
        <f aca="false">Vessels!B10</f>
        <v>Vessel 06</v>
      </c>
      <c r="B660" s="9" t="s">
        <v>136</v>
      </c>
      <c r="C660" s="7" t="s">
        <v>139</v>
      </c>
      <c r="D660" s="9" t="s">
        <v>45</v>
      </c>
      <c r="E660" s="9" t="s">
        <v>140</v>
      </c>
      <c r="F660" s="5" t="n">
        <v>12</v>
      </c>
      <c r="G660" s="10"/>
      <c r="H660" s="11" t="str">
        <f aca="false">IFERROR(IF($D660="Manual Review","",IF($G660="","",IF($D660="Direct Expiry",$G660,EDATE($G660,$F660)))),"Check Date")</f>
        <v/>
      </c>
      <c r="I660" s="12" t="str">
        <f aca="true">IF($H660="","",IF(ISNUMBER($H660),$H660-TODAY(),""))</f>
        <v/>
      </c>
      <c r="J660" s="4" t="str">
        <f aca="true">IF($D660="Manual Review","Manual Review",IF($G660="","No Data",IF(NOT(ISNUMBER($H660)),"N/A",IF($H660&lt;TODAY(),"Overdue",IF($H660&lt;=TODAY()+30,"Due within 1 Month",IF($H660&lt;=TODAY()+60,"Due within 2 Months","OK"))))))</f>
        <v>No Data</v>
      </c>
      <c r="K660" s="13"/>
    </row>
    <row r="661" customFormat="false" ht="15" hidden="false" customHeight="false" outlineLevel="0" collapsed="false">
      <c r="A661" s="9" t="str">
        <f aca="false">Vessels!B10</f>
        <v>Vessel 06</v>
      </c>
      <c r="B661" s="9" t="s">
        <v>136</v>
      </c>
      <c r="C661" s="7" t="s">
        <v>141</v>
      </c>
      <c r="D661" s="9" t="s">
        <v>45</v>
      </c>
      <c r="E661" s="9" t="s">
        <v>44</v>
      </c>
      <c r="F661" s="5" t="n">
        <v>12</v>
      </c>
      <c r="G661" s="10"/>
      <c r="H661" s="11" t="str">
        <f aca="false">IFERROR(IF($D661="Manual Review","",IF($G661="","",IF($D661="Direct Expiry",$G661,EDATE($G661,$F661)))),"Check Date")</f>
        <v/>
      </c>
      <c r="I661" s="12" t="str">
        <f aca="true">IF($H661="","",IF(ISNUMBER($H661),$H661-TODAY(),""))</f>
        <v/>
      </c>
      <c r="J661" s="4" t="str">
        <f aca="true">IF($D661="Manual Review","Manual Review",IF($G661="","No Data",IF(NOT(ISNUMBER($H661)),"N/A",IF($H661&lt;TODAY(),"Overdue",IF($H661&lt;=TODAY()+30,"Due within 1 Month",IF($H661&lt;=TODAY()+60,"Due within 2 Months","OK"))))))</f>
        <v>No Data</v>
      </c>
      <c r="K661" s="13"/>
    </row>
    <row r="662" customFormat="false" ht="15" hidden="false" customHeight="false" outlineLevel="0" collapsed="false">
      <c r="A662" s="9" t="str">
        <f aca="false">Vessels!B10</f>
        <v>Vessel 06</v>
      </c>
      <c r="B662" s="9" t="s">
        <v>136</v>
      </c>
      <c r="C662" s="7" t="s">
        <v>142</v>
      </c>
      <c r="D662" s="9" t="s">
        <v>115</v>
      </c>
      <c r="E662" s="9" t="s">
        <v>143</v>
      </c>
      <c r="F662" s="5"/>
      <c r="G662" s="10"/>
      <c r="H662" s="11" t="str">
        <f aca="false">IFERROR(IF($D662="Manual Review","",IF($G662="","",IF($D662="Direct Expiry",$G662,EDATE($G662,$F662)))),"Check Date")</f>
        <v/>
      </c>
      <c r="I662" s="12" t="str">
        <f aca="true">IF($H662="","",IF(ISNUMBER($H662),$H662-TODAY(),""))</f>
        <v/>
      </c>
      <c r="J662" s="4" t="str">
        <f aca="true">IF($D662="Manual Review","Manual Review",IF($G662="","No Data",IF(NOT(ISNUMBER($H662)),"N/A",IF($H662&lt;TODAY(),"Overdue",IF($H662&lt;=TODAY()+30,"Due within 1 Month",IF($H662&lt;=TODAY()+60,"Due within 2 Months","OK"))))))</f>
        <v>Manual Review</v>
      </c>
      <c r="K662" s="13"/>
    </row>
    <row r="663" customFormat="false" ht="15" hidden="false" customHeight="false" outlineLevel="0" collapsed="false">
      <c r="A663" s="9" t="str">
        <f aca="false">Vessels!B10</f>
        <v>Vessel 06</v>
      </c>
      <c r="B663" s="9" t="s">
        <v>136</v>
      </c>
      <c r="C663" s="7" t="s">
        <v>144</v>
      </c>
      <c r="D663" s="9" t="s">
        <v>45</v>
      </c>
      <c r="E663" s="9" t="s">
        <v>44</v>
      </c>
      <c r="F663" s="5" t="n">
        <v>12</v>
      </c>
      <c r="G663" s="10"/>
      <c r="H663" s="11" t="str">
        <f aca="false">IFERROR(IF($D663="Manual Review","",IF($G663="","",IF($D663="Direct Expiry",$G663,EDATE($G663,$F663)))),"Check Date")</f>
        <v/>
      </c>
      <c r="I663" s="12" t="str">
        <f aca="true">IF($H663="","",IF(ISNUMBER($H663),$H663-TODAY(),""))</f>
        <v/>
      </c>
      <c r="J663" s="4" t="str">
        <f aca="true">IF($D663="Manual Review","Manual Review",IF($G663="","No Data",IF(NOT(ISNUMBER($H663)),"N/A",IF($H663&lt;TODAY(),"Overdue",IF($H663&lt;=TODAY()+30,"Due within 1 Month",IF($H663&lt;=TODAY()+60,"Due within 2 Months","OK"))))))</f>
        <v>No Data</v>
      </c>
      <c r="K663" s="13"/>
    </row>
    <row r="664" customFormat="false" ht="15" hidden="false" customHeight="false" outlineLevel="0" collapsed="false">
      <c r="A664" s="9" t="str">
        <f aca="false">Vessels!B10</f>
        <v>Vessel 06</v>
      </c>
      <c r="B664" s="9" t="s">
        <v>136</v>
      </c>
      <c r="C664" s="7" t="s">
        <v>145</v>
      </c>
      <c r="D664" s="9" t="s">
        <v>45</v>
      </c>
      <c r="E664" s="9" t="s">
        <v>44</v>
      </c>
      <c r="F664" s="5" t="n">
        <v>12</v>
      </c>
      <c r="G664" s="10"/>
      <c r="H664" s="11" t="str">
        <f aca="false">IFERROR(IF($D664="Manual Review","",IF($G664="","",IF($D664="Direct Expiry",$G664,EDATE($G664,$F664)))),"Check Date")</f>
        <v/>
      </c>
      <c r="I664" s="12" t="str">
        <f aca="true">IF($H664="","",IF(ISNUMBER($H664),$H664-TODAY(),""))</f>
        <v/>
      </c>
      <c r="J664" s="4" t="str">
        <f aca="true">IF($D664="Manual Review","Manual Review",IF($G664="","No Data",IF(NOT(ISNUMBER($H664)),"N/A",IF($H664&lt;TODAY(),"Overdue",IF($H664&lt;=TODAY()+30,"Due within 1 Month",IF($H664&lt;=TODAY()+60,"Due within 2 Months","OK"))))))</f>
        <v>No Data</v>
      </c>
      <c r="K664" s="13"/>
    </row>
    <row r="665" customFormat="false" ht="15" hidden="false" customHeight="false" outlineLevel="0" collapsed="false">
      <c r="A665" s="9" t="str">
        <f aca="false">Vessels!B10</f>
        <v>Vessel 06</v>
      </c>
      <c r="B665" s="9" t="s">
        <v>136</v>
      </c>
      <c r="C665" s="7" t="s">
        <v>146</v>
      </c>
      <c r="D665" s="9" t="s">
        <v>45</v>
      </c>
      <c r="E665" s="9" t="s">
        <v>44</v>
      </c>
      <c r="F665" s="5" t="n">
        <v>12</v>
      </c>
      <c r="G665" s="10"/>
      <c r="H665" s="11" t="str">
        <f aca="false">IFERROR(IF($D665="Manual Review","",IF($G665="","",IF($D665="Direct Expiry",$G665,EDATE($G665,$F665)))),"Check Date")</f>
        <v/>
      </c>
      <c r="I665" s="12" t="str">
        <f aca="true">IF($H665="","",IF(ISNUMBER($H665),$H665-TODAY(),""))</f>
        <v/>
      </c>
      <c r="J665" s="4" t="str">
        <f aca="true">IF($D665="Manual Review","Manual Review",IF($G665="","No Data",IF(NOT(ISNUMBER($H665)),"N/A",IF($H665&lt;TODAY(),"Overdue",IF($H665&lt;=TODAY()+30,"Due within 1 Month",IF($H665&lt;=TODAY()+60,"Due within 2 Months","OK"))))))</f>
        <v>No Data</v>
      </c>
      <c r="K665" s="13"/>
    </row>
    <row r="666" customFormat="false" ht="15" hidden="false" customHeight="false" outlineLevel="0" collapsed="false">
      <c r="A666" s="9" t="str">
        <f aca="false">Vessels!B10</f>
        <v>Vessel 06</v>
      </c>
      <c r="B666" s="9" t="s">
        <v>136</v>
      </c>
      <c r="C666" s="7" t="s">
        <v>147</v>
      </c>
      <c r="D666" s="9" t="s">
        <v>45</v>
      </c>
      <c r="E666" s="9" t="s">
        <v>44</v>
      </c>
      <c r="F666" s="5" t="n">
        <v>12</v>
      </c>
      <c r="G666" s="10"/>
      <c r="H666" s="11" t="str">
        <f aca="false">IFERROR(IF($D666="Manual Review","",IF($G666="","",IF($D666="Direct Expiry",$G666,EDATE($G666,$F666)))),"Check Date")</f>
        <v/>
      </c>
      <c r="I666" s="12" t="str">
        <f aca="true">IF($H666="","",IF(ISNUMBER($H666),$H666-TODAY(),""))</f>
        <v/>
      </c>
      <c r="J666" s="4" t="str">
        <f aca="true">IF($D666="Manual Review","Manual Review",IF($G666="","No Data",IF(NOT(ISNUMBER($H666)),"N/A",IF($H666&lt;TODAY(),"Overdue",IF($H666&lt;=TODAY()+30,"Due within 1 Month",IF($H666&lt;=TODAY()+60,"Due within 2 Months","OK"))))))</f>
        <v>No Data</v>
      </c>
      <c r="K666" s="13"/>
    </row>
    <row r="667" customFormat="false" ht="15" hidden="false" customHeight="false" outlineLevel="0" collapsed="false">
      <c r="A667" s="9" t="str">
        <f aca="false">Vessels!B10</f>
        <v>Vessel 06</v>
      </c>
      <c r="B667" s="9" t="s">
        <v>136</v>
      </c>
      <c r="C667" s="7" t="s">
        <v>148</v>
      </c>
      <c r="D667" s="9" t="s">
        <v>45</v>
      </c>
      <c r="E667" s="9" t="s">
        <v>44</v>
      </c>
      <c r="F667" s="5" t="n">
        <v>12</v>
      </c>
      <c r="G667" s="10"/>
      <c r="H667" s="11" t="str">
        <f aca="false">IFERROR(IF($D667="Manual Review","",IF($G667="","",IF($D667="Direct Expiry",$G667,EDATE($G667,$F667)))),"Check Date")</f>
        <v/>
      </c>
      <c r="I667" s="12" t="str">
        <f aca="true">IF($H667="","",IF(ISNUMBER($H667),$H667-TODAY(),""))</f>
        <v/>
      </c>
      <c r="J667" s="4" t="str">
        <f aca="true">IF($D667="Manual Review","Manual Review",IF($G667="","No Data",IF(NOT(ISNUMBER($H667)),"N/A",IF($H667&lt;TODAY(),"Overdue",IF($H667&lt;=TODAY()+30,"Due within 1 Month",IF($H667&lt;=TODAY()+60,"Due within 2 Months","OK"))))))</f>
        <v>No Data</v>
      </c>
      <c r="K667" s="13"/>
    </row>
    <row r="668" customFormat="false" ht="15" hidden="false" customHeight="false" outlineLevel="0" collapsed="false">
      <c r="A668" s="9" t="str">
        <f aca="false">Vessels!B10</f>
        <v>Vessel 06</v>
      </c>
      <c r="B668" s="9" t="s">
        <v>136</v>
      </c>
      <c r="C668" s="7" t="s">
        <v>149</v>
      </c>
      <c r="D668" s="9" t="s">
        <v>45</v>
      </c>
      <c r="E668" s="9" t="s">
        <v>44</v>
      </c>
      <c r="F668" s="5" t="n">
        <v>12</v>
      </c>
      <c r="G668" s="10"/>
      <c r="H668" s="11" t="str">
        <f aca="false">IFERROR(IF($D668="Manual Review","",IF($G668="","",IF($D668="Direct Expiry",$G668,EDATE($G668,$F668)))),"Check Date")</f>
        <v/>
      </c>
      <c r="I668" s="12" t="str">
        <f aca="true">IF($H668="","",IF(ISNUMBER($H668),$H668-TODAY(),""))</f>
        <v/>
      </c>
      <c r="J668" s="4" t="str">
        <f aca="true">IF($D668="Manual Review","Manual Review",IF($G668="","No Data",IF(NOT(ISNUMBER($H668)),"N/A",IF($H668&lt;TODAY(),"Overdue",IF($H668&lt;=TODAY()+30,"Due within 1 Month",IF($H668&lt;=TODAY()+60,"Due within 2 Months","OK"))))))</f>
        <v>No Data</v>
      </c>
      <c r="K668" s="13"/>
    </row>
    <row r="669" customFormat="false" ht="15" hidden="false" customHeight="false" outlineLevel="0" collapsed="false">
      <c r="A669" s="9" t="str">
        <f aca="false">Vessels!B10</f>
        <v>Vessel 06</v>
      </c>
      <c r="B669" s="9" t="s">
        <v>136</v>
      </c>
      <c r="C669" s="7" t="s">
        <v>150</v>
      </c>
      <c r="D669" s="9" t="s">
        <v>45</v>
      </c>
      <c r="E669" s="9" t="s">
        <v>44</v>
      </c>
      <c r="F669" s="5" t="n">
        <v>12</v>
      </c>
      <c r="G669" s="10"/>
      <c r="H669" s="11" t="str">
        <f aca="false">IFERROR(IF($D669="Manual Review","",IF($G669="","",IF($D669="Direct Expiry",$G669,EDATE($G669,$F669)))),"Check Date")</f>
        <v/>
      </c>
      <c r="I669" s="12" t="str">
        <f aca="true">IF($H669="","",IF(ISNUMBER($H669),$H669-TODAY(),""))</f>
        <v/>
      </c>
      <c r="J669" s="4" t="str">
        <f aca="true">IF($D669="Manual Review","Manual Review",IF($G669="","No Data",IF(NOT(ISNUMBER($H669)),"N/A",IF($H669&lt;TODAY(),"Overdue",IF($H669&lt;=TODAY()+30,"Due within 1 Month",IF($H669&lt;=TODAY()+60,"Due within 2 Months","OK"))))))</f>
        <v>No Data</v>
      </c>
      <c r="K669" s="13"/>
    </row>
    <row r="670" customFormat="false" ht="15" hidden="false" customHeight="false" outlineLevel="0" collapsed="false">
      <c r="A670" s="9" t="str">
        <f aca="false">Vessels!B10</f>
        <v>Vessel 06</v>
      </c>
      <c r="B670" s="9" t="s">
        <v>136</v>
      </c>
      <c r="C670" s="7" t="s">
        <v>151</v>
      </c>
      <c r="D670" s="9" t="s">
        <v>45</v>
      </c>
      <c r="E670" s="9" t="s">
        <v>44</v>
      </c>
      <c r="F670" s="5" t="n">
        <v>12</v>
      </c>
      <c r="G670" s="10"/>
      <c r="H670" s="11" t="str">
        <f aca="false">IFERROR(IF($D670="Manual Review","",IF($G670="","",IF($D670="Direct Expiry",$G670,EDATE($G670,$F670)))),"Check Date")</f>
        <v/>
      </c>
      <c r="I670" s="12" t="str">
        <f aca="true">IF($H670="","",IF(ISNUMBER($H670),$H670-TODAY(),""))</f>
        <v/>
      </c>
      <c r="J670" s="4" t="str">
        <f aca="true">IF($D670="Manual Review","Manual Review",IF($G670="","No Data",IF(NOT(ISNUMBER($H670)),"N/A",IF($H670&lt;TODAY(),"Overdue",IF($H670&lt;=TODAY()+30,"Due within 1 Month",IF($H670&lt;=TODAY()+60,"Due within 2 Months","OK"))))))</f>
        <v>No Data</v>
      </c>
      <c r="K670" s="13"/>
    </row>
    <row r="671" customFormat="false" ht="15" hidden="false" customHeight="false" outlineLevel="0" collapsed="false">
      <c r="A671" s="9" t="str">
        <f aca="false">Vessels!B10</f>
        <v>Vessel 06</v>
      </c>
      <c r="B671" s="9" t="s">
        <v>136</v>
      </c>
      <c r="C671" s="7" t="s">
        <v>152</v>
      </c>
      <c r="D671" s="9" t="s">
        <v>45</v>
      </c>
      <c r="E671" s="9" t="s">
        <v>44</v>
      </c>
      <c r="F671" s="5" t="n">
        <v>12</v>
      </c>
      <c r="G671" s="10"/>
      <c r="H671" s="11" t="str">
        <f aca="false">IFERROR(IF($D671="Manual Review","",IF($G671="","",IF($D671="Direct Expiry",$G671,EDATE($G671,$F671)))),"Check Date")</f>
        <v/>
      </c>
      <c r="I671" s="12" t="str">
        <f aca="true">IF($H671="","",IF(ISNUMBER($H671),$H671-TODAY(),""))</f>
        <v/>
      </c>
      <c r="J671" s="4" t="str">
        <f aca="true">IF($D671="Manual Review","Manual Review",IF($G671="","No Data",IF(NOT(ISNUMBER($H671)),"N/A",IF($H671&lt;TODAY(),"Overdue",IF($H671&lt;=TODAY()+30,"Due within 1 Month",IF($H671&lt;=TODAY()+60,"Due within 2 Months","OK"))))))</f>
        <v>No Data</v>
      </c>
      <c r="K671" s="13"/>
    </row>
    <row r="672" customFormat="false" ht="15" hidden="false" customHeight="false" outlineLevel="0" collapsed="false">
      <c r="A672" s="9" t="str">
        <f aca="false">Vessels!B10</f>
        <v>Vessel 06</v>
      </c>
      <c r="B672" s="9" t="s">
        <v>136</v>
      </c>
      <c r="C672" s="7" t="s">
        <v>153</v>
      </c>
      <c r="D672" s="9" t="s">
        <v>45</v>
      </c>
      <c r="E672" s="9" t="s">
        <v>44</v>
      </c>
      <c r="F672" s="5" t="n">
        <v>12</v>
      </c>
      <c r="G672" s="10"/>
      <c r="H672" s="11" t="str">
        <f aca="false">IFERROR(IF($D672="Manual Review","",IF($G672="","",IF($D672="Direct Expiry",$G672,EDATE($G672,$F672)))),"Check Date")</f>
        <v/>
      </c>
      <c r="I672" s="12" t="str">
        <f aca="true">IF($H672="","",IF(ISNUMBER($H672),$H672-TODAY(),""))</f>
        <v/>
      </c>
      <c r="J672" s="4" t="str">
        <f aca="true">IF($D672="Manual Review","Manual Review",IF($G672="","No Data",IF(NOT(ISNUMBER($H672)),"N/A",IF($H672&lt;TODAY(),"Overdue",IF($H672&lt;=TODAY()+30,"Due within 1 Month",IF($H672&lt;=TODAY()+60,"Due within 2 Months","OK"))))))</f>
        <v>No Data</v>
      </c>
      <c r="K672" s="13"/>
    </row>
    <row r="673" customFormat="false" ht="15" hidden="false" customHeight="false" outlineLevel="0" collapsed="false">
      <c r="A673" s="9" t="str">
        <f aca="false">Vessels!B10</f>
        <v>Vessel 06</v>
      </c>
      <c r="B673" s="9" t="s">
        <v>136</v>
      </c>
      <c r="C673" s="7" t="s">
        <v>154</v>
      </c>
      <c r="D673" s="9" t="s">
        <v>45</v>
      </c>
      <c r="E673" s="9" t="s">
        <v>44</v>
      </c>
      <c r="F673" s="5" t="n">
        <v>12</v>
      </c>
      <c r="G673" s="10"/>
      <c r="H673" s="11" t="str">
        <f aca="false">IFERROR(IF($D673="Manual Review","",IF($G673="","",IF($D673="Direct Expiry",$G673,EDATE($G673,$F673)))),"Check Date")</f>
        <v/>
      </c>
      <c r="I673" s="12" t="str">
        <f aca="true">IF($H673="","",IF(ISNUMBER($H673),$H673-TODAY(),""))</f>
        <v/>
      </c>
      <c r="J673" s="4" t="str">
        <f aca="true">IF($D673="Manual Review","Manual Review",IF($G673="","No Data",IF(NOT(ISNUMBER($H673)),"N/A",IF($H673&lt;TODAY(),"Overdue",IF($H673&lt;=TODAY()+30,"Due within 1 Month",IF($H673&lt;=TODAY()+60,"Due within 2 Months","OK"))))))</f>
        <v>No Data</v>
      </c>
      <c r="K673" s="13"/>
    </row>
    <row r="674" customFormat="false" ht="15" hidden="false" customHeight="false" outlineLevel="0" collapsed="false">
      <c r="A674" s="9" t="str">
        <f aca="false">Vessels!B10</f>
        <v>Vessel 06</v>
      </c>
      <c r="B674" s="9" t="s">
        <v>136</v>
      </c>
      <c r="C674" s="7" t="s">
        <v>155</v>
      </c>
      <c r="D674" s="9" t="s">
        <v>45</v>
      </c>
      <c r="E674" s="9" t="s">
        <v>44</v>
      </c>
      <c r="F674" s="5" t="n">
        <v>12</v>
      </c>
      <c r="G674" s="10"/>
      <c r="H674" s="11" t="str">
        <f aca="false">IFERROR(IF($D674="Manual Review","",IF($G674="","",IF($D674="Direct Expiry",$G674,EDATE($G674,$F674)))),"Check Date")</f>
        <v/>
      </c>
      <c r="I674" s="12" t="str">
        <f aca="true">IF($H674="","",IF(ISNUMBER($H674),$H674-TODAY(),""))</f>
        <v/>
      </c>
      <c r="J674" s="4" t="str">
        <f aca="true">IF($D674="Manual Review","Manual Review",IF($G674="","No Data",IF(NOT(ISNUMBER($H674)),"N/A",IF($H674&lt;TODAY(),"Overdue",IF($H674&lt;=TODAY()+30,"Due within 1 Month",IF($H674&lt;=TODAY()+60,"Due within 2 Months","OK"))))))</f>
        <v>No Data</v>
      </c>
      <c r="K674" s="13"/>
    </row>
    <row r="675" customFormat="false" ht="15" hidden="false" customHeight="false" outlineLevel="0" collapsed="false">
      <c r="A675" s="9" t="str">
        <f aca="false">Vessels!B10</f>
        <v>Vessel 06</v>
      </c>
      <c r="B675" s="9" t="s">
        <v>136</v>
      </c>
      <c r="C675" s="7" t="s">
        <v>156</v>
      </c>
      <c r="D675" s="9" t="s">
        <v>45</v>
      </c>
      <c r="E675" s="9" t="s">
        <v>44</v>
      </c>
      <c r="F675" s="5" t="n">
        <v>12</v>
      </c>
      <c r="G675" s="10"/>
      <c r="H675" s="11" t="str">
        <f aca="false">IFERROR(IF($D675="Manual Review","",IF($G675="","",IF($D675="Direct Expiry",$G675,EDATE($G675,$F675)))),"Check Date")</f>
        <v/>
      </c>
      <c r="I675" s="12" t="str">
        <f aca="true">IF($H675="","",IF(ISNUMBER($H675),$H675-TODAY(),""))</f>
        <v/>
      </c>
      <c r="J675" s="4" t="str">
        <f aca="true">IF($D675="Manual Review","Manual Review",IF($G675="","No Data",IF(NOT(ISNUMBER($H675)),"N/A",IF($H675&lt;TODAY(),"Overdue",IF($H675&lt;=TODAY()+30,"Due within 1 Month",IF($H675&lt;=TODAY()+60,"Due within 2 Months","OK"))))))</f>
        <v>No Data</v>
      </c>
      <c r="K675" s="13"/>
    </row>
    <row r="676" customFormat="false" ht="15" hidden="false" customHeight="false" outlineLevel="0" collapsed="false">
      <c r="A676" s="9" t="str">
        <f aca="false">Vessels!B10</f>
        <v>Vessel 06</v>
      </c>
      <c r="B676" s="9" t="s">
        <v>136</v>
      </c>
      <c r="C676" s="7" t="s">
        <v>157</v>
      </c>
      <c r="D676" s="9" t="s">
        <v>45</v>
      </c>
      <c r="E676" s="9" t="s">
        <v>44</v>
      </c>
      <c r="F676" s="5" t="n">
        <v>12</v>
      </c>
      <c r="G676" s="10"/>
      <c r="H676" s="11" t="str">
        <f aca="false">IFERROR(IF($D676="Manual Review","",IF($G676="","",IF($D676="Direct Expiry",$G676,EDATE($G676,$F676)))),"Check Date")</f>
        <v/>
      </c>
      <c r="I676" s="12" t="str">
        <f aca="true">IF($H676="","",IF(ISNUMBER($H676),$H676-TODAY(),""))</f>
        <v/>
      </c>
      <c r="J676" s="4" t="str">
        <f aca="true">IF($D676="Manual Review","Manual Review",IF($G676="","No Data",IF(NOT(ISNUMBER($H676)),"N/A",IF($H676&lt;TODAY(),"Overdue",IF($H676&lt;=TODAY()+30,"Due within 1 Month",IF($H676&lt;=TODAY()+60,"Due within 2 Months","OK"))))))</f>
        <v>No Data</v>
      </c>
      <c r="K676" s="13"/>
    </row>
    <row r="677" customFormat="false" ht="15" hidden="false" customHeight="false" outlineLevel="0" collapsed="false">
      <c r="A677" s="9" t="str">
        <f aca="false">Vessels!B11</f>
        <v>Vessel 07</v>
      </c>
      <c r="B677" s="9" t="s">
        <v>42</v>
      </c>
      <c r="C677" s="7" t="s">
        <v>43</v>
      </c>
      <c r="D677" s="9" t="s">
        <v>45</v>
      </c>
      <c r="E677" s="9" t="s">
        <v>44</v>
      </c>
      <c r="F677" s="5" t="n">
        <v>12</v>
      </c>
      <c r="G677" s="10"/>
      <c r="H677" s="11" t="str">
        <f aca="false">IFERROR(IF($D677="Manual Review","",IF($G677="","",IF($D677="Direct Expiry",$G677,EDATE($G677,$F677)))),"Check Date")</f>
        <v/>
      </c>
      <c r="I677" s="12" t="str">
        <f aca="true">IF($H677="","",IF(ISNUMBER($H677),$H677-TODAY(),""))</f>
        <v/>
      </c>
      <c r="J677" s="4" t="str">
        <f aca="true">IF($D677="Manual Review","Manual Review",IF($G677="","No Data",IF(NOT(ISNUMBER($H677)),"N/A",IF($H677&lt;TODAY(),"Overdue",IF($H677&lt;=TODAY()+30,"Due within 1 Month",IF($H677&lt;=TODAY()+60,"Due within 2 Months","OK"))))))</f>
        <v>No Data</v>
      </c>
      <c r="K677" s="13"/>
    </row>
    <row r="678" customFormat="false" ht="15" hidden="false" customHeight="false" outlineLevel="0" collapsed="false">
      <c r="A678" s="9" t="str">
        <f aca="false">Vessels!B11</f>
        <v>Vessel 07</v>
      </c>
      <c r="B678" s="9" t="s">
        <v>42</v>
      </c>
      <c r="C678" s="7" t="s">
        <v>43</v>
      </c>
      <c r="D678" s="9" t="s">
        <v>45</v>
      </c>
      <c r="E678" s="9" t="s">
        <v>46</v>
      </c>
      <c r="F678" s="5" t="n">
        <v>60</v>
      </c>
      <c r="G678" s="10"/>
      <c r="H678" s="11" t="str">
        <f aca="false">IFERROR(IF($D678="Manual Review","",IF($G678="","",IF($D678="Direct Expiry",$G678,EDATE($G678,$F678)))),"Check Date")</f>
        <v/>
      </c>
      <c r="I678" s="12" t="str">
        <f aca="true">IF($H678="","",IF(ISNUMBER($H678),$H678-TODAY(),""))</f>
        <v/>
      </c>
      <c r="J678" s="4" t="str">
        <f aca="true">IF($D678="Manual Review","Manual Review",IF($G678="","No Data",IF(NOT(ISNUMBER($H678)),"N/A",IF($H678&lt;TODAY(),"Overdue",IF($H678&lt;=TODAY()+30,"Due within 1 Month",IF($H678&lt;=TODAY()+60,"Due within 2 Months","OK"))))))</f>
        <v>No Data</v>
      </c>
      <c r="K678" s="13"/>
    </row>
    <row r="679" customFormat="false" ht="15" hidden="false" customHeight="false" outlineLevel="0" collapsed="false">
      <c r="A679" s="9" t="str">
        <f aca="false">Vessels!B11</f>
        <v>Vessel 07</v>
      </c>
      <c r="B679" s="9" t="s">
        <v>42</v>
      </c>
      <c r="C679" s="7" t="s">
        <v>47</v>
      </c>
      <c r="D679" s="9" t="s">
        <v>45</v>
      </c>
      <c r="E679" s="9" t="s">
        <v>44</v>
      </c>
      <c r="F679" s="5" t="n">
        <v>12</v>
      </c>
      <c r="G679" s="10"/>
      <c r="H679" s="11" t="str">
        <f aca="false">IFERROR(IF($D679="Manual Review","",IF($G679="","",IF($D679="Direct Expiry",$G679,EDATE($G679,$F679)))),"Check Date")</f>
        <v/>
      </c>
      <c r="I679" s="12" t="str">
        <f aca="true">IF($H679="","",IF(ISNUMBER($H679),$H679-TODAY(),""))</f>
        <v/>
      </c>
      <c r="J679" s="4" t="str">
        <f aca="true">IF($D679="Manual Review","Manual Review",IF($G679="","No Data",IF(NOT(ISNUMBER($H679)),"N/A",IF($H679&lt;TODAY(),"Overdue",IF($H679&lt;=TODAY()+30,"Due within 1 Month",IF($H679&lt;=TODAY()+60,"Due within 2 Months","OK"))))))</f>
        <v>No Data</v>
      </c>
      <c r="K679" s="13"/>
    </row>
    <row r="680" customFormat="false" ht="15" hidden="false" customHeight="false" outlineLevel="0" collapsed="false">
      <c r="A680" s="9" t="str">
        <f aca="false">Vessels!B11</f>
        <v>Vessel 07</v>
      </c>
      <c r="B680" s="9" t="s">
        <v>42</v>
      </c>
      <c r="C680" s="7" t="s">
        <v>47</v>
      </c>
      <c r="D680" s="9" t="s">
        <v>45</v>
      </c>
      <c r="E680" s="9" t="s">
        <v>46</v>
      </c>
      <c r="F680" s="5" t="n">
        <v>60</v>
      </c>
      <c r="G680" s="10"/>
      <c r="H680" s="11" t="str">
        <f aca="false">IFERROR(IF($D680="Manual Review","",IF($G680="","",IF($D680="Direct Expiry",$G680,EDATE($G680,$F680)))),"Check Date")</f>
        <v/>
      </c>
      <c r="I680" s="12" t="str">
        <f aca="true">IF($H680="","",IF(ISNUMBER($H680),$H680-TODAY(),""))</f>
        <v/>
      </c>
      <c r="J680" s="4" t="str">
        <f aca="true">IF($D680="Manual Review","Manual Review",IF($G680="","No Data",IF(NOT(ISNUMBER($H680)),"N/A",IF($H680&lt;TODAY(),"Overdue",IF($H680&lt;=TODAY()+30,"Due within 1 Month",IF($H680&lt;=TODAY()+60,"Due within 2 Months","OK"))))))</f>
        <v>No Data</v>
      </c>
      <c r="K680" s="13"/>
    </row>
    <row r="681" customFormat="false" ht="15" hidden="false" customHeight="false" outlineLevel="0" collapsed="false">
      <c r="A681" s="9" t="str">
        <f aca="false">Vessels!B11</f>
        <v>Vessel 07</v>
      </c>
      <c r="B681" s="9" t="s">
        <v>42</v>
      </c>
      <c r="C681" s="7" t="s">
        <v>48</v>
      </c>
      <c r="D681" s="9" t="s">
        <v>45</v>
      </c>
      <c r="E681" s="9" t="s">
        <v>44</v>
      </c>
      <c r="F681" s="5" t="n">
        <v>12</v>
      </c>
      <c r="G681" s="10"/>
      <c r="H681" s="11" t="str">
        <f aca="false">IFERROR(IF($D681="Manual Review","",IF($G681="","",IF($D681="Direct Expiry",$G681,EDATE($G681,$F681)))),"Check Date")</f>
        <v/>
      </c>
      <c r="I681" s="12" t="str">
        <f aca="true">IF($H681="","",IF(ISNUMBER($H681),$H681-TODAY(),""))</f>
        <v/>
      </c>
      <c r="J681" s="4" t="str">
        <f aca="true">IF($D681="Manual Review","Manual Review",IF($G681="","No Data",IF(NOT(ISNUMBER($H681)),"N/A",IF($H681&lt;TODAY(),"Overdue",IF($H681&lt;=TODAY()+30,"Due within 1 Month",IF($H681&lt;=TODAY()+60,"Due within 2 Months","OK"))))))</f>
        <v>No Data</v>
      </c>
      <c r="K681" s="13"/>
    </row>
    <row r="682" customFormat="false" ht="15" hidden="false" customHeight="false" outlineLevel="0" collapsed="false">
      <c r="A682" s="9" t="str">
        <f aca="false">Vessels!B11</f>
        <v>Vessel 07</v>
      </c>
      <c r="B682" s="9" t="s">
        <v>42</v>
      </c>
      <c r="C682" s="7" t="s">
        <v>48</v>
      </c>
      <c r="D682" s="9" t="s">
        <v>45</v>
      </c>
      <c r="E682" s="9" t="s">
        <v>49</v>
      </c>
      <c r="F682" s="5" t="n">
        <v>60</v>
      </c>
      <c r="G682" s="10"/>
      <c r="H682" s="11" t="str">
        <f aca="false">IFERROR(IF($D682="Manual Review","",IF($G682="","",IF($D682="Direct Expiry",$G682,EDATE($G682,$F682)))),"Check Date")</f>
        <v/>
      </c>
      <c r="I682" s="12" t="str">
        <f aca="true">IF($H682="","",IF(ISNUMBER($H682),$H682-TODAY(),""))</f>
        <v/>
      </c>
      <c r="J682" s="4" t="str">
        <f aca="true">IF($D682="Manual Review","Manual Review",IF($G682="","No Data",IF(NOT(ISNUMBER($H682)),"N/A",IF($H682&lt;TODAY(),"Overdue",IF($H682&lt;=TODAY()+30,"Due within 1 Month",IF($H682&lt;=TODAY()+60,"Due within 2 Months","OK"))))))</f>
        <v>No Data</v>
      </c>
      <c r="K682" s="13"/>
    </row>
    <row r="683" customFormat="false" ht="15" hidden="false" customHeight="false" outlineLevel="0" collapsed="false">
      <c r="A683" s="9" t="str">
        <f aca="false">Vessels!B11</f>
        <v>Vessel 07</v>
      </c>
      <c r="B683" s="9" t="s">
        <v>42</v>
      </c>
      <c r="C683" s="7" t="s">
        <v>50</v>
      </c>
      <c r="D683" s="9" t="s">
        <v>45</v>
      </c>
      <c r="E683" s="9" t="s">
        <v>44</v>
      </c>
      <c r="F683" s="5" t="n">
        <v>12</v>
      </c>
      <c r="G683" s="10"/>
      <c r="H683" s="11" t="str">
        <f aca="false">IFERROR(IF($D683="Manual Review","",IF($G683="","",IF($D683="Direct Expiry",$G683,EDATE($G683,$F683)))),"Check Date")</f>
        <v/>
      </c>
      <c r="I683" s="12" t="str">
        <f aca="true">IF($H683="","",IF(ISNUMBER($H683),$H683-TODAY(),""))</f>
        <v/>
      </c>
      <c r="J683" s="4" t="str">
        <f aca="true">IF($D683="Manual Review","Manual Review",IF($G683="","No Data",IF(NOT(ISNUMBER($H683)),"N/A",IF($H683&lt;TODAY(),"Overdue",IF($H683&lt;=TODAY()+30,"Due within 1 Month",IF($H683&lt;=TODAY()+60,"Due within 2 Months","OK"))))))</f>
        <v>No Data</v>
      </c>
      <c r="K683" s="13"/>
    </row>
    <row r="684" customFormat="false" ht="15" hidden="false" customHeight="false" outlineLevel="0" collapsed="false">
      <c r="A684" s="9" t="str">
        <f aca="false">Vessels!B11</f>
        <v>Vessel 07</v>
      </c>
      <c r="B684" s="9" t="s">
        <v>42</v>
      </c>
      <c r="C684" s="7" t="s">
        <v>50</v>
      </c>
      <c r="D684" s="9" t="s">
        <v>45</v>
      </c>
      <c r="E684" s="9" t="s">
        <v>49</v>
      </c>
      <c r="F684" s="5" t="n">
        <v>60</v>
      </c>
      <c r="G684" s="10"/>
      <c r="H684" s="11" t="str">
        <f aca="false">IFERROR(IF($D684="Manual Review","",IF($G684="","",IF($D684="Direct Expiry",$G684,EDATE($G684,$F684)))),"Check Date")</f>
        <v/>
      </c>
      <c r="I684" s="12" t="str">
        <f aca="true">IF($H684="","",IF(ISNUMBER($H684),$H684-TODAY(),""))</f>
        <v/>
      </c>
      <c r="J684" s="4" t="str">
        <f aca="true">IF($D684="Manual Review","Manual Review",IF($G684="","No Data",IF(NOT(ISNUMBER($H684)),"N/A",IF($H684&lt;TODAY(),"Overdue",IF($H684&lt;=TODAY()+30,"Due within 1 Month",IF($H684&lt;=TODAY()+60,"Due within 2 Months","OK"))))))</f>
        <v>No Data</v>
      </c>
      <c r="K684" s="13"/>
    </row>
    <row r="685" customFormat="false" ht="15" hidden="false" customHeight="false" outlineLevel="0" collapsed="false">
      <c r="A685" s="9" t="str">
        <f aca="false">Vessels!B11</f>
        <v>Vessel 07</v>
      </c>
      <c r="B685" s="9" t="s">
        <v>42</v>
      </c>
      <c r="C685" s="7" t="s">
        <v>51</v>
      </c>
      <c r="D685" s="9" t="s">
        <v>45</v>
      </c>
      <c r="E685" s="9" t="s">
        <v>46</v>
      </c>
      <c r="F685" s="5" t="n">
        <v>60</v>
      </c>
      <c r="G685" s="10"/>
      <c r="H685" s="11" t="str">
        <f aca="false">IFERROR(IF($D685="Manual Review","",IF($G685="","",IF($D685="Direct Expiry",$G685,EDATE($G685,$F685)))),"Check Date")</f>
        <v/>
      </c>
      <c r="I685" s="12" t="str">
        <f aca="true">IF($H685="","",IF(ISNUMBER($H685),$H685-TODAY(),""))</f>
        <v/>
      </c>
      <c r="J685" s="4" t="str">
        <f aca="true">IF($D685="Manual Review","Manual Review",IF($G685="","No Data",IF(NOT(ISNUMBER($H685)),"N/A",IF($H685&lt;TODAY(),"Overdue",IF($H685&lt;=TODAY()+30,"Due within 1 Month",IF($H685&lt;=TODAY()+60,"Due within 2 Months","OK"))))))</f>
        <v>No Data</v>
      </c>
      <c r="K685" s="13"/>
    </row>
    <row r="686" customFormat="false" ht="15" hidden="false" customHeight="false" outlineLevel="0" collapsed="false">
      <c r="A686" s="9" t="str">
        <f aca="false">Vessels!B11</f>
        <v>Vessel 07</v>
      </c>
      <c r="B686" s="9" t="s">
        <v>42</v>
      </c>
      <c r="C686" s="7" t="s">
        <v>52</v>
      </c>
      <c r="D686" s="9" t="s">
        <v>45</v>
      </c>
      <c r="E686" s="9" t="s">
        <v>46</v>
      </c>
      <c r="F686" s="5" t="n">
        <v>60</v>
      </c>
      <c r="G686" s="10"/>
      <c r="H686" s="11" t="str">
        <f aca="false">IFERROR(IF($D686="Manual Review","",IF($G686="","",IF($D686="Direct Expiry",$G686,EDATE($G686,$F686)))),"Check Date")</f>
        <v/>
      </c>
      <c r="I686" s="12" t="str">
        <f aca="true">IF($H686="","",IF(ISNUMBER($H686),$H686-TODAY(),""))</f>
        <v/>
      </c>
      <c r="J686" s="4" t="str">
        <f aca="true">IF($D686="Manual Review","Manual Review",IF($G686="","No Data",IF(NOT(ISNUMBER($H686)),"N/A",IF($H686&lt;TODAY(),"Overdue",IF($H686&lt;=TODAY()+30,"Due within 1 Month",IF($H686&lt;=TODAY()+60,"Due within 2 Months","OK"))))))</f>
        <v>No Data</v>
      </c>
      <c r="K686" s="13"/>
    </row>
    <row r="687" customFormat="false" ht="15" hidden="false" customHeight="false" outlineLevel="0" collapsed="false">
      <c r="A687" s="9" t="str">
        <f aca="false">Vessels!B11</f>
        <v>Vessel 07</v>
      </c>
      <c r="B687" s="9" t="s">
        <v>42</v>
      </c>
      <c r="C687" s="7" t="s">
        <v>53</v>
      </c>
      <c r="D687" s="9" t="s">
        <v>45</v>
      </c>
      <c r="E687" s="9" t="s">
        <v>46</v>
      </c>
      <c r="F687" s="5" t="n">
        <v>60</v>
      </c>
      <c r="G687" s="10"/>
      <c r="H687" s="11" t="str">
        <f aca="false">IFERROR(IF($D687="Manual Review","",IF($G687="","",IF($D687="Direct Expiry",$G687,EDATE($G687,$F687)))),"Check Date")</f>
        <v/>
      </c>
      <c r="I687" s="12" t="str">
        <f aca="true">IF($H687="","",IF(ISNUMBER($H687),$H687-TODAY(),""))</f>
        <v/>
      </c>
      <c r="J687" s="4" t="str">
        <f aca="true">IF($D687="Manual Review","Manual Review",IF($G687="","No Data",IF(NOT(ISNUMBER($H687)),"N/A",IF($H687&lt;TODAY(),"Overdue",IF($H687&lt;=TODAY()+30,"Due within 1 Month",IF($H687&lt;=TODAY()+60,"Due within 2 Months","OK"))))))</f>
        <v>No Data</v>
      </c>
      <c r="K687" s="13"/>
    </row>
    <row r="688" customFormat="false" ht="15" hidden="false" customHeight="false" outlineLevel="0" collapsed="false">
      <c r="A688" s="9" t="str">
        <f aca="false">Vessels!B11</f>
        <v>Vessel 07</v>
      </c>
      <c r="B688" s="9" t="s">
        <v>42</v>
      </c>
      <c r="C688" s="7" t="s">
        <v>54</v>
      </c>
      <c r="D688" s="9" t="s">
        <v>45</v>
      </c>
      <c r="E688" s="9" t="s">
        <v>46</v>
      </c>
      <c r="F688" s="5" t="n">
        <v>60</v>
      </c>
      <c r="G688" s="10"/>
      <c r="H688" s="11" t="str">
        <f aca="false">IFERROR(IF($D688="Manual Review","",IF($G688="","",IF($D688="Direct Expiry",$G688,EDATE($G688,$F688)))),"Check Date")</f>
        <v/>
      </c>
      <c r="I688" s="12" t="str">
        <f aca="true">IF($H688="","",IF(ISNUMBER($H688),$H688-TODAY(),""))</f>
        <v/>
      </c>
      <c r="J688" s="4" t="str">
        <f aca="true">IF($D688="Manual Review","Manual Review",IF($G688="","No Data",IF(NOT(ISNUMBER($H688)),"N/A",IF($H688&lt;TODAY(),"Overdue",IF($H688&lt;=TODAY()+30,"Due within 1 Month",IF($H688&lt;=TODAY()+60,"Due within 2 Months","OK"))))))</f>
        <v>No Data</v>
      </c>
      <c r="K688" s="13"/>
    </row>
    <row r="689" customFormat="false" ht="15" hidden="false" customHeight="false" outlineLevel="0" collapsed="false">
      <c r="A689" s="9" t="str">
        <f aca="false">Vessels!B11</f>
        <v>Vessel 07</v>
      </c>
      <c r="B689" s="9" t="s">
        <v>42</v>
      </c>
      <c r="C689" s="7" t="s">
        <v>55</v>
      </c>
      <c r="D689" s="9" t="s">
        <v>45</v>
      </c>
      <c r="E689" s="9" t="s">
        <v>46</v>
      </c>
      <c r="F689" s="5" t="n">
        <v>60</v>
      </c>
      <c r="G689" s="10"/>
      <c r="H689" s="11" t="str">
        <f aca="false">IFERROR(IF($D689="Manual Review","",IF($G689="","",IF($D689="Direct Expiry",$G689,EDATE($G689,$F689)))),"Check Date")</f>
        <v/>
      </c>
      <c r="I689" s="12" t="str">
        <f aca="true">IF($H689="","",IF(ISNUMBER($H689),$H689-TODAY(),""))</f>
        <v/>
      </c>
      <c r="J689" s="4" t="str">
        <f aca="true">IF($D689="Manual Review","Manual Review",IF($G689="","No Data",IF(NOT(ISNUMBER($H689)),"N/A",IF($H689&lt;TODAY(),"Overdue",IF($H689&lt;=TODAY()+30,"Due within 1 Month",IF($H689&lt;=TODAY()+60,"Due within 2 Months","OK"))))))</f>
        <v>No Data</v>
      </c>
      <c r="K689" s="13"/>
    </row>
    <row r="690" customFormat="false" ht="15" hidden="false" customHeight="false" outlineLevel="0" collapsed="false">
      <c r="A690" s="9" t="str">
        <f aca="false">Vessels!B11</f>
        <v>Vessel 07</v>
      </c>
      <c r="B690" s="9" t="s">
        <v>42</v>
      </c>
      <c r="C690" s="7" t="s">
        <v>56</v>
      </c>
      <c r="D690" s="9" t="s">
        <v>45</v>
      </c>
      <c r="E690" s="9" t="s">
        <v>46</v>
      </c>
      <c r="F690" s="5" t="n">
        <v>60</v>
      </c>
      <c r="G690" s="10"/>
      <c r="H690" s="11" t="str">
        <f aca="false">IFERROR(IF($D690="Manual Review","",IF($G690="","",IF($D690="Direct Expiry",$G690,EDATE($G690,$F690)))),"Check Date")</f>
        <v/>
      </c>
      <c r="I690" s="12" t="str">
        <f aca="true">IF($H690="","",IF(ISNUMBER($H690),$H690-TODAY(),""))</f>
        <v/>
      </c>
      <c r="J690" s="4" t="str">
        <f aca="true">IF($D690="Manual Review","Manual Review",IF($G690="","No Data",IF(NOT(ISNUMBER($H690)),"N/A",IF($H690&lt;TODAY(),"Overdue",IF($H690&lt;=TODAY()+30,"Due within 1 Month",IF($H690&lt;=TODAY()+60,"Due within 2 Months","OK"))))))</f>
        <v>No Data</v>
      </c>
      <c r="K690" s="13"/>
    </row>
    <row r="691" customFormat="false" ht="15" hidden="false" customHeight="false" outlineLevel="0" collapsed="false">
      <c r="A691" s="9" t="str">
        <f aca="false">Vessels!B11</f>
        <v>Vessel 07</v>
      </c>
      <c r="B691" s="9" t="s">
        <v>42</v>
      </c>
      <c r="C691" s="7" t="s">
        <v>57</v>
      </c>
      <c r="D691" s="9" t="s">
        <v>59</v>
      </c>
      <c r="E691" s="9" t="s">
        <v>58</v>
      </c>
      <c r="F691" s="5"/>
      <c r="G691" s="10"/>
      <c r="H691" s="11" t="str">
        <f aca="false">IFERROR(IF($D691="Manual Review","",IF($G691="","",IF($D691="Direct Expiry",$G691,EDATE($G691,$F691)))),"Check Date")</f>
        <v/>
      </c>
      <c r="I691" s="12" t="str">
        <f aca="true">IF($H691="","",IF(ISNUMBER($H691),$H691-TODAY(),""))</f>
        <v/>
      </c>
      <c r="J691" s="4" t="str">
        <f aca="true">IF($D691="Manual Review","Manual Review",IF($G691="","No Data",IF(NOT(ISNUMBER($H691)),"N/A",IF($H691&lt;TODAY(),"Overdue",IF($H691&lt;=TODAY()+30,"Due within 1 Month",IF($H691&lt;=TODAY()+60,"Due within 2 Months","OK"))))))</f>
        <v>No Data</v>
      </c>
      <c r="K691" s="13"/>
    </row>
    <row r="692" customFormat="false" ht="15" hidden="false" customHeight="false" outlineLevel="0" collapsed="false">
      <c r="A692" s="9" t="str">
        <f aca="false">Vessels!B11</f>
        <v>Vessel 07</v>
      </c>
      <c r="B692" s="9" t="s">
        <v>42</v>
      </c>
      <c r="C692" s="7" t="s">
        <v>60</v>
      </c>
      <c r="D692" s="9" t="s">
        <v>45</v>
      </c>
      <c r="E692" s="9" t="s">
        <v>44</v>
      </c>
      <c r="F692" s="5" t="n">
        <v>12</v>
      </c>
      <c r="G692" s="10"/>
      <c r="H692" s="11" t="str">
        <f aca="false">IFERROR(IF($D692="Manual Review","",IF($G692="","",IF($D692="Direct Expiry",$G692,EDATE($G692,$F692)))),"Check Date")</f>
        <v/>
      </c>
      <c r="I692" s="12" t="str">
        <f aca="true">IF($H692="","",IF(ISNUMBER($H692),$H692-TODAY(),""))</f>
        <v/>
      </c>
      <c r="J692" s="4" t="str">
        <f aca="true">IF($D692="Manual Review","Manual Review",IF($G692="","No Data",IF(NOT(ISNUMBER($H692)),"N/A",IF($H692&lt;TODAY(),"Overdue",IF($H692&lt;=TODAY()+30,"Due within 1 Month",IF($H692&lt;=TODAY()+60,"Due within 2 Months","OK"))))))</f>
        <v>No Data</v>
      </c>
      <c r="K692" s="13"/>
    </row>
    <row r="693" customFormat="false" ht="15" hidden="false" customHeight="false" outlineLevel="0" collapsed="false">
      <c r="A693" s="9" t="str">
        <f aca="false">Vessels!B11</f>
        <v>Vessel 07</v>
      </c>
      <c r="B693" s="9" t="s">
        <v>42</v>
      </c>
      <c r="C693" s="7" t="s">
        <v>60</v>
      </c>
      <c r="D693" s="9" t="s">
        <v>45</v>
      </c>
      <c r="E693" s="9" t="s">
        <v>46</v>
      </c>
      <c r="F693" s="5" t="n">
        <v>60</v>
      </c>
      <c r="G693" s="10"/>
      <c r="H693" s="11" t="str">
        <f aca="false">IFERROR(IF($D693="Manual Review","",IF($G693="","",IF($D693="Direct Expiry",$G693,EDATE($G693,$F693)))),"Check Date")</f>
        <v/>
      </c>
      <c r="I693" s="12" t="str">
        <f aca="true">IF($H693="","",IF(ISNUMBER($H693),$H693-TODAY(),""))</f>
        <v/>
      </c>
      <c r="J693" s="4" t="str">
        <f aca="true">IF($D693="Manual Review","Manual Review",IF($G693="","No Data",IF(NOT(ISNUMBER($H693)),"N/A",IF($H693&lt;TODAY(),"Overdue",IF($H693&lt;=TODAY()+30,"Due within 1 Month",IF($H693&lt;=TODAY()+60,"Due within 2 Months","OK"))))))</f>
        <v>No Data</v>
      </c>
      <c r="K693" s="13"/>
    </row>
    <row r="694" customFormat="false" ht="15" hidden="false" customHeight="false" outlineLevel="0" collapsed="false">
      <c r="A694" s="9" t="str">
        <f aca="false">Vessels!B11</f>
        <v>Vessel 07</v>
      </c>
      <c r="B694" s="9" t="s">
        <v>42</v>
      </c>
      <c r="C694" s="7" t="s">
        <v>61</v>
      </c>
      <c r="D694" s="9" t="s">
        <v>45</v>
      </c>
      <c r="E694" s="9" t="s">
        <v>44</v>
      </c>
      <c r="F694" s="5" t="n">
        <v>12</v>
      </c>
      <c r="G694" s="10"/>
      <c r="H694" s="11" t="str">
        <f aca="false">IFERROR(IF($D694="Manual Review","",IF($G694="","",IF($D694="Direct Expiry",$G694,EDATE($G694,$F694)))),"Check Date")</f>
        <v/>
      </c>
      <c r="I694" s="12" t="str">
        <f aca="true">IF($H694="","",IF(ISNUMBER($H694),$H694-TODAY(),""))</f>
        <v/>
      </c>
      <c r="J694" s="4" t="str">
        <f aca="true">IF($D694="Manual Review","Manual Review",IF($G694="","No Data",IF(NOT(ISNUMBER($H694)),"N/A",IF($H694&lt;TODAY(),"Overdue",IF($H694&lt;=TODAY()+30,"Due within 1 Month",IF($H694&lt;=TODAY()+60,"Due within 2 Months","OK"))))))</f>
        <v>No Data</v>
      </c>
      <c r="K694" s="13"/>
    </row>
    <row r="695" customFormat="false" ht="15" hidden="false" customHeight="false" outlineLevel="0" collapsed="false">
      <c r="A695" s="9" t="str">
        <f aca="false">Vessels!B11</f>
        <v>Vessel 07</v>
      </c>
      <c r="B695" s="9" t="s">
        <v>42</v>
      </c>
      <c r="C695" s="7" t="s">
        <v>61</v>
      </c>
      <c r="D695" s="9" t="s">
        <v>45</v>
      </c>
      <c r="E695" s="9" t="s">
        <v>46</v>
      </c>
      <c r="F695" s="5" t="n">
        <v>60</v>
      </c>
      <c r="G695" s="10"/>
      <c r="H695" s="11" t="str">
        <f aca="false">IFERROR(IF($D695="Manual Review","",IF($G695="","",IF($D695="Direct Expiry",$G695,EDATE($G695,$F695)))),"Check Date")</f>
        <v/>
      </c>
      <c r="I695" s="12" t="str">
        <f aca="true">IF($H695="","",IF(ISNUMBER($H695),$H695-TODAY(),""))</f>
        <v/>
      </c>
      <c r="J695" s="4" t="str">
        <f aca="true">IF($D695="Manual Review","Manual Review",IF($G695="","No Data",IF(NOT(ISNUMBER($H695)),"N/A",IF($H695&lt;TODAY(),"Overdue",IF($H695&lt;=TODAY()+30,"Due within 1 Month",IF($H695&lt;=TODAY()+60,"Due within 2 Months","OK"))))))</f>
        <v>No Data</v>
      </c>
      <c r="K695" s="13"/>
    </row>
    <row r="696" customFormat="false" ht="15" hidden="false" customHeight="false" outlineLevel="0" collapsed="false">
      <c r="A696" s="9" t="str">
        <f aca="false">Vessels!B11</f>
        <v>Vessel 07</v>
      </c>
      <c r="B696" s="9" t="s">
        <v>42</v>
      </c>
      <c r="C696" s="7" t="s">
        <v>62</v>
      </c>
      <c r="D696" s="9" t="s">
        <v>45</v>
      </c>
      <c r="E696" s="9" t="s">
        <v>44</v>
      </c>
      <c r="F696" s="5" t="n">
        <v>12</v>
      </c>
      <c r="G696" s="10"/>
      <c r="H696" s="11" t="str">
        <f aca="false">IFERROR(IF($D696="Manual Review","",IF($G696="","",IF($D696="Direct Expiry",$G696,EDATE($G696,$F696)))),"Check Date")</f>
        <v/>
      </c>
      <c r="I696" s="12" t="str">
        <f aca="true">IF($H696="","",IF(ISNUMBER($H696),$H696-TODAY(),""))</f>
        <v/>
      </c>
      <c r="J696" s="4" t="str">
        <f aca="true">IF($D696="Manual Review","Manual Review",IF($G696="","No Data",IF(NOT(ISNUMBER($H696)),"N/A",IF($H696&lt;TODAY(),"Overdue",IF($H696&lt;=TODAY()+30,"Due within 1 Month",IF($H696&lt;=TODAY()+60,"Due within 2 Months","OK"))))))</f>
        <v>No Data</v>
      </c>
      <c r="K696" s="13"/>
    </row>
    <row r="697" customFormat="false" ht="15" hidden="false" customHeight="false" outlineLevel="0" collapsed="false">
      <c r="A697" s="9" t="str">
        <f aca="false">Vessels!B11</f>
        <v>Vessel 07</v>
      </c>
      <c r="B697" s="9" t="s">
        <v>42</v>
      </c>
      <c r="C697" s="7" t="s">
        <v>62</v>
      </c>
      <c r="D697" s="9" t="s">
        <v>45</v>
      </c>
      <c r="E697" s="9" t="s">
        <v>49</v>
      </c>
      <c r="F697" s="5" t="n">
        <v>60</v>
      </c>
      <c r="G697" s="10"/>
      <c r="H697" s="11" t="str">
        <f aca="false">IFERROR(IF($D697="Manual Review","",IF($G697="","",IF($D697="Direct Expiry",$G697,EDATE($G697,$F697)))),"Check Date")</f>
        <v/>
      </c>
      <c r="I697" s="12" t="str">
        <f aca="true">IF($H697="","",IF(ISNUMBER($H697),$H697-TODAY(),""))</f>
        <v/>
      </c>
      <c r="J697" s="4" t="str">
        <f aca="true">IF($D697="Manual Review","Manual Review",IF($G697="","No Data",IF(NOT(ISNUMBER($H697)),"N/A",IF($H697&lt;TODAY(),"Overdue",IF($H697&lt;=TODAY()+30,"Due within 1 Month",IF($H697&lt;=TODAY()+60,"Due within 2 Months","OK"))))))</f>
        <v>No Data</v>
      </c>
      <c r="K697" s="13"/>
    </row>
    <row r="698" customFormat="false" ht="15" hidden="false" customHeight="false" outlineLevel="0" collapsed="false">
      <c r="A698" s="9" t="str">
        <f aca="false">Vessels!B11</f>
        <v>Vessel 07</v>
      </c>
      <c r="B698" s="9" t="s">
        <v>42</v>
      </c>
      <c r="C698" s="7" t="s">
        <v>63</v>
      </c>
      <c r="D698" s="9" t="s">
        <v>45</v>
      </c>
      <c r="E698" s="9" t="s">
        <v>44</v>
      </c>
      <c r="F698" s="5" t="n">
        <v>12</v>
      </c>
      <c r="G698" s="10"/>
      <c r="H698" s="11" t="str">
        <f aca="false">IFERROR(IF($D698="Manual Review","",IF($G698="","",IF($D698="Direct Expiry",$G698,EDATE($G698,$F698)))),"Check Date")</f>
        <v/>
      </c>
      <c r="I698" s="12" t="str">
        <f aca="true">IF($H698="","",IF(ISNUMBER($H698),$H698-TODAY(),""))</f>
        <v/>
      </c>
      <c r="J698" s="4" t="str">
        <f aca="true">IF($D698="Manual Review","Manual Review",IF($G698="","No Data",IF(NOT(ISNUMBER($H698)),"N/A",IF($H698&lt;TODAY(),"Overdue",IF($H698&lt;=TODAY()+30,"Due within 1 Month",IF($H698&lt;=TODAY()+60,"Due within 2 Months","OK"))))))</f>
        <v>No Data</v>
      </c>
      <c r="K698" s="13"/>
    </row>
    <row r="699" customFormat="false" ht="15" hidden="false" customHeight="false" outlineLevel="0" collapsed="false">
      <c r="A699" s="9" t="str">
        <f aca="false">Vessels!B11</f>
        <v>Vessel 07</v>
      </c>
      <c r="B699" s="9" t="s">
        <v>42</v>
      </c>
      <c r="C699" s="7" t="s">
        <v>63</v>
      </c>
      <c r="D699" s="9" t="s">
        <v>45</v>
      </c>
      <c r="E699" s="9" t="s">
        <v>49</v>
      </c>
      <c r="F699" s="5" t="n">
        <v>60</v>
      </c>
      <c r="G699" s="10"/>
      <c r="H699" s="11" t="str">
        <f aca="false">IFERROR(IF($D699="Manual Review","",IF($G699="","",IF($D699="Direct Expiry",$G699,EDATE($G699,$F699)))),"Check Date")</f>
        <v/>
      </c>
      <c r="I699" s="12" t="str">
        <f aca="true">IF($H699="","",IF(ISNUMBER($H699),$H699-TODAY(),""))</f>
        <v/>
      </c>
      <c r="J699" s="4" t="str">
        <f aca="true">IF($D699="Manual Review","Manual Review",IF($G699="","No Data",IF(NOT(ISNUMBER($H699)),"N/A",IF($H699&lt;TODAY(),"Overdue",IF($H699&lt;=TODAY()+30,"Due within 1 Month",IF($H699&lt;=TODAY()+60,"Due within 2 Months","OK"))))))</f>
        <v>No Data</v>
      </c>
      <c r="K699" s="13"/>
    </row>
    <row r="700" customFormat="false" ht="15" hidden="false" customHeight="false" outlineLevel="0" collapsed="false">
      <c r="A700" s="9" t="str">
        <f aca="false">Vessels!B11</f>
        <v>Vessel 07</v>
      </c>
      <c r="B700" s="9" t="s">
        <v>42</v>
      </c>
      <c r="C700" s="7" t="s">
        <v>64</v>
      </c>
      <c r="D700" s="9" t="s">
        <v>45</v>
      </c>
      <c r="E700" s="9" t="s">
        <v>46</v>
      </c>
      <c r="F700" s="5" t="n">
        <v>60</v>
      </c>
      <c r="G700" s="10"/>
      <c r="H700" s="11" t="str">
        <f aca="false">IFERROR(IF($D700="Manual Review","",IF($G700="","",IF($D700="Direct Expiry",$G700,EDATE($G700,$F700)))),"Check Date")</f>
        <v/>
      </c>
      <c r="I700" s="12" t="str">
        <f aca="true">IF($H700="","",IF(ISNUMBER($H700),$H700-TODAY(),""))</f>
        <v/>
      </c>
      <c r="J700" s="4" t="str">
        <f aca="true">IF($D700="Manual Review","Manual Review",IF($G700="","No Data",IF(NOT(ISNUMBER($H700)),"N/A",IF($H700&lt;TODAY(),"Overdue",IF($H700&lt;=TODAY()+30,"Due within 1 Month",IF($H700&lt;=TODAY()+60,"Due within 2 Months","OK"))))))</f>
        <v>No Data</v>
      </c>
      <c r="K700" s="13"/>
    </row>
    <row r="701" customFormat="false" ht="15" hidden="false" customHeight="false" outlineLevel="0" collapsed="false">
      <c r="A701" s="9" t="str">
        <f aca="false">Vessels!B11</f>
        <v>Vessel 07</v>
      </c>
      <c r="B701" s="9" t="s">
        <v>42</v>
      </c>
      <c r="C701" s="7" t="s">
        <v>65</v>
      </c>
      <c r="D701" s="9" t="s">
        <v>45</v>
      </c>
      <c r="E701" s="9" t="s">
        <v>46</v>
      </c>
      <c r="F701" s="5" t="n">
        <v>60</v>
      </c>
      <c r="G701" s="10"/>
      <c r="H701" s="11" t="str">
        <f aca="false">IFERROR(IF($D701="Manual Review","",IF($G701="","",IF($D701="Direct Expiry",$G701,EDATE($G701,$F701)))),"Check Date")</f>
        <v/>
      </c>
      <c r="I701" s="12" t="str">
        <f aca="true">IF($H701="","",IF(ISNUMBER($H701),$H701-TODAY(),""))</f>
        <v/>
      </c>
      <c r="J701" s="4" t="str">
        <f aca="true">IF($D701="Manual Review","Manual Review",IF($G701="","No Data",IF(NOT(ISNUMBER($H701)),"N/A",IF($H701&lt;TODAY(),"Overdue",IF($H701&lt;=TODAY()+30,"Due within 1 Month",IF($H701&lt;=TODAY()+60,"Due within 2 Months","OK"))))))</f>
        <v>No Data</v>
      </c>
      <c r="K701" s="13"/>
    </row>
    <row r="702" customFormat="false" ht="15" hidden="false" customHeight="false" outlineLevel="0" collapsed="false">
      <c r="A702" s="9" t="str">
        <f aca="false">Vessels!B11</f>
        <v>Vessel 07</v>
      </c>
      <c r="B702" s="9" t="s">
        <v>42</v>
      </c>
      <c r="C702" s="7" t="s">
        <v>66</v>
      </c>
      <c r="D702" s="9" t="s">
        <v>45</v>
      </c>
      <c r="E702" s="9" t="s">
        <v>46</v>
      </c>
      <c r="F702" s="5" t="n">
        <v>60</v>
      </c>
      <c r="G702" s="10"/>
      <c r="H702" s="11" t="str">
        <f aca="false">IFERROR(IF($D702="Manual Review","",IF($G702="","",IF($D702="Direct Expiry",$G702,EDATE($G702,$F702)))),"Check Date")</f>
        <v/>
      </c>
      <c r="I702" s="12" t="str">
        <f aca="true">IF($H702="","",IF(ISNUMBER($H702),$H702-TODAY(),""))</f>
        <v/>
      </c>
      <c r="J702" s="4" t="str">
        <f aca="true">IF($D702="Manual Review","Manual Review",IF($G702="","No Data",IF(NOT(ISNUMBER($H702)),"N/A",IF($H702&lt;TODAY(),"Overdue",IF($H702&lt;=TODAY()+30,"Due within 1 Month",IF($H702&lt;=TODAY()+60,"Due within 2 Months","OK"))))))</f>
        <v>No Data</v>
      </c>
      <c r="K702" s="13"/>
    </row>
    <row r="703" customFormat="false" ht="15" hidden="false" customHeight="false" outlineLevel="0" collapsed="false">
      <c r="A703" s="9" t="str">
        <f aca="false">Vessels!B11</f>
        <v>Vessel 07</v>
      </c>
      <c r="B703" s="9" t="s">
        <v>42</v>
      </c>
      <c r="C703" s="7" t="s">
        <v>67</v>
      </c>
      <c r="D703" s="9" t="s">
        <v>45</v>
      </c>
      <c r="E703" s="9" t="s">
        <v>46</v>
      </c>
      <c r="F703" s="5" t="n">
        <v>60</v>
      </c>
      <c r="G703" s="10"/>
      <c r="H703" s="11" t="str">
        <f aca="false">IFERROR(IF($D703="Manual Review","",IF($G703="","",IF($D703="Direct Expiry",$G703,EDATE($G703,$F703)))),"Check Date")</f>
        <v/>
      </c>
      <c r="I703" s="12" t="str">
        <f aca="true">IF($H703="","",IF(ISNUMBER($H703),$H703-TODAY(),""))</f>
        <v/>
      </c>
      <c r="J703" s="4" t="str">
        <f aca="true">IF($D703="Manual Review","Manual Review",IF($G703="","No Data",IF(NOT(ISNUMBER($H703)),"N/A",IF($H703&lt;TODAY(),"Overdue",IF($H703&lt;=TODAY()+30,"Due within 1 Month",IF($H703&lt;=TODAY()+60,"Due within 2 Months","OK"))))))</f>
        <v>No Data</v>
      </c>
      <c r="K703" s="13"/>
    </row>
    <row r="704" customFormat="false" ht="15" hidden="false" customHeight="false" outlineLevel="0" collapsed="false">
      <c r="A704" s="9" t="str">
        <f aca="false">Vessels!B11</f>
        <v>Vessel 07</v>
      </c>
      <c r="B704" s="9" t="s">
        <v>42</v>
      </c>
      <c r="C704" s="7" t="s">
        <v>68</v>
      </c>
      <c r="D704" s="9" t="s">
        <v>45</v>
      </c>
      <c r="E704" s="9" t="s">
        <v>46</v>
      </c>
      <c r="F704" s="5" t="n">
        <v>60</v>
      </c>
      <c r="G704" s="10"/>
      <c r="H704" s="11" t="str">
        <f aca="false">IFERROR(IF($D704="Manual Review","",IF($G704="","",IF($D704="Direct Expiry",$G704,EDATE($G704,$F704)))),"Check Date")</f>
        <v/>
      </c>
      <c r="I704" s="12" t="str">
        <f aca="true">IF($H704="","",IF(ISNUMBER($H704),$H704-TODAY(),""))</f>
        <v/>
      </c>
      <c r="J704" s="4" t="str">
        <f aca="true">IF($D704="Manual Review","Manual Review",IF($G704="","No Data",IF(NOT(ISNUMBER($H704)),"N/A",IF($H704&lt;TODAY(),"Overdue",IF($H704&lt;=TODAY()+30,"Due within 1 Month",IF($H704&lt;=TODAY()+60,"Due within 2 Months","OK"))))))</f>
        <v>No Data</v>
      </c>
      <c r="K704" s="13"/>
    </row>
    <row r="705" customFormat="false" ht="15" hidden="false" customHeight="false" outlineLevel="0" collapsed="false">
      <c r="A705" s="9" t="str">
        <f aca="false">Vessels!B11</f>
        <v>Vessel 07</v>
      </c>
      <c r="B705" s="9" t="s">
        <v>42</v>
      </c>
      <c r="C705" s="7" t="s">
        <v>69</v>
      </c>
      <c r="D705" s="9" t="s">
        <v>45</v>
      </c>
      <c r="E705" s="9" t="s">
        <v>46</v>
      </c>
      <c r="F705" s="5" t="n">
        <v>60</v>
      </c>
      <c r="G705" s="10"/>
      <c r="H705" s="11" t="str">
        <f aca="false">IFERROR(IF($D705="Manual Review","",IF($G705="","",IF($D705="Direct Expiry",$G705,EDATE($G705,$F705)))),"Check Date")</f>
        <v/>
      </c>
      <c r="I705" s="12" t="str">
        <f aca="true">IF($H705="","",IF(ISNUMBER($H705),$H705-TODAY(),""))</f>
        <v/>
      </c>
      <c r="J705" s="4" t="str">
        <f aca="true">IF($D705="Manual Review","Manual Review",IF($G705="","No Data",IF(NOT(ISNUMBER($H705)),"N/A",IF($H705&lt;TODAY(),"Overdue",IF($H705&lt;=TODAY()+30,"Due within 1 Month",IF($H705&lt;=TODAY()+60,"Due within 2 Months","OK"))))))</f>
        <v>No Data</v>
      </c>
      <c r="K705" s="13"/>
    </row>
    <row r="706" customFormat="false" ht="15" hidden="false" customHeight="false" outlineLevel="0" collapsed="false">
      <c r="A706" s="9" t="str">
        <f aca="false">Vessels!B11</f>
        <v>Vessel 07</v>
      </c>
      <c r="B706" s="9" t="s">
        <v>42</v>
      </c>
      <c r="C706" s="7" t="s">
        <v>70</v>
      </c>
      <c r="D706" s="9" t="s">
        <v>59</v>
      </c>
      <c r="E706" s="9" t="s">
        <v>58</v>
      </c>
      <c r="F706" s="5"/>
      <c r="G706" s="10"/>
      <c r="H706" s="11" t="str">
        <f aca="false">IFERROR(IF($D706="Manual Review","",IF($G706="","",IF($D706="Direct Expiry",$G706,EDATE($G706,$F706)))),"Check Date")</f>
        <v/>
      </c>
      <c r="I706" s="12" t="str">
        <f aca="true">IF($H706="","",IF(ISNUMBER($H706),$H706-TODAY(),""))</f>
        <v/>
      </c>
      <c r="J706" s="4" t="str">
        <f aca="true">IF($D706="Manual Review","Manual Review",IF($G706="","No Data",IF(NOT(ISNUMBER($H706)),"N/A",IF($H706&lt;TODAY(),"Overdue",IF($H706&lt;=TODAY()+30,"Due within 1 Month",IF($H706&lt;=TODAY()+60,"Due within 2 Months","OK"))))))</f>
        <v>No Data</v>
      </c>
      <c r="K706" s="13"/>
    </row>
    <row r="707" customFormat="false" ht="15" hidden="false" customHeight="false" outlineLevel="0" collapsed="false">
      <c r="A707" s="9" t="str">
        <f aca="false">Vessels!B11</f>
        <v>Vessel 07</v>
      </c>
      <c r="B707" s="9" t="s">
        <v>42</v>
      </c>
      <c r="C707" s="7" t="s">
        <v>71</v>
      </c>
      <c r="D707" s="9" t="s">
        <v>45</v>
      </c>
      <c r="E707" s="9" t="s">
        <v>44</v>
      </c>
      <c r="F707" s="5" t="n">
        <v>12</v>
      </c>
      <c r="G707" s="10"/>
      <c r="H707" s="11" t="str">
        <f aca="false">IFERROR(IF($D707="Manual Review","",IF($G707="","",IF($D707="Direct Expiry",$G707,EDATE($G707,$F707)))),"Check Date")</f>
        <v/>
      </c>
      <c r="I707" s="12" t="str">
        <f aca="true">IF($H707="","",IF(ISNUMBER($H707),$H707-TODAY(),""))</f>
        <v/>
      </c>
      <c r="J707" s="4" t="str">
        <f aca="true">IF($D707="Manual Review","Manual Review",IF($G707="","No Data",IF(NOT(ISNUMBER($H707)),"N/A",IF($H707&lt;TODAY(),"Overdue",IF($H707&lt;=TODAY()+30,"Due within 1 Month",IF($H707&lt;=TODAY()+60,"Due within 2 Months","OK"))))))</f>
        <v>No Data</v>
      </c>
      <c r="K707" s="13"/>
    </row>
    <row r="708" customFormat="false" ht="15" hidden="false" customHeight="false" outlineLevel="0" collapsed="false">
      <c r="A708" s="9" t="str">
        <f aca="false">Vessels!B11</f>
        <v>Vessel 07</v>
      </c>
      <c r="B708" s="9" t="s">
        <v>42</v>
      </c>
      <c r="C708" s="7" t="s">
        <v>72</v>
      </c>
      <c r="D708" s="9" t="s">
        <v>59</v>
      </c>
      <c r="E708" s="9" t="s">
        <v>58</v>
      </c>
      <c r="F708" s="5"/>
      <c r="G708" s="10"/>
      <c r="H708" s="11" t="str">
        <f aca="false">IFERROR(IF($D708="Manual Review","",IF($G708="","",IF($D708="Direct Expiry",$G708,EDATE($G708,$F708)))),"Check Date")</f>
        <v/>
      </c>
      <c r="I708" s="12" t="str">
        <f aca="true">IF($H708="","",IF(ISNUMBER($H708),$H708-TODAY(),""))</f>
        <v/>
      </c>
      <c r="J708" s="4" t="str">
        <f aca="true">IF($D708="Manual Review","Manual Review",IF($G708="","No Data",IF(NOT(ISNUMBER($H708)),"N/A",IF($H708&lt;TODAY(),"Overdue",IF($H708&lt;=TODAY()+30,"Due within 1 Month",IF($H708&lt;=TODAY()+60,"Due within 2 Months","OK"))))))</f>
        <v>No Data</v>
      </c>
      <c r="K708" s="13"/>
    </row>
    <row r="709" customFormat="false" ht="15" hidden="false" customHeight="false" outlineLevel="0" collapsed="false">
      <c r="A709" s="9" t="str">
        <f aca="false">Vessels!B11</f>
        <v>Vessel 07</v>
      </c>
      <c r="B709" s="9" t="s">
        <v>42</v>
      </c>
      <c r="C709" s="7" t="s">
        <v>73</v>
      </c>
      <c r="D709" s="9" t="s">
        <v>45</v>
      </c>
      <c r="E709" s="9" t="s">
        <v>44</v>
      </c>
      <c r="F709" s="5" t="n">
        <v>12</v>
      </c>
      <c r="G709" s="10"/>
      <c r="H709" s="11" t="str">
        <f aca="false">IFERROR(IF($D709="Manual Review","",IF($G709="","",IF($D709="Direct Expiry",$G709,EDATE($G709,$F709)))),"Check Date")</f>
        <v/>
      </c>
      <c r="I709" s="12" t="str">
        <f aca="true">IF($H709="","",IF(ISNUMBER($H709),$H709-TODAY(),""))</f>
        <v/>
      </c>
      <c r="J709" s="4" t="str">
        <f aca="true">IF($D709="Manual Review","Manual Review",IF($G709="","No Data",IF(NOT(ISNUMBER($H709)),"N/A",IF($H709&lt;TODAY(),"Overdue",IF($H709&lt;=TODAY()+30,"Due within 1 Month",IF($H709&lt;=TODAY()+60,"Due within 2 Months","OK"))))))</f>
        <v>No Data</v>
      </c>
      <c r="K709" s="13"/>
    </row>
    <row r="710" customFormat="false" ht="15" hidden="false" customHeight="false" outlineLevel="0" collapsed="false">
      <c r="A710" s="9" t="str">
        <f aca="false">Vessels!B11</f>
        <v>Vessel 07</v>
      </c>
      <c r="B710" s="9" t="s">
        <v>42</v>
      </c>
      <c r="C710" s="7" t="s">
        <v>74</v>
      </c>
      <c r="D710" s="9" t="s">
        <v>59</v>
      </c>
      <c r="E710" s="9" t="s">
        <v>58</v>
      </c>
      <c r="F710" s="5"/>
      <c r="G710" s="10"/>
      <c r="H710" s="11" t="str">
        <f aca="false">IFERROR(IF($D710="Manual Review","",IF($G710="","",IF($D710="Direct Expiry",$G710,EDATE($G710,$F710)))),"Check Date")</f>
        <v/>
      </c>
      <c r="I710" s="12" t="str">
        <f aca="true">IF($H710="","",IF(ISNUMBER($H710),$H710-TODAY(),""))</f>
        <v/>
      </c>
      <c r="J710" s="4" t="str">
        <f aca="true">IF($D710="Manual Review","Manual Review",IF($G710="","No Data",IF(NOT(ISNUMBER($H710)),"N/A",IF($H710&lt;TODAY(),"Overdue",IF($H710&lt;=TODAY()+30,"Due within 1 Month",IF($H710&lt;=TODAY()+60,"Due within 2 Months","OK"))))))</f>
        <v>No Data</v>
      </c>
      <c r="K710" s="13"/>
    </row>
    <row r="711" customFormat="false" ht="15" hidden="false" customHeight="false" outlineLevel="0" collapsed="false">
      <c r="A711" s="9" t="str">
        <f aca="false">Vessels!B11</f>
        <v>Vessel 07</v>
      </c>
      <c r="B711" s="9" t="s">
        <v>42</v>
      </c>
      <c r="C711" s="7" t="s">
        <v>75</v>
      </c>
      <c r="D711" s="9" t="s">
        <v>45</v>
      </c>
      <c r="E711" s="9" t="s">
        <v>44</v>
      </c>
      <c r="F711" s="5" t="n">
        <v>12</v>
      </c>
      <c r="G711" s="10"/>
      <c r="H711" s="11" t="str">
        <f aca="false">IFERROR(IF($D711="Manual Review","",IF($G711="","",IF($D711="Direct Expiry",$G711,EDATE($G711,$F711)))),"Check Date")</f>
        <v/>
      </c>
      <c r="I711" s="12" t="str">
        <f aca="true">IF($H711="","",IF(ISNUMBER($H711),$H711-TODAY(),""))</f>
        <v/>
      </c>
      <c r="J711" s="4" t="str">
        <f aca="true">IF($D711="Manual Review","Manual Review",IF($G711="","No Data",IF(NOT(ISNUMBER($H711)),"N/A",IF($H711&lt;TODAY(),"Overdue",IF($H711&lt;=TODAY()+30,"Due within 1 Month",IF($H711&lt;=TODAY()+60,"Due within 2 Months","OK"))))))</f>
        <v>No Data</v>
      </c>
      <c r="K711" s="13"/>
    </row>
    <row r="712" customFormat="false" ht="15" hidden="false" customHeight="false" outlineLevel="0" collapsed="false">
      <c r="A712" s="9" t="str">
        <f aca="false">Vessels!B11</f>
        <v>Vessel 07</v>
      </c>
      <c r="B712" s="9" t="s">
        <v>42</v>
      </c>
      <c r="C712" s="7" t="s">
        <v>76</v>
      </c>
      <c r="D712" s="9" t="s">
        <v>59</v>
      </c>
      <c r="E712" s="9" t="s">
        <v>58</v>
      </c>
      <c r="F712" s="5"/>
      <c r="G712" s="10"/>
      <c r="H712" s="11" t="str">
        <f aca="false">IFERROR(IF($D712="Manual Review","",IF($G712="","",IF($D712="Direct Expiry",$G712,EDATE($G712,$F712)))),"Check Date")</f>
        <v/>
      </c>
      <c r="I712" s="12" t="str">
        <f aca="true">IF($H712="","",IF(ISNUMBER($H712),$H712-TODAY(),""))</f>
        <v/>
      </c>
      <c r="J712" s="4" t="str">
        <f aca="true">IF($D712="Manual Review","Manual Review",IF($G712="","No Data",IF(NOT(ISNUMBER($H712)),"N/A",IF($H712&lt;TODAY(),"Overdue",IF($H712&lt;=TODAY()+30,"Due within 1 Month",IF($H712&lt;=TODAY()+60,"Due within 2 Months","OK"))))))</f>
        <v>No Data</v>
      </c>
      <c r="K712" s="13"/>
    </row>
    <row r="713" customFormat="false" ht="15" hidden="false" customHeight="false" outlineLevel="0" collapsed="false">
      <c r="A713" s="9" t="str">
        <f aca="false">Vessels!B11</f>
        <v>Vessel 07</v>
      </c>
      <c r="B713" s="9" t="s">
        <v>42</v>
      </c>
      <c r="C713" s="7" t="s">
        <v>77</v>
      </c>
      <c r="D713" s="9" t="s">
        <v>59</v>
      </c>
      <c r="E713" s="9" t="s">
        <v>58</v>
      </c>
      <c r="F713" s="5"/>
      <c r="G713" s="10"/>
      <c r="H713" s="11" t="str">
        <f aca="false">IFERROR(IF($D713="Manual Review","",IF($G713="","",IF($D713="Direct Expiry",$G713,EDATE($G713,$F713)))),"Check Date")</f>
        <v/>
      </c>
      <c r="I713" s="12" t="str">
        <f aca="true">IF($H713="","",IF(ISNUMBER($H713),$H713-TODAY(),""))</f>
        <v/>
      </c>
      <c r="J713" s="4" t="str">
        <f aca="true">IF($D713="Manual Review","Manual Review",IF($G713="","No Data",IF(NOT(ISNUMBER($H713)),"N/A",IF($H713&lt;TODAY(),"Overdue",IF($H713&lt;=TODAY()+30,"Due within 1 Month",IF($H713&lt;=TODAY()+60,"Due within 2 Months","OK"))))))</f>
        <v>No Data</v>
      </c>
      <c r="K713" s="13"/>
    </row>
    <row r="714" customFormat="false" ht="15" hidden="false" customHeight="false" outlineLevel="0" collapsed="false">
      <c r="A714" s="9" t="str">
        <f aca="false">Vessels!B11</f>
        <v>Vessel 07</v>
      </c>
      <c r="B714" s="9" t="s">
        <v>42</v>
      </c>
      <c r="C714" s="7" t="s">
        <v>78</v>
      </c>
      <c r="D714" s="9" t="s">
        <v>59</v>
      </c>
      <c r="E714" s="9" t="s">
        <v>58</v>
      </c>
      <c r="F714" s="5"/>
      <c r="G714" s="10"/>
      <c r="H714" s="11" t="str">
        <f aca="false">IFERROR(IF($D714="Manual Review","",IF($G714="","",IF($D714="Direct Expiry",$G714,EDATE($G714,$F714)))),"Check Date")</f>
        <v/>
      </c>
      <c r="I714" s="12" t="str">
        <f aca="true">IF($H714="","",IF(ISNUMBER($H714),$H714-TODAY(),""))</f>
        <v/>
      </c>
      <c r="J714" s="4" t="str">
        <f aca="true">IF($D714="Manual Review","Manual Review",IF($G714="","No Data",IF(NOT(ISNUMBER($H714)),"N/A",IF($H714&lt;TODAY(),"Overdue",IF($H714&lt;=TODAY()+30,"Due within 1 Month",IF($H714&lt;=TODAY()+60,"Due within 2 Months","OK"))))))</f>
        <v>No Data</v>
      </c>
      <c r="K714" s="13"/>
    </row>
    <row r="715" customFormat="false" ht="15" hidden="false" customHeight="false" outlineLevel="0" collapsed="false">
      <c r="A715" s="9" t="str">
        <f aca="false">Vessels!B11</f>
        <v>Vessel 07</v>
      </c>
      <c r="B715" s="9" t="s">
        <v>42</v>
      </c>
      <c r="C715" s="7" t="s">
        <v>79</v>
      </c>
      <c r="D715" s="9" t="s">
        <v>45</v>
      </c>
      <c r="E715" s="9" t="s">
        <v>44</v>
      </c>
      <c r="F715" s="5" t="n">
        <v>12</v>
      </c>
      <c r="G715" s="10"/>
      <c r="H715" s="11" t="str">
        <f aca="false">IFERROR(IF($D715="Manual Review","",IF($G715="","",IF($D715="Direct Expiry",$G715,EDATE($G715,$F715)))),"Check Date")</f>
        <v/>
      </c>
      <c r="I715" s="12" t="str">
        <f aca="true">IF($H715="","",IF(ISNUMBER($H715),$H715-TODAY(),""))</f>
        <v/>
      </c>
      <c r="J715" s="4" t="str">
        <f aca="true">IF($D715="Manual Review","Manual Review",IF($G715="","No Data",IF(NOT(ISNUMBER($H715)),"N/A",IF($H715&lt;TODAY(),"Overdue",IF($H715&lt;=TODAY()+30,"Due within 1 Month",IF($H715&lt;=TODAY()+60,"Due within 2 Months","OK"))))))</f>
        <v>No Data</v>
      </c>
      <c r="K715" s="13"/>
    </row>
    <row r="716" customFormat="false" ht="15" hidden="false" customHeight="false" outlineLevel="0" collapsed="false">
      <c r="A716" s="9" t="str">
        <f aca="false">Vessels!B11</f>
        <v>Vessel 07</v>
      </c>
      <c r="B716" s="9" t="s">
        <v>42</v>
      </c>
      <c r="C716" s="7" t="s">
        <v>80</v>
      </c>
      <c r="D716" s="9" t="s">
        <v>45</v>
      </c>
      <c r="E716" s="9" t="s">
        <v>81</v>
      </c>
      <c r="F716" s="5" t="n">
        <v>36</v>
      </c>
      <c r="G716" s="10"/>
      <c r="H716" s="11" t="str">
        <f aca="false">IFERROR(IF($D716="Manual Review","",IF($G716="","",IF($D716="Direct Expiry",$G716,EDATE($G716,$F716)))),"Check Date")</f>
        <v/>
      </c>
      <c r="I716" s="12" t="str">
        <f aca="true">IF($H716="","",IF(ISNUMBER($H716),$H716-TODAY(),""))</f>
        <v/>
      </c>
      <c r="J716" s="4" t="str">
        <f aca="true">IF($D716="Manual Review","Manual Review",IF($G716="","No Data",IF(NOT(ISNUMBER($H716)),"N/A",IF($H716&lt;TODAY(),"Overdue",IF($H716&lt;=TODAY()+30,"Due within 1 Month",IF($H716&lt;=TODAY()+60,"Due within 2 Months","OK"))))))</f>
        <v>No Data</v>
      </c>
      <c r="K716" s="13"/>
    </row>
    <row r="717" customFormat="false" ht="15" hidden="false" customHeight="false" outlineLevel="0" collapsed="false">
      <c r="A717" s="9" t="str">
        <f aca="false">Vessels!B11</f>
        <v>Vessel 07</v>
      </c>
      <c r="B717" s="9" t="s">
        <v>42</v>
      </c>
      <c r="C717" s="7" t="s">
        <v>80</v>
      </c>
      <c r="D717" s="9" t="s">
        <v>45</v>
      </c>
      <c r="E717" s="9" t="s">
        <v>82</v>
      </c>
      <c r="F717" s="5" t="n">
        <v>24</v>
      </c>
      <c r="G717" s="10"/>
      <c r="H717" s="11" t="str">
        <f aca="false">IFERROR(IF($D717="Manual Review","",IF($G717="","",IF($D717="Direct Expiry",$G717,EDATE($G717,$F717)))),"Check Date")</f>
        <v/>
      </c>
      <c r="I717" s="12" t="str">
        <f aca="true">IF($H717="","",IF(ISNUMBER($H717),$H717-TODAY(),""))</f>
        <v/>
      </c>
      <c r="J717" s="4" t="str">
        <f aca="true">IF($D717="Manual Review","Manual Review",IF($G717="","No Data",IF(NOT(ISNUMBER($H717)),"N/A",IF($H717&lt;TODAY(),"Overdue",IF($H717&lt;=TODAY()+30,"Due within 1 Month",IF($H717&lt;=TODAY()+60,"Due within 2 Months","OK"))))))</f>
        <v>No Data</v>
      </c>
      <c r="K717" s="13"/>
    </row>
    <row r="718" customFormat="false" ht="15" hidden="false" customHeight="false" outlineLevel="0" collapsed="false">
      <c r="A718" s="9" t="str">
        <f aca="false">Vessels!B11</f>
        <v>Vessel 07</v>
      </c>
      <c r="B718" s="9" t="s">
        <v>42</v>
      </c>
      <c r="C718" s="7" t="s">
        <v>83</v>
      </c>
      <c r="D718" s="9" t="s">
        <v>45</v>
      </c>
      <c r="E718" s="9" t="s">
        <v>44</v>
      </c>
      <c r="F718" s="5" t="n">
        <v>12</v>
      </c>
      <c r="G718" s="10"/>
      <c r="H718" s="11" t="str">
        <f aca="false">IFERROR(IF($D718="Manual Review","",IF($G718="","",IF($D718="Direct Expiry",$G718,EDATE($G718,$F718)))),"Check Date")</f>
        <v/>
      </c>
      <c r="I718" s="12" t="str">
        <f aca="true">IF($H718="","",IF(ISNUMBER($H718),$H718-TODAY(),""))</f>
        <v/>
      </c>
      <c r="J718" s="4" t="str">
        <f aca="true">IF($D718="Manual Review","Manual Review",IF($G718="","No Data",IF(NOT(ISNUMBER($H718)),"N/A",IF($H718&lt;TODAY(),"Overdue",IF($H718&lt;=TODAY()+30,"Due within 1 Month",IF($H718&lt;=TODAY()+60,"Due within 2 Months","OK"))))))</f>
        <v>No Data</v>
      </c>
      <c r="K718" s="13"/>
    </row>
    <row r="719" customFormat="false" ht="15" hidden="false" customHeight="false" outlineLevel="0" collapsed="false">
      <c r="A719" s="9" t="str">
        <f aca="false">Vessels!B11</f>
        <v>Vessel 07</v>
      </c>
      <c r="B719" s="9" t="s">
        <v>42</v>
      </c>
      <c r="C719" s="7" t="s">
        <v>83</v>
      </c>
      <c r="D719" s="9" t="s">
        <v>45</v>
      </c>
      <c r="E719" s="9" t="s">
        <v>84</v>
      </c>
      <c r="F719" s="5" t="n">
        <v>60</v>
      </c>
      <c r="G719" s="10"/>
      <c r="H719" s="11" t="str">
        <f aca="false">IFERROR(IF($D719="Manual Review","",IF($G719="","",IF($D719="Direct Expiry",$G719,EDATE($G719,$F719)))),"Check Date")</f>
        <v/>
      </c>
      <c r="I719" s="12" t="str">
        <f aca="true">IF($H719="","",IF(ISNUMBER($H719),$H719-TODAY(),""))</f>
        <v/>
      </c>
      <c r="J719" s="4" t="str">
        <f aca="true">IF($D719="Manual Review","Manual Review",IF($G719="","No Data",IF(NOT(ISNUMBER($H719)),"N/A",IF($H719&lt;TODAY(),"Overdue",IF($H719&lt;=TODAY()+30,"Due within 1 Month",IF($H719&lt;=TODAY()+60,"Due within 2 Months","OK"))))))</f>
        <v>No Data</v>
      </c>
      <c r="K719" s="13"/>
    </row>
    <row r="720" customFormat="false" ht="15" hidden="false" customHeight="false" outlineLevel="0" collapsed="false">
      <c r="A720" s="9" t="str">
        <f aca="false">Vessels!B11</f>
        <v>Vessel 07</v>
      </c>
      <c r="B720" s="9" t="s">
        <v>42</v>
      </c>
      <c r="C720" s="7" t="s">
        <v>85</v>
      </c>
      <c r="D720" s="9" t="s">
        <v>45</v>
      </c>
      <c r="E720" s="9" t="s">
        <v>44</v>
      </c>
      <c r="F720" s="5" t="n">
        <v>12</v>
      </c>
      <c r="G720" s="10"/>
      <c r="H720" s="11" t="str">
        <f aca="false">IFERROR(IF($D720="Manual Review","",IF($G720="","",IF($D720="Direct Expiry",$G720,EDATE($G720,$F720)))),"Check Date")</f>
        <v/>
      </c>
      <c r="I720" s="12" t="str">
        <f aca="true">IF($H720="","",IF(ISNUMBER($H720),$H720-TODAY(),""))</f>
        <v/>
      </c>
      <c r="J720" s="4" t="str">
        <f aca="true">IF($D720="Manual Review","Manual Review",IF($G720="","No Data",IF(NOT(ISNUMBER($H720)),"N/A",IF($H720&lt;TODAY(),"Overdue",IF($H720&lt;=TODAY()+30,"Due within 1 Month",IF($H720&lt;=TODAY()+60,"Due within 2 Months","OK"))))))</f>
        <v>No Data</v>
      </c>
      <c r="K720" s="13"/>
    </row>
    <row r="721" customFormat="false" ht="15" hidden="false" customHeight="false" outlineLevel="0" collapsed="false">
      <c r="A721" s="9" t="str">
        <f aca="false">Vessels!B11</f>
        <v>Vessel 07</v>
      </c>
      <c r="B721" s="9" t="s">
        <v>42</v>
      </c>
      <c r="C721" s="7" t="s">
        <v>85</v>
      </c>
      <c r="D721" s="9" t="s">
        <v>45</v>
      </c>
      <c r="E721" s="9" t="s">
        <v>84</v>
      </c>
      <c r="F721" s="5" t="n">
        <v>60</v>
      </c>
      <c r="G721" s="10"/>
      <c r="H721" s="11" t="str">
        <f aca="false">IFERROR(IF($D721="Manual Review","",IF($G721="","",IF($D721="Direct Expiry",$G721,EDATE($G721,$F721)))),"Check Date")</f>
        <v/>
      </c>
      <c r="I721" s="12" t="str">
        <f aca="true">IF($H721="","",IF(ISNUMBER($H721),$H721-TODAY(),""))</f>
        <v/>
      </c>
      <c r="J721" s="4" t="str">
        <f aca="true">IF($D721="Manual Review","Manual Review",IF($G721="","No Data",IF(NOT(ISNUMBER($H721)),"N/A",IF($H721&lt;TODAY(),"Overdue",IF($H721&lt;=TODAY()+30,"Due within 1 Month",IF($H721&lt;=TODAY()+60,"Due within 2 Months","OK"))))))</f>
        <v>No Data</v>
      </c>
      <c r="K721" s="13"/>
    </row>
    <row r="722" customFormat="false" ht="15" hidden="false" customHeight="false" outlineLevel="0" collapsed="false">
      <c r="A722" s="9" t="str">
        <f aca="false">Vessels!B11</f>
        <v>Vessel 07</v>
      </c>
      <c r="B722" s="9" t="s">
        <v>42</v>
      </c>
      <c r="C722" s="7" t="s">
        <v>86</v>
      </c>
      <c r="D722" s="9" t="s">
        <v>45</v>
      </c>
      <c r="E722" s="9" t="s">
        <v>44</v>
      </c>
      <c r="F722" s="5" t="n">
        <v>12</v>
      </c>
      <c r="G722" s="10"/>
      <c r="H722" s="11" t="str">
        <f aca="false">IFERROR(IF($D722="Manual Review","",IF($G722="","",IF($D722="Direct Expiry",$G722,EDATE($G722,$F722)))),"Check Date")</f>
        <v/>
      </c>
      <c r="I722" s="12" t="str">
        <f aca="true">IF($H722="","",IF(ISNUMBER($H722),$H722-TODAY(),""))</f>
        <v/>
      </c>
      <c r="J722" s="4" t="str">
        <f aca="true">IF($D722="Manual Review","Manual Review",IF($G722="","No Data",IF(NOT(ISNUMBER($H722)),"N/A",IF($H722&lt;TODAY(),"Overdue",IF($H722&lt;=TODAY()+30,"Due within 1 Month",IF($H722&lt;=TODAY()+60,"Due within 2 Months","OK"))))))</f>
        <v>No Data</v>
      </c>
      <c r="K722" s="13"/>
    </row>
    <row r="723" customFormat="false" ht="15" hidden="false" customHeight="false" outlineLevel="0" collapsed="false">
      <c r="A723" s="9" t="str">
        <f aca="false">Vessels!B11</f>
        <v>Vessel 07</v>
      </c>
      <c r="B723" s="9" t="s">
        <v>42</v>
      </c>
      <c r="C723" s="7" t="s">
        <v>87</v>
      </c>
      <c r="D723" s="9" t="s">
        <v>45</v>
      </c>
      <c r="E723" s="9" t="s">
        <v>44</v>
      </c>
      <c r="F723" s="5" t="n">
        <v>12</v>
      </c>
      <c r="G723" s="10"/>
      <c r="H723" s="11" t="str">
        <f aca="false">IFERROR(IF($D723="Manual Review","",IF($G723="","",IF($D723="Direct Expiry",$G723,EDATE($G723,$F723)))),"Check Date")</f>
        <v/>
      </c>
      <c r="I723" s="12" t="str">
        <f aca="true">IF($H723="","",IF(ISNUMBER($H723),$H723-TODAY(),""))</f>
        <v/>
      </c>
      <c r="J723" s="4" t="str">
        <f aca="true">IF($D723="Manual Review","Manual Review",IF($G723="","No Data",IF(NOT(ISNUMBER($H723)),"N/A",IF($H723&lt;TODAY(),"Overdue",IF($H723&lt;=TODAY()+30,"Due within 1 Month",IF($H723&lt;=TODAY()+60,"Due within 2 Months","OK"))))))</f>
        <v>No Data</v>
      </c>
      <c r="K723" s="13"/>
    </row>
    <row r="724" customFormat="false" ht="15" hidden="false" customHeight="false" outlineLevel="0" collapsed="false">
      <c r="A724" s="9" t="str">
        <f aca="false">Vessels!B11</f>
        <v>Vessel 07</v>
      </c>
      <c r="B724" s="9" t="s">
        <v>88</v>
      </c>
      <c r="C724" s="7" t="s">
        <v>89</v>
      </c>
      <c r="D724" s="9" t="s">
        <v>45</v>
      </c>
      <c r="E724" s="9" t="s">
        <v>90</v>
      </c>
      <c r="F724" s="5" t="n">
        <v>36</v>
      </c>
      <c r="G724" s="10"/>
      <c r="H724" s="11" t="str">
        <f aca="false">IFERROR(IF($D724="Manual Review","",IF($G724="","",IF($D724="Direct Expiry",$G724,EDATE($G724,$F724)))),"Check Date")</f>
        <v/>
      </c>
      <c r="I724" s="12" t="str">
        <f aca="true">IF($H724="","",IF(ISNUMBER($H724),$H724-TODAY(),""))</f>
        <v/>
      </c>
      <c r="J724" s="4" t="str">
        <f aca="true">IF($D724="Manual Review","Manual Review",IF($G724="","No Data",IF(NOT(ISNUMBER($H724)),"N/A",IF($H724&lt;TODAY(),"Overdue",IF($H724&lt;=TODAY()+30,"Due within 1 Month",IF($H724&lt;=TODAY()+60,"Due within 2 Months","OK"))))))</f>
        <v>No Data</v>
      </c>
      <c r="K724" s="13"/>
    </row>
    <row r="725" customFormat="false" ht="15" hidden="false" customHeight="false" outlineLevel="0" collapsed="false">
      <c r="A725" s="9" t="str">
        <f aca="false">Vessels!B11</f>
        <v>Vessel 07</v>
      </c>
      <c r="B725" s="9" t="s">
        <v>88</v>
      </c>
      <c r="C725" s="7" t="s">
        <v>91</v>
      </c>
      <c r="D725" s="9" t="s">
        <v>45</v>
      </c>
      <c r="E725" s="9" t="s">
        <v>44</v>
      </c>
      <c r="F725" s="5" t="n">
        <v>12</v>
      </c>
      <c r="G725" s="10"/>
      <c r="H725" s="11" t="str">
        <f aca="false">IFERROR(IF($D725="Manual Review","",IF($G725="","",IF($D725="Direct Expiry",$G725,EDATE($G725,$F725)))),"Check Date")</f>
        <v/>
      </c>
      <c r="I725" s="12" t="str">
        <f aca="true">IF($H725="","",IF(ISNUMBER($H725),$H725-TODAY(),""))</f>
        <v/>
      </c>
      <c r="J725" s="4" t="str">
        <f aca="true">IF($D725="Manual Review","Manual Review",IF($G725="","No Data",IF(NOT(ISNUMBER($H725)),"N/A",IF($H725&lt;TODAY(),"Overdue",IF($H725&lt;=TODAY()+30,"Due within 1 Month",IF($H725&lt;=TODAY()+60,"Due within 2 Months","OK"))))))</f>
        <v>No Data</v>
      </c>
      <c r="K725" s="13"/>
    </row>
    <row r="726" customFormat="false" ht="15" hidden="false" customHeight="false" outlineLevel="0" collapsed="false">
      <c r="A726" s="9" t="str">
        <f aca="false">Vessels!B11</f>
        <v>Vessel 07</v>
      </c>
      <c r="B726" s="9" t="s">
        <v>88</v>
      </c>
      <c r="C726" s="7" t="s">
        <v>91</v>
      </c>
      <c r="D726" s="9" t="s">
        <v>45</v>
      </c>
      <c r="E726" s="9" t="s">
        <v>92</v>
      </c>
      <c r="F726" s="5" t="n">
        <v>120</v>
      </c>
      <c r="G726" s="10"/>
      <c r="H726" s="11" t="str">
        <f aca="false">IFERROR(IF($D726="Manual Review","",IF($G726="","",IF($D726="Direct Expiry",$G726,EDATE($G726,$F726)))),"Check Date")</f>
        <v/>
      </c>
      <c r="I726" s="12" t="str">
        <f aca="true">IF($H726="","",IF(ISNUMBER($H726),$H726-TODAY(),""))</f>
        <v/>
      </c>
      <c r="J726" s="4" t="str">
        <f aca="true">IF($D726="Manual Review","Manual Review",IF($G726="","No Data",IF(NOT(ISNUMBER($H726)),"N/A",IF($H726&lt;TODAY(),"Overdue",IF($H726&lt;=TODAY()+30,"Due within 1 Month",IF($H726&lt;=TODAY()+60,"Due within 2 Months","OK"))))))</f>
        <v>No Data</v>
      </c>
      <c r="K726" s="13"/>
    </row>
    <row r="727" customFormat="false" ht="15" hidden="false" customHeight="false" outlineLevel="0" collapsed="false">
      <c r="A727" s="9" t="str">
        <f aca="false">Vessels!B11</f>
        <v>Vessel 07</v>
      </c>
      <c r="B727" s="9" t="s">
        <v>88</v>
      </c>
      <c r="C727" s="7" t="s">
        <v>93</v>
      </c>
      <c r="D727" s="9" t="s">
        <v>45</v>
      </c>
      <c r="E727" s="9" t="s">
        <v>44</v>
      </c>
      <c r="F727" s="5" t="n">
        <v>12</v>
      </c>
      <c r="G727" s="10"/>
      <c r="H727" s="11" t="str">
        <f aca="false">IFERROR(IF($D727="Manual Review","",IF($G727="","",IF($D727="Direct Expiry",$G727,EDATE($G727,$F727)))),"Check Date")</f>
        <v/>
      </c>
      <c r="I727" s="12" t="str">
        <f aca="true">IF($H727="","",IF(ISNUMBER($H727),$H727-TODAY(),""))</f>
        <v/>
      </c>
      <c r="J727" s="4" t="str">
        <f aca="true">IF($D727="Manual Review","Manual Review",IF($G727="","No Data",IF(NOT(ISNUMBER($H727)),"N/A",IF($H727&lt;TODAY(),"Overdue",IF($H727&lt;=TODAY()+30,"Due within 1 Month",IF($H727&lt;=TODAY()+60,"Due within 2 Months","OK"))))))</f>
        <v>No Data</v>
      </c>
      <c r="K727" s="13"/>
    </row>
    <row r="728" customFormat="false" ht="15" hidden="false" customHeight="false" outlineLevel="0" collapsed="false">
      <c r="A728" s="9" t="str">
        <f aca="false">Vessels!B11</f>
        <v>Vessel 07</v>
      </c>
      <c r="B728" s="9" t="s">
        <v>88</v>
      </c>
      <c r="C728" s="7" t="s">
        <v>93</v>
      </c>
      <c r="D728" s="9" t="s">
        <v>45</v>
      </c>
      <c r="E728" s="9" t="s">
        <v>92</v>
      </c>
      <c r="F728" s="5" t="n">
        <v>120</v>
      </c>
      <c r="G728" s="10"/>
      <c r="H728" s="11" t="str">
        <f aca="false">IFERROR(IF($D728="Manual Review","",IF($G728="","",IF($D728="Direct Expiry",$G728,EDATE($G728,$F728)))),"Check Date")</f>
        <v/>
      </c>
      <c r="I728" s="12" t="str">
        <f aca="true">IF($H728="","",IF(ISNUMBER($H728),$H728-TODAY(),""))</f>
        <v/>
      </c>
      <c r="J728" s="4" t="str">
        <f aca="true">IF($D728="Manual Review","Manual Review",IF($G728="","No Data",IF(NOT(ISNUMBER($H728)),"N/A",IF($H728&lt;TODAY(),"Overdue",IF($H728&lt;=TODAY()+30,"Due within 1 Month",IF($H728&lt;=TODAY()+60,"Due within 2 Months","OK"))))))</f>
        <v>No Data</v>
      </c>
      <c r="K728" s="13"/>
    </row>
    <row r="729" customFormat="false" ht="15" hidden="false" customHeight="false" outlineLevel="0" collapsed="false">
      <c r="A729" s="9" t="str">
        <f aca="false">Vessels!B11</f>
        <v>Vessel 07</v>
      </c>
      <c r="B729" s="9" t="s">
        <v>88</v>
      </c>
      <c r="C729" s="7" t="s">
        <v>94</v>
      </c>
      <c r="D729" s="9" t="s">
        <v>45</v>
      </c>
      <c r="E729" s="9" t="s">
        <v>44</v>
      </c>
      <c r="F729" s="5" t="n">
        <v>12</v>
      </c>
      <c r="G729" s="10"/>
      <c r="H729" s="11" t="str">
        <f aca="false">IFERROR(IF($D729="Manual Review","",IF($G729="","",IF($D729="Direct Expiry",$G729,EDATE($G729,$F729)))),"Check Date")</f>
        <v/>
      </c>
      <c r="I729" s="12" t="str">
        <f aca="true">IF($H729="","",IF(ISNUMBER($H729),$H729-TODAY(),""))</f>
        <v/>
      </c>
      <c r="J729" s="4" t="str">
        <f aca="true">IF($D729="Manual Review","Manual Review",IF($G729="","No Data",IF(NOT(ISNUMBER($H729)),"N/A",IF($H729&lt;TODAY(),"Overdue",IF($H729&lt;=TODAY()+30,"Due within 1 Month",IF($H729&lt;=TODAY()+60,"Due within 2 Months","OK"))))))</f>
        <v>No Data</v>
      </c>
      <c r="K729" s="13"/>
    </row>
    <row r="730" customFormat="false" ht="15" hidden="false" customHeight="false" outlineLevel="0" collapsed="false">
      <c r="A730" s="9" t="str">
        <f aca="false">Vessels!B11</f>
        <v>Vessel 07</v>
      </c>
      <c r="B730" s="9" t="s">
        <v>88</v>
      </c>
      <c r="C730" s="7" t="s">
        <v>94</v>
      </c>
      <c r="D730" s="9" t="s">
        <v>45</v>
      </c>
      <c r="E730" s="9" t="s">
        <v>92</v>
      </c>
      <c r="F730" s="5" t="n">
        <v>120</v>
      </c>
      <c r="G730" s="10"/>
      <c r="H730" s="11" t="str">
        <f aca="false">IFERROR(IF($D730="Manual Review","",IF($G730="","",IF($D730="Direct Expiry",$G730,EDATE($G730,$F730)))),"Check Date")</f>
        <v/>
      </c>
      <c r="I730" s="12" t="str">
        <f aca="true">IF($H730="","",IF(ISNUMBER($H730),$H730-TODAY(),""))</f>
        <v/>
      </c>
      <c r="J730" s="4" t="str">
        <f aca="true">IF($D730="Manual Review","Manual Review",IF($G730="","No Data",IF(NOT(ISNUMBER($H730)),"N/A",IF($H730&lt;TODAY(),"Overdue",IF($H730&lt;=TODAY()+30,"Due within 1 Month",IF($H730&lt;=TODAY()+60,"Due within 2 Months","OK"))))))</f>
        <v>No Data</v>
      </c>
      <c r="K730" s="13"/>
    </row>
    <row r="731" customFormat="false" ht="15" hidden="false" customHeight="false" outlineLevel="0" collapsed="false">
      <c r="A731" s="9" t="str">
        <f aca="false">Vessels!B11</f>
        <v>Vessel 07</v>
      </c>
      <c r="B731" s="9" t="s">
        <v>88</v>
      </c>
      <c r="C731" s="7" t="s">
        <v>95</v>
      </c>
      <c r="D731" s="9" t="s">
        <v>45</v>
      </c>
      <c r="E731" s="9" t="s">
        <v>44</v>
      </c>
      <c r="F731" s="5" t="n">
        <v>12</v>
      </c>
      <c r="G731" s="10"/>
      <c r="H731" s="11" t="str">
        <f aca="false">IFERROR(IF($D731="Manual Review","",IF($G731="","",IF($D731="Direct Expiry",$G731,EDATE($G731,$F731)))),"Check Date")</f>
        <v/>
      </c>
      <c r="I731" s="12" t="str">
        <f aca="true">IF($H731="","",IF(ISNUMBER($H731),$H731-TODAY(),""))</f>
        <v/>
      </c>
      <c r="J731" s="4" t="str">
        <f aca="true">IF($D731="Manual Review","Manual Review",IF($G731="","No Data",IF(NOT(ISNUMBER($H731)),"N/A",IF($H731&lt;TODAY(),"Overdue",IF($H731&lt;=TODAY()+30,"Due within 1 Month",IF($H731&lt;=TODAY()+60,"Due within 2 Months","OK"))))))</f>
        <v>No Data</v>
      </c>
      <c r="K731" s="13"/>
    </row>
    <row r="732" customFormat="false" ht="15" hidden="false" customHeight="false" outlineLevel="0" collapsed="false">
      <c r="A732" s="9" t="str">
        <f aca="false">Vessels!B11</f>
        <v>Vessel 07</v>
      </c>
      <c r="B732" s="9" t="s">
        <v>88</v>
      </c>
      <c r="C732" s="7" t="s">
        <v>95</v>
      </c>
      <c r="D732" s="9" t="s">
        <v>45</v>
      </c>
      <c r="E732" s="9" t="s">
        <v>92</v>
      </c>
      <c r="F732" s="5" t="n">
        <v>120</v>
      </c>
      <c r="G732" s="10"/>
      <c r="H732" s="11" t="str">
        <f aca="false">IFERROR(IF($D732="Manual Review","",IF($G732="","",IF($D732="Direct Expiry",$G732,EDATE($G732,$F732)))),"Check Date")</f>
        <v/>
      </c>
      <c r="I732" s="12" t="str">
        <f aca="true">IF($H732="","",IF(ISNUMBER($H732),$H732-TODAY(),""))</f>
        <v/>
      </c>
      <c r="J732" s="4" t="str">
        <f aca="true">IF($D732="Manual Review","Manual Review",IF($G732="","No Data",IF(NOT(ISNUMBER($H732)),"N/A",IF($H732&lt;TODAY(),"Overdue",IF($H732&lt;=TODAY()+30,"Due within 1 Month",IF($H732&lt;=TODAY()+60,"Due within 2 Months","OK"))))))</f>
        <v>No Data</v>
      </c>
      <c r="K732" s="13"/>
    </row>
    <row r="733" customFormat="false" ht="15" hidden="false" customHeight="false" outlineLevel="0" collapsed="false">
      <c r="A733" s="9" t="str">
        <f aca="false">Vessels!B11</f>
        <v>Vessel 07</v>
      </c>
      <c r="B733" s="9" t="s">
        <v>88</v>
      </c>
      <c r="C733" s="7" t="s">
        <v>96</v>
      </c>
      <c r="D733" s="9" t="s">
        <v>45</v>
      </c>
      <c r="E733" s="9" t="s">
        <v>44</v>
      </c>
      <c r="F733" s="5" t="n">
        <v>12</v>
      </c>
      <c r="G733" s="10"/>
      <c r="H733" s="11" t="str">
        <f aca="false">IFERROR(IF($D733="Manual Review","",IF($G733="","",IF($D733="Direct Expiry",$G733,EDATE($G733,$F733)))),"Check Date")</f>
        <v/>
      </c>
      <c r="I733" s="12" t="str">
        <f aca="true">IF($H733="","",IF(ISNUMBER($H733),$H733-TODAY(),""))</f>
        <v/>
      </c>
      <c r="J733" s="4" t="str">
        <f aca="true">IF($D733="Manual Review","Manual Review",IF($G733="","No Data",IF(NOT(ISNUMBER($H733)),"N/A",IF($H733&lt;TODAY(),"Overdue",IF($H733&lt;=TODAY()+30,"Due within 1 Month",IF($H733&lt;=TODAY()+60,"Due within 2 Months","OK"))))))</f>
        <v>No Data</v>
      </c>
      <c r="K733" s="13"/>
    </row>
    <row r="734" customFormat="false" ht="15" hidden="false" customHeight="false" outlineLevel="0" collapsed="false">
      <c r="A734" s="9" t="str">
        <f aca="false">Vessels!B11</f>
        <v>Vessel 07</v>
      </c>
      <c r="B734" s="9" t="s">
        <v>88</v>
      </c>
      <c r="C734" s="7" t="s">
        <v>96</v>
      </c>
      <c r="D734" s="9" t="s">
        <v>45</v>
      </c>
      <c r="E734" s="9" t="s">
        <v>97</v>
      </c>
      <c r="F734" s="5" t="n">
        <v>120</v>
      </c>
      <c r="G734" s="10"/>
      <c r="H734" s="11" t="str">
        <f aca="false">IFERROR(IF($D734="Manual Review","",IF($G734="","",IF($D734="Direct Expiry",$G734,EDATE($G734,$F734)))),"Check Date")</f>
        <v/>
      </c>
      <c r="I734" s="12" t="str">
        <f aca="true">IF($H734="","",IF(ISNUMBER($H734),$H734-TODAY(),""))</f>
        <v/>
      </c>
      <c r="J734" s="4" t="str">
        <f aca="true">IF($D734="Manual Review","Manual Review",IF($G734="","No Data",IF(NOT(ISNUMBER($H734)),"N/A",IF($H734&lt;TODAY(),"Overdue",IF($H734&lt;=TODAY()+30,"Due within 1 Month",IF($H734&lt;=TODAY()+60,"Due within 2 Months","OK"))))))</f>
        <v>No Data</v>
      </c>
      <c r="K734" s="13"/>
    </row>
    <row r="735" customFormat="false" ht="15" hidden="false" customHeight="false" outlineLevel="0" collapsed="false">
      <c r="A735" s="9" t="str">
        <f aca="false">Vessels!B11</f>
        <v>Vessel 07</v>
      </c>
      <c r="B735" s="9" t="s">
        <v>88</v>
      </c>
      <c r="C735" s="7" t="s">
        <v>98</v>
      </c>
      <c r="D735" s="9" t="s">
        <v>45</v>
      </c>
      <c r="E735" s="9" t="s">
        <v>44</v>
      </c>
      <c r="F735" s="5" t="n">
        <v>12</v>
      </c>
      <c r="G735" s="10"/>
      <c r="H735" s="11" t="str">
        <f aca="false">IFERROR(IF($D735="Manual Review","",IF($G735="","",IF($D735="Direct Expiry",$G735,EDATE($G735,$F735)))),"Check Date")</f>
        <v/>
      </c>
      <c r="I735" s="12" t="str">
        <f aca="true">IF($H735="","",IF(ISNUMBER($H735),$H735-TODAY(),""))</f>
        <v/>
      </c>
      <c r="J735" s="4" t="str">
        <f aca="true">IF($D735="Manual Review","Manual Review",IF($G735="","No Data",IF(NOT(ISNUMBER($H735)),"N/A",IF($H735&lt;TODAY(),"Overdue",IF($H735&lt;=TODAY()+30,"Due within 1 Month",IF($H735&lt;=TODAY()+60,"Due within 2 Months","OK"))))))</f>
        <v>No Data</v>
      </c>
      <c r="K735" s="13"/>
    </row>
    <row r="736" customFormat="false" ht="15" hidden="false" customHeight="false" outlineLevel="0" collapsed="false">
      <c r="A736" s="9" t="str">
        <f aca="false">Vessels!B11</f>
        <v>Vessel 07</v>
      </c>
      <c r="B736" s="9" t="s">
        <v>88</v>
      </c>
      <c r="C736" s="7" t="s">
        <v>98</v>
      </c>
      <c r="D736" s="9" t="s">
        <v>45</v>
      </c>
      <c r="E736" s="9" t="s">
        <v>99</v>
      </c>
      <c r="F736" s="5" t="n">
        <v>60</v>
      </c>
      <c r="G736" s="10"/>
      <c r="H736" s="11" t="str">
        <f aca="false">IFERROR(IF($D736="Manual Review","",IF($G736="","",IF($D736="Direct Expiry",$G736,EDATE($G736,$F736)))),"Check Date")</f>
        <v/>
      </c>
      <c r="I736" s="12" t="str">
        <f aca="true">IF($H736="","",IF(ISNUMBER($H736),$H736-TODAY(),""))</f>
        <v/>
      </c>
      <c r="J736" s="4" t="str">
        <f aca="true">IF($D736="Manual Review","Manual Review",IF($G736="","No Data",IF(NOT(ISNUMBER($H736)),"N/A",IF($H736&lt;TODAY(),"Overdue",IF($H736&lt;=TODAY()+30,"Due within 1 Month",IF($H736&lt;=TODAY()+60,"Due within 2 Months","OK"))))))</f>
        <v>No Data</v>
      </c>
      <c r="K736" s="13"/>
    </row>
    <row r="737" customFormat="false" ht="15" hidden="false" customHeight="false" outlineLevel="0" collapsed="false">
      <c r="A737" s="9" t="str">
        <f aca="false">Vessels!B11</f>
        <v>Vessel 07</v>
      </c>
      <c r="B737" s="9" t="s">
        <v>88</v>
      </c>
      <c r="C737" s="7" t="s">
        <v>100</v>
      </c>
      <c r="D737" s="9" t="s">
        <v>45</v>
      </c>
      <c r="E737" s="9" t="s">
        <v>44</v>
      </c>
      <c r="F737" s="5" t="n">
        <v>12</v>
      </c>
      <c r="G737" s="10"/>
      <c r="H737" s="11" t="str">
        <f aca="false">IFERROR(IF($D737="Manual Review","",IF($G737="","",IF($D737="Direct Expiry",$G737,EDATE($G737,$F737)))),"Check Date")</f>
        <v/>
      </c>
      <c r="I737" s="12" t="str">
        <f aca="true">IF($H737="","",IF(ISNUMBER($H737),$H737-TODAY(),""))</f>
        <v/>
      </c>
      <c r="J737" s="4" t="str">
        <f aca="true">IF($D737="Manual Review","Manual Review",IF($G737="","No Data",IF(NOT(ISNUMBER($H737)),"N/A",IF($H737&lt;TODAY(),"Overdue",IF($H737&lt;=TODAY()+30,"Due within 1 Month",IF($H737&lt;=TODAY()+60,"Due within 2 Months","OK"))))))</f>
        <v>No Data</v>
      </c>
      <c r="K737" s="13"/>
    </row>
    <row r="738" customFormat="false" ht="15" hidden="false" customHeight="false" outlineLevel="0" collapsed="false">
      <c r="A738" s="9" t="str">
        <f aca="false">Vessels!B11</f>
        <v>Vessel 07</v>
      </c>
      <c r="B738" s="9" t="s">
        <v>88</v>
      </c>
      <c r="C738" s="7" t="s">
        <v>100</v>
      </c>
      <c r="D738" s="9" t="s">
        <v>45</v>
      </c>
      <c r="E738" s="9" t="s">
        <v>99</v>
      </c>
      <c r="F738" s="5" t="n">
        <v>60</v>
      </c>
      <c r="G738" s="10"/>
      <c r="H738" s="11" t="str">
        <f aca="false">IFERROR(IF($D738="Manual Review","",IF($G738="","",IF($D738="Direct Expiry",$G738,EDATE($G738,$F738)))),"Check Date")</f>
        <v/>
      </c>
      <c r="I738" s="12" t="str">
        <f aca="true">IF($H738="","",IF(ISNUMBER($H738),$H738-TODAY(),""))</f>
        <v/>
      </c>
      <c r="J738" s="4" t="str">
        <f aca="true">IF($D738="Manual Review","Manual Review",IF($G738="","No Data",IF(NOT(ISNUMBER($H738)),"N/A",IF($H738&lt;TODAY(),"Overdue",IF($H738&lt;=TODAY()+30,"Due within 1 Month",IF($H738&lt;=TODAY()+60,"Due within 2 Months","OK"))))))</f>
        <v>No Data</v>
      </c>
      <c r="K738" s="13"/>
    </row>
    <row r="739" customFormat="false" ht="15" hidden="false" customHeight="false" outlineLevel="0" collapsed="false">
      <c r="A739" s="9" t="str">
        <f aca="false">Vessels!B11</f>
        <v>Vessel 07</v>
      </c>
      <c r="B739" s="9" t="s">
        <v>88</v>
      </c>
      <c r="C739" s="7" t="s">
        <v>101</v>
      </c>
      <c r="D739" s="9" t="s">
        <v>45</v>
      </c>
      <c r="E739" s="9" t="s">
        <v>44</v>
      </c>
      <c r="F739" s="5" t="n">
        <v>12</v>
      </c>
      <c r="G739" s="10"/>
      <c r="H739" s="11" t="str">
        <f aca="false">IFERROR(IF($D739="Manual Review","",IF($G739="","",IF($D739="Direct Expiry",$G739,EDATE($G739,$F739)))),"Check Date")</f>
        <v/>
      </c>
      <c r="I739" s="12" t="str">
        <f aca="true">IF($H739="","",IF(ISNUMBER($H739),$H739-TODAY(),""))</f>
        <v/>
      </c>
      <c r="J739" s="4" t="str">
        <f aca="true">IF($D739="Manual Review","Manual Review",IF($G739="","No Data",IF(NOT(ISNUMBER($H739)),"N/A",IF($H739&lt;TODAY(),"Overdue",IF($H739&lt;=TODAY()+30,"Due within 1 Month",IF($H739&lt;=TODAY()+60,"Due within 2 Months","OK"))))))</f>
        <v>No Data</v>
      </c>
      <c r="K739" s="13"/>
    </row>
    <row r="740" customFormat="false" ht="23.85" hidden="false" customHeight="false" outlineLevel="0" collapsed="false">
      <c r="A740" s="9" t="str">
        <f aca="false">Vessels!B11</f>
        <v>Vessel 07</v>
      </c>
      <c r="B740" s="9" t="s">
        <v>88</v>
      </c>
      <c r="C740" s="7" t="s">
        <v>102</v>
      </c>
      <c r="D740" s="9" t="s">
        <v>45</v>
      </c>
      <c r="E740" s="9" t="s">
        <v>44</v>
      </c>
      <c r="F740" s="5" t="n">
        <v>12</v>
      </c>
      <c r="G740" s="10"/>
      <c r="H740" s="11" t="str">
        <f aca="false">IFERROR(IF($D740="Manual Review","",IF($G740="","",IF($D740="Direct Expiry",$G740,EDATE($G740,$F740)))),"Check Date")</f>
        <v/>
      </c>
      <c r="I740" s="12" t="str">
        <f aca="true">IF($H740="","",IF(ISNUMBER($H740),$H740-TODAY(),""))</f>
        <v/>
      </c>
      <c r="J740" s="4" t="str">
        <f aca="true">IF($D740="Manual Review","Manual Review",IF($G740="","No Data",IF(NOT(ISNUMBER($H740)),"N/A",IF($H740&lt;TODAY(),"Overdue",IF($H740&lt;=TODAY()+30,"Due within 1 Month",IF($H740&lt;=TODAY()+60,"Due within 2 Months","OK"))))))</f>
        <v>No Data</v>
      </c>
      <c r="K740" s="13"/>
    </row>
    <row r="741" customFormat="false" ht="23.85" hidden="false" customHeight="false" outlineLevel="0" collapsed="false">
      <c r="A741" s="9" t="str">
        <f aca="false">Vessels!B11</f>
        <v>Vessel 07</v>
      </c>
      <c r="B741" s="9" t="s">
        <v>88</v>
      </c>
      <c r="C741" s="7" t="s">
        <v>102</v>
      </c>
      <c r="D741" s="9" t="s">
        <v>45</v>
      </c>
      <c r="E741" s="9" t="s">
        <v>97</v>
      </c>
      <c r="F741" s="5" t="n">
        <v>120</v>
      </c>
      <c r="G741" s="10"/>
      <c r="H741" s="11" t="str">
        <f aca="false">IFERROR(IF($D741="Manual Review","",IF($G741="","",IF($D741="Direct Expiry",$G741,EDATE($G741,$F741)))),"Check Date")</f>
        <v/>
      </c>
      <c r="I741" s="12" t="str">
        <f aca="true">IF($H741="","",IF(ISNUMBER($H741),$H741-TODAY(),""))</f>
        <v/>
      </c>
      <c r="J741" s="4" t="str">
        <f aca="true">IF($D741="Manual Review","Manual Review",IF($G741="","No Data",IF(NOT(ISNUMBER($H741)),"N/A",IF($H741&lt;TODAY(),"Overdue",IF($H741&lt;=TODAY()+30,"Due within 1 Month",IF($H741&lt;=TODAY()+60,"Due within 2 Months","OK"))))))</f>
        <v>No Data</v>
      </c>
      <c r="K741" s="13"/>
    </row>
    <row r="742" customFormat="false" ht="15" hidden="false" customHeight="false" outlineLevel="0" collapsed="false">
      <c r="A742" s="9" t="str">
        <f aca="false">Vessels!B11</f>
        <v>Vessel 07</v>
      </c>
      <c r="B742" s="9" t="s">
        <v>88</v>
      </c>
      <c r="C742" s="7" t="s">
        <v>103</v>
      </c>
      <c r="D742" s="9" t="s">
        <v>45</v>
      </c>
      <c r="E742" s="9" t="s">
        <v>44</v>
      </c>
      <c r="F742" s="5" t="n">
        <v>12</v>
      </c>
      <c r="G742" s="10"/>
      <c r="H742" s="11" t="str">
        <f aca="false">IFERROR(IF($D742="Manual Review","",IF($G742="","",IF($D742="Direct Expiry",$G742,EDATE($G742,$F742)))),"Check Date")</f>
        <v/>
      </c>
      <c r="I742" s="12" t="str">
        <f aca="true">IF($H742="","",IF(ISNUMBER($H742),$H742-TODAY(),""))</f>
        <v/>
      </c>
      <c r="J742" s="4" t="str">
        <f aca="true">IF($D742="Manual Review","Manual Review",IF($G742="","No Data",IF(NOT(ISNUMBER($H742)),"N/A",IF($H742&lt;TODAY(),"Overdue",IF($H742&lt;=TODAY()+30,"Due within 1 Month",IF($H742&lt;=TODAY()+60,"Due within 2 Months","OK"))))))</f>
        <v>No Data</v>
      </c>
      <c r="K742" s="13"/>
    </row>
    <row r="743" customFormat="false" ht="15" hidden="false" customHeight="false" outlineLevel="0" collapsed="false">
      <c r="A743" s="9" t="str">
        <f aca="false">Vessels!B11</f>
        <v>Vessel 07</v>
      </c>
      <c r="B743" s="9" t="s">
        <v>88</v>
      </c>
      <c r="C743" s="7" t="s">
        <v>103</v>
      </c>
      <c r="D743" s="9" t="s">
        <v>45</v>
      </c>
      <c r="E743" s="9" t="s">
        <v>97</v>
      </c>
      <c r="F743" s="5" t="n">
        <v>120</v>
      </c>
      <c r="G743" s="10"/>
      <c r="H743" s="11" t="str">
        <f aca="false">IFERROR(IF($D743="Manual Review","",IF($G743="","",IF($D743="Direct Expiry",$G743,EDATE($G743,$F743)))),"Check Date")</f>
        <v/>
      </c>
      <c r="I743" s="12" t="str">
        <f aca="true">IF($H743="","",IF(ISNUMBER($H743),$H743-TODAY(),""))</f>
        <v/>
      </c>
      <c r="J743" s="4" t="str">
        <f aca="true">IF($D743="Manual Review","Manual Review",IF($G743="","No Data",IF(NOT(ISNUMBER($H743)),"N/A",IF($H743&lt;TODAY(),"Overdue",IF($H743&lt;=TODAY()+30,"Due within 1 Month",IF($H743&lt;=TODAY()+60,"Due within 2 Months","OK"))))))</f>
        <v>No Data</v>
      </c>
      <c r="K743" s="13"/>
    </row>
    <row r="744" customFormat="false" ht="15" hidden="false" customHeight="false" outlineLevel="0" collapsed="false">
      <c r="A744" s="9" t="str">
        <f aca="false">Vessels!B11</f>
        <v>Vessel 07</v>
      </c>
      <c r="B744" s="9" t="s">
        <v>88</v>
      </c>
      <c r="C744" s="7" t="s">
        <v>104</v>
      </c>
      <c r="D744" s="9" t="s">
        <v>45</v>
      </c>
      <c r="E744" s="9" t="s">
        <v>44</v>
      </c>
      <c r="F744" s="5" t="n">
        <v>12</v>
      </c>
      <c r="G744" s="10"/>
      <c r="H744" s="11" t="str">
        <f aca="false">IFERROR(IF($D744="Manual Review","",IF($G744="","",IF($D744="Direct Expiry",$G744,EDATE($G744,$F744)))),"Check Date")</f>
        <v/>
      </c>
      <c r="I744" s="12" t="str">
        <f aca="true">IF($H744="","",IF(ISNUMBER($H744),$H744-TODAY(),""))</f>
        <v/>
      </c>
      <c r="J744" s="4" t="str">
        <f aca="true">IF($D744="Manual Review","Manual Review",IF($G744="","No Data",IF(NOT(ISNUMBER($H744)),"N/A",IF($H744&lt;TODAY(),"Overdue",IF($H744&lt;=TODAY()+30,"Due within 1 Month",IF($H744&lt;=TODAY()+60,"Due within 2 Months","OK"))))))</f>
        <v>No Data</v>
      </c>
      <c r="K744" s="13"/>
    </row>
    <row r="745" customFormat="false" ht="15" hidden="false" customHeight="false" outlineLevel="0" collapsed="false">
      <c r="A745" s="9" t="str">
        <f aca="false">Vessels!B11</f>
        <v>Vessel 07</v>
      </c>
      <c r="B745" s="9" t="s">
        <v>88</v>
      </c>
      <c r="C745" s="7" t="s">
        <v>105</v>
      </c>
      <c r="D745" s="9" t="s">
        <v>45</v>
      </c>
      <c r="E745" s="9" t="s">
        <v>44</v>
      </c>
      <c r="F745" s="5" t="n">
        <v>12</v>
      </c>
      <c r="G745" s="10"/>
      <c r="H745" s="11" t="str">
        <f aca="false">IFERROR(IF($D745="Manual Review","",IF($G745="","",IF($D745="Direct Expiry",$G745,EDATE($G745,$F745)))),"Check Date")</f>
        <v/>
      </c>
      <c r="I745" s="12" t="str">
        <f aca="true">IF($H745="","",IF(ISNUMBER($H745),$H745-TODAY(),""))</f>
        <v/>
      </c>
      <c r="J745" s="4" t="str">
        <f aca="true">IF($D745="Manual Review","Manual Review",IF($G745="","No Data",IF(NOT(ISNUMBER($H745)),"N/A",IF($H745&lt;TODAY(),"Overdue",IF($H745&lt;=TODAY()+30,"Due within 1 Month",IF($H745&lt;=TODAY()+60,"Due within 2 Months","OK"))))))</f>
        <v>No Data</v>
      </c>
      <c r="K745" s="13"/>
    </row>
    <row r="746" customFormat="false" ht="15" hidden="false" customHeight="false" outlineLevel="0" collapsed="false">
      <c r="A746" s="9" t="str">
        <f aca="false">Vessels!B11</f>
        <v>Vessel 07</v>
      </c>
      <c r="B746" s="9" t="s">
        <v>88</v>
      </c>
      <c r="C746" s="7" t="s">
        <v>106</v>
      </c>
      <c r="D746" s="9" t="s">
        <v>45</v>
      </c>
      <c r="E746" s="9" t="s">
        <v>44</v>
      </c>
      <c r="F746" s="5" t="n">
        <v>12</v>
      </c>
      <c r="G746" s="10"/>
      <c r="H746" s="11" t="str">
        <f aca="false">IFERROR(IF($D746="Manual Review","",IF($G746="","",IF($D746="Direct Expiry",$G746,EDATE($G746,$F746)))),"Check Date")</f>
        <v/>
      </c>
      <c r="I746" s="12" t="str">
        <f aca="true">IF($H746="","",IF(ISNUMBER($H746),$H746-TODAY(),""))</f>
        <v/>
      </c>
      <c r="J746" s="4" t="str">
        <f aca="true">IF($D746="Manual Review","Manual Review",IF($G746="","No Data",IF(NOT(ISNUMBER($H746)),"N/A",IF($H746&lt;TODAY(),"Overdue",IF($H746&lt;=TODAY()+30,"Due within 1 Month",IF($H746&lt;=TODAY()+60,"Due within 2 Months","OK"))))))</f>
        <v>No Data</v>
      </c>
      <c r="K746" s="13"/>
    </row>
    <row r="747" customFormat="false" ht="15" hidden="false" customHeight="false" outlineLevel="0" collapsed="false">
      <c r="A747" s="9" t="str">
        <f aca="false">Vessels!B11</f>
        <v>Vessel 07</v>
      </c>
      <c r="B747" s="9" t="s">
        <v>88</v>
      </c>
      <c r="C747" s="7" t="s">
        <v>107</v>
      </c>
      <c r="D747" s="9" t="s">
        <v>45</v>
      </c>
      <c r="E747" s="9" t="s">
        <v>44</v>
      </c>
      <c r="F747" s="5" t="n">
        <v>12</v>
      </c>
      <c r="G747" s="10"/>
      <c r="H747" s="11" t="str">
        <f aca="false">IFERROR(IF($D747="Manual Review","",IF($G747="","",IF($D747="Direct Expiry",$G747,EDATE($G747,$F747)))),"Check Date")</f>
        <v/>
      </c>
      <c r="I747" s="12" t="str">
        <f aca="true">IF($H747="","",IF(ISNUMBER($H747),$H747-TODAY(),""))</f>
        <v/>
      </c>
      <c r="J747" s="4" t="str">
        <f aca="true">IF($D747="Manual Review","Manual Review",IF($G747="","No Data",IF(NOT(ISNUMBER($H747)),"N/A",IF($H747&lt;TODAY(),"Overdue",IF($H747&lt;=TODAY()+30,"Due within 1 Month",IF($H747&lt;=TODAY()+60,"Due within 2 Months","OK"))))))</f>
        <v>No Data</v>
      </c>
      <c r="K747" s="13"/>
    </row>
    <row r="748" customFormat="false" ht="15" hidden="false" customHeight="false" outlineLevel="0" collapsed="false">
      <c r="A748" s="9" t="str">
        <f aca="false">Vessels!B11</f>
        <v>Vessel 07</v>
      </c>
      <c r="B748" s="9" t="s">
        <v>88</v>
      </c>
      <c r="C748" s="7" t="s">
        <v>108</v>
      </c>
      <c r="D748" s="9" t="s">
        <v>45</v>
      </c>
      <c r="E748" s="9" t="s">
        <v>109</v>
      </c>
      <c r="F748" s="5" t="n">
        <v>12</v>
      </c>
      <c r="G748" s="10"/>
      <c r="H748" s="11" t="str">
        <f aca="false">IFERROR(IF($D748="Manual Review","",IF($G748="","",IF($D748="Direct Expiry",$G748,EDATE($G748,$F748)))),"Check Date")</f>
        <v/>
      </c>
      <c r="I748" s="12" t="str">
        <f aca="true">IF($H748="","",IF(ISNUMBER($H748),$H748-TODAY(),""))</f>
        <v/>
      </c>
      <c r="J748" s="4" t="str">
        <f aca="true">IF($D748="Manual Review","Manual Review",IF($G748="","No Data",IF(NOT(ISNUMBER($H748)),"N/A",IF($H748&lt;TODAY(),"Overdue",IF($H748&lt;=TODAY()+30,"Due within 1 Month",IF($H748&lt;=TODAY()+60,"Due within 2 Months","OK"))))))</f>
        <v>No Data</v>
      </c>
      <c r="K748" s="13"/>
    </row>
    <row r="749" customFormat="false" ht="15" hidden="false" customHeight="false" outlineLevel="0" collapsed="false">
      <c r="A749" s="9" t="str">
        <f aca="false">Vessels!B11</f>
        <v>Vessel 07</v>
      </c>
      <c r="B749" s="9" t="s">
        <v>88</v>
      </c>
      <c r="C749" s="7" t="s">
        <v>108</v>
      </c>
      <c r="D749" s="9" t="s">
        <v>45</v>
      </c>
      <c r="E749" s="9" t="s">
        <v>110</v>
      </c>
      <c r="F749" s="5" t="n">
        <v>60</v>
      </c>
      <c r="G749" s="10"/>
      <c r="H749" s="11" t="str">
        <f aca="false">IFERROR(IF($D749="Manual Review","",IF($G749="","",IF($D749="Direct Expiry",$G749,EDATE($G749,$F749)))),"Check Date")</f>
        <v/>
      </c>
      <c r="I749" s="12" t="str">
        <f aca="true">IF($H749="","",IF(ISNUMBER($H749),$H749-TODAY(),""))</f>
        <v/>
      </c>
      <c r="J749" s="4" t="str">
        <f aca="true">IF($D749="Manual Review","Manual Review",IF($G749="","No Data",IF(NOT(ISNUMBER($H749)),"N/A",IF($H749&lt;TODAY(),"Overdue",IF($H749&lt;=TODAY()+30,"Due within 1 Month",IF($H749&lt;=TODAY()+60,"Due within 2 Months","OK"))))))</f>
        <v>No Data</v>
      </c>
      <c r="K749" s="13"/>
    </row>
    <row r="750" customFormat="false" ht="15" hidden="false" customHeight="false" outlineLevel="0" collapsed="false">
      <c r="A750" s="9" t="str">
        <f aca="false">Vessels!B11</f>
        <v>Vessel 07</v>
      </c>
      <c r="B750" s="9" t="s">
        <v>88</v>
      </c>
      <c r="C750" s="7" t="s">
        <v>111</v>
      </c>
      <c r="D750" s="9" t="s">
        <v>45</v>
      </c>
      <c r="E750" s="9" t="s">
        <v>44</v>
      </c>
      <c r="F750" s="5" t="n">
        <v>12</v>
      </c>
      <c r="G750" s="10"/>
      <c r="H750" s="11" t="str">
        <f aca="false">IFERROR(IF($D750="Manual Review","",IF($G750="","",IF($D750="Direct Expiry",$G750,EDATE($G750,$F750)))),"Check Date")</f>
        <v/>
      </c>
      <c r="I750" s="12" t="str">
        <f aca="true">IF($H750="","",IF(ISNUMBER($H750),$H750-TODAY(),""))</f>
        <v/>
      </c>
      <c r="J750" s="4" t="str">
        <f aca="true">IF($D750="Manual Review","Manual Review",IF($G750="","No Data",IF(NOT(ISNUMBER($H750)),"N/A",IF($H750&lt;TODAY(),"Overdue",IF($H750&lt;=TODAY()+30,"Due within 1 Month",IF($H750&lt;=TODAY()+60,"Due within 2 Months","OK"))))))</f>
        <v>No Data</v>
      </c>
      <c r="K750" s="13"/>
    </row>
    <row r="751" customFormat="false" ht="15" hidden="false" customHeight="false" outlineLevel="0" collapsed="false">
      <c r="A751" s="9" t="str">
        <f aca="false">Vessels!B11</f>
        <v>Vessel 07</v>
      </c>
      <c r="B751" s="9" t="s">
        <v>88</v>
      </c>
      <c r="C751" s="7" t="s">
        <v>112</v>
      </c>
      <c r="D751" s="9" t="s">
        <v>45</v>
      </c>
      <c r="E751" s="9" t="s">
        <v>44</v>
      </c>
      <c r="F751" s="5" t="n">
        <v>12</v>
      </c>
      <c r="G751" s="10"/>
      <c r="H751" s="11" t="str">
        <f aca="false">IFERROR(IF($D751="Manual Review","",IF($G751="","",IF($D751="Direct Expiry",$G751,EDATE($G751,$F751)))),"Check Date")</f>
        <v/>
      </c>
      <c r="I751" s="12" t="str">
        <f aca="true">IF($H751="","",IF(ISNUMBER($H751),$H751-TODAY(),""))</f>
        <v/>
      </c>
      <c r="J751" s="4" t="str">
        <f aca="true">IF($D751="Manual Review","Manual Review",IF($G751="","No Data",IF(NOT(ISNUMBER($H751)),"N/A",IF($H751&lt;TODAY(),"Overdue",IF($H751&lt;=TODAY()+30,"Due within 1 Month",IF($H751&lt;=TODAY()+60,"Due within 2 Months","OK"))))))</f>
        <v>No Data</v>
      </c>
      <c r="K751" s="13"/>
    </row>
    <row r="752" customFormat="false" ht="15" hidden="false" customHeight="false" outlineLevel="0" collapsed="false">
      <c r="A752" s="9" t="str">
        <f aca="false">Vessels!B11</f>
        <v>Vessel 07</v>
      </c>
      <c r="B752" s="9" t="s">
        <v>88</v>
      </c>
      <c r="C752" s="7" t="s">
        <v>113</v>
      </c>
      <c r="D752" s="9" t="s">
        <v>115</v>
      </c>
      <c r="E752" s="9" t="s">
        <v>114</v>
      </c>
      <c r="F752" s="5"/>
      <c r="G752" s="10"/>
      <c r="H752" s="11" t="str">
        <f aca="false">IFERROR(IF($D752="Manual Review","",IF($G752="","",IF($D752="Direct Expiry",$G752,EDATE($G752,$F752)))),"Check Date")</f>
        <v/>
      </c>
      <c r="I752" s="12" t="str">
        <f aca="true">IF($H752="","",IF(ISNUMBER($H752),$H752-TODAY(),""))</f>
        <v/>
      </c>
      <c r="J752" s="4" t="str">
        <f aca="true">IF($D752="Manual Review","Manual Review",IF($G752="","No Data",IF(NOT(ISNUMBER($H752)),"N/A",IF($H752&lt;TODAY(),"Overdue",IF($H752&lt;=TODAY()+30,"Due within 1 Month",IF($H752&lt;=TODAY()+60,"Due within 2 Months","OK"))))))</f>
        <v>Manual Review</v>
      </c>
      <c r="K752" s="13"/>
    </row>
    <row r="753" customFormat="false" ht="15" hidden="false" customHeight="false" outlineLevel="0" collapsed="false">
      <c r="A753" s="9" t="str">
        <f aca="false">Vessels!B11</f>
        <v>Vessel 07</v>
      </c>
      <c r="B753" s="9" t="s">
        <v>88</v>
      </c>
      <c r="C753" s="7" t="s">
        <v>116</v>
      </c>
      <c r="D753" s="9" t="s">
        <v>115</v>
      </c>
      <c r="E753" s="9" t="s">
        <v>114</v>
      </c>
      <c r="F753" s="5"/>
      <c r="G753" s="10"/>
      <c r="H753" s="11" t="str">
        <f aca="false">IFERROR(IF($D753="Manual Review","",IF($G753="","",IF($D753="Direct Expiry",$G753,EDATE($G753,$F753)))),"Check Date")</f>
        <v/>
      </c>
      <c r="I753" s="12" t="str">
        <f aca="true">IF($H753="","",IF(ISNUMBER($H753),$H753-TODAY(),""))</f>
        <v/>
      </c>
      <c r="J753" s="4" t="str">
        <f aca="true">IF($D753="Manual Review","Manual Review",IF($G753="","No Data",IF(NOT(ISNUMBER($H753)),"N/A",IF($H753&lt;TODAY(),"Overdue",IF($H753&lt;=TODAY()+30,"Due within 1 Month",IF($H753&lt;=TODAY()+60,"Due within 2 Months","OK"))))))</f>
        <v>Manual Review</v>
      </c>
      <c r="K753" s="13"/>
    </row>
    <row r="754" customFormat="false" ht="15" hidden="false" customHeight="false" outlineLevel="0" collapsed="false">
      <c r="A754" s="9" t="str">
        <f aca="false">Vessels!B11</f>
        <v>Vessel 07</v>
      </c>
      <c r="B754" s="9" t="s">
        <v>117</v>
      </c>
      <c r="C754" s="7" t="s">
        <v>118</v>
      </c>
      <c r="D754" s="9" t="s">
        <v>59</v>
      </c>
      <c r="E754" s="9" t="s">
        <v>119</v>
      </c>
      <c r="F754" s="5"/>
      <c r="G754" s="10"/>
      <c r="H754" s="11" t="str">
        <f aca="false">IFERROR(IF($D754="Manual Review","",IF($G754="","",IF($D754="Direct Expiry",$G754,EDATE($G754,$F754)))),"Check Date")</f>
        <v/>
      </c>
      <c r="I754" s="12" t="str">
        <f aca="true">IF($H754="","",IF(ISNUMBER($H754),$H754-TODAY(),""))</f>
        <v/>
      </c>
      <c r="J754" s="4" t="str">
        <f aca="true">IF($D754="Manual Review","Manual Review",IF($G754="","No Data",IF(NOT(ISNUMBER($H754)),"N/A",IF($H754&lt;TODAY(),"Overdue",IF($H754&lt;=TODAY()+30,"Due within 1 Month",IF($H754&lt;=TODAY()+60,"Due within 2 Months","OK"))))))</f>
        <v>No Data</v>
      </c>
      <c r="K754" s="13"/>
    </row>
    <row r="755" customFormat="false" ht="15" hidden="false" customHeight="false" outlineLevel="0" collapsed="false">
      <c r="A755" s="9" t="str">
        <f aca="false">Vessels!B11</f>
        <v>Vessel 07</v>
      </c>
      <c r="B755" s="9" t="s">
        <v>117</v>
      </c>
      <c r="C755" s="7" t="s">
        <v>120</v>
      </c>
      <c r="D755" s="9" t="s">
        <v>45</v>
      </c>
      <c r="E755" s="9" t="s">
        <v>44</v>
      </c>
      <c r="F755" s="5" t="n">
        <v>12</v>
      </c>
      <c r="G755" s="10"/>
      <c r="H755" s="11" t="str">
        <f aca="false">IFERROR(IF($D755="Manual Review","",IF($G755="","",IF($D755="Direct Expiry",$G755,EDATE($G755,$F755)))),"Check Date")</f>
        <v/>
      </c>
      <c r="I755" s="12" t="str">
        <f aca="true">IF($H755="","",IF(ISNUMBER($H755),$H755-TODAY(),""))</f>
        <v/>
      </c>
      <c r="J755" s="4" t="str">
        <f aca="true">IF($D755="Manual Review","Manual Review",IF($G755="","No Data",IF(NOT(ISNUMBER($H755)),"N/A",IF($H755&lt;TODAY(),"Overdue",IF($H755&lt;=TODAY()+30,"Due within 1 Month",IF($H755&lt;=TODAY()+60,"Due within 2 Months","OK"))))))</f>
        <v>No Data</v>
      </c>
      <c r="K755" s="13"/>
    </row>
    <row r="756" customFormat="false" ht="15" hidden="false" customHeight="false" outlineLevel="0" collapsed="false">
      <c r="A756" s="9" t="str">
        <f aca="false">Vessels!B11</f>
        <v>Vessel 07</v>
      </c>
      <c r="B756" s="9" t="s">
        <v>117</v>
      </c>
      <c r="C756" s="7" t="s">
        <v>121</v>
      </c>
      <c r="D756" s="9" t="s">
        <v>45</v>
      </c>
      <c r="E756" s="9" t="s">
        <v>44</v>
      </c>
      <c r="F756" s="5" t="n">
        <v>12</v>
      </c>
      <c r="G756" s="10"/>
      <c r="H756" s="11" t="str">
        <f aca="false">IFERROR(IF($D756="Manual Review","",IF($G756="","",IF($D756="Direct Expiry",$G756,EDATE($G756,$F756)))),"Check Date")</f>
        <v/>
      </c>
      <c r="I756" s="12" t="str">
        <f aca="true">IF($H756="","",IF(ISNUMBER($H756),$H756-TODAY(),""))</f>
        <v/>
      </c>
      <c r="J756" s="4" t="str">
        <f aca="true">IF($D756="Manual Review","Manual Review",IF($G756="","No Data",IF(NOT(ISNUMBER($H756)),"N/A",IF($H756&lt;TODAY(),"Overdue",IF($H756&lt;=TODAY()+30,"Due within 1 Month",IF($H756&lt;=TODAY()+60,"Due within 2 Months","OK"))))))</f>
        <v>No Data</v>
      </c>
      <c r="K756" s="13"/>
    </row>
    <row r="757" customFormat="false" ht="15" hidden="false" customHeight="false" outlineLevel="0" collapsed="false">
      <c r="A757" s="9" t="str">
        <f aca="false">Vessels!B11</f>
        <v>Vessel 07</v>
      </c>
      <c r="B757" s="9" t="s">
        <v>117</v>
      </c>
      <c r="C757" s="7" t="s">
        <v>122</v>
      </c>
      <c r="D757" s="9" t="s">
        <v>45</v>
      </c>
      <c r="E757" s="9" t="s">
        <v>123</v>
      </c>
      <c r="F757" s="5" t="n">
        <v>24</v>
      </c>
      <c r="G757" s="10"/>
      <c r="H757" s="11" t="str">
        <f aca="false">IFERROR(IF($D757="Manual Review","",IF($G757="","",IF($D757="Direct Expiry",$G757,EDATE($G757,$F757)))),"Check Date")</f>
        <v/>
      </c>
      <c r="I757" s="12" t="str">
        <f aca="true">IF($H757="","",IF(ISNUMBER($H757),$H757-TODAY(),""))</f>
        <v/>
      </c>
      <c r="J757" s="4" t="str">
        <f aca="true">IF($D757="Manual Review","Manual Review",IF($G757="","No Data",IF(NOT(ISNUMBER($H757)),"N/A",IF($H757&lt;TODAY(),"Overdue",IF($H757&lt;=TODAY()+30,"Due within 1 Month",IF($H757&lt;=TODAY()+60,"Due within 2 Months","OK"))))))</f>
        <v>No Data</v>
      </c>
      <c r="K757" s="13"/>
    </row>
    <row r="758" customFormat="false" ht="15" hidden="false" customHeight="false" outlineLevel="0" collapsed="false">
      <c r="A758" s="9" t="str">
        <f aca="false">Vessels!B11</f>
        <v>Vessel 07</v>
      </c>
      <c r="B758" s="9" t="s">
        <v>117</v>
      </c>
      <c r="C758" s="7" t="s">
        <v>124</v>
      </c>
      <c r="D758" s="9" t="s">
        <v>59</v>
      </c>
      <c r="E758" s="9" t="s">
        <v>58</v>
      </c>
      <c r="F758" s="5"/>
      <c r="G758" s="10"/>
      <c r="H758" s="11" t="str">
        <f aca="false">IFERROR(IF($D758="Manual Review","",IF($G758="","",IF($D758="Direct Expiry",$G758,EDATE($G758,$F758)))),"Check Date")</f>
        <v/>
      </c>
      <c r="I758" s="12" t="str">
        <f aca="true">IF($H758="","",IF(ISNUMBER($H758),$H758-TODAY(),""))</f>
        <v/>
      </c>
      <c r="J758" s="4" t="str">
        <f aca="true">IF($D758="Manual Review","Manual Review",IF($G758="","No Data",IF(NOT(ISNUMBER($H758)),"N/A",IF($H758&lt;TODAY(),"Overdue",IF($H758&lt;=TODAY()+30,"Due within 1 Month",IF($H758&lt;=TODAY()+60,"Due within 2 Months","OK"))))))</f>
        <v>No Data</v>
      </c>
      <c r="K758" s="13"/>
    </row>
    <row r="759" customFormat="false" ht="15" hidden="false" customHeight="false" outlineLevel="0" collapsed="false">
      <c r="A759" s="9" t="str">
        <f aca="false">Vessels!B11</f>
        <v>Vessel 07</v>
      </c>
      <c r="B759" s="9" t="s">
        <v>117</v>
      </c>
      <c r="C759" s="7" t="s">
        <v>125</v>
      </c>
      <c r="D759" s="9" t="s">
        <v>59</v>
      </c>
      <c r="E759" s="9" t="s">
        <v>58</v>
      </c>
      <c r="F759" s="5"/>
      <c r="G759" s="10"/>
      <c r="H759" s="11" t="str">
        <f aca="false">IFERROR(IF($D759="Manual Review","",IF($G759="","",IF($D759="Direct Expiry",$G759,EDATE($G759,$F759)))),"Check Date")</f>
        <v/>
      </c>
      <c r="I759" s="12" t="str">
        <f aca="true">IF($H759="","",IF(ISNUMBER($H759),$H759-TODAY(),""))</f>
        <v/>
      </c>
      <c r="J759" s="4" t="str">
        <f aca="true">IF($D759="Manual Review","Manual Review",IF($G759="","No Data",IF(NOT(ISNUMBER($H759)),"N/A",IF($H759&lt;TODAY(),"Overdue",IF($H759&lt;=TODAY()+30,"Due within 1 Month",IF($H759&lt;=TODAY()+60,"Due within 2 Months","OK"))))))</f>
        <v>No Data</v>
      </c>
      <c r="K759" s="13"/>
    </row>
    <row r="760" customFormat="false" ht="15" hidden="false" customHeight="false" outlineLevel="0" collapsed="false">
      <c r="A760" s="9" t="str">
        <f aca="false">Vessels!B11</f>
        <v>Vessel 07</v>
      </c>
      <c r="B760" s="9" t="s">
        <v>117</v>
      </c>
      <c r="C760" s="7" t="s">
        <v>126</v>
      </c>
      <c r="D760" s="9" t="s">
        <v>45</v>
      </c>
      <c r="E760" s="9" t="s">
        <v>44</v>
      </c>
      <c r="F760" s="5" t="n">
        <v>12</v>
      </c>
      <c r="G760" s="10"/>
      <c r="H760" s="11" t="str">
        <f aca="false">IFERROR(IF($D760="Manual Review","",IF($G760="","",IF($D760="Direct Expiry",$G760,EDATE($G760,$F760)))),"Check Date")</f>
        <v/>
      </c>
      <c r="I760" s="12" t="str">
        <f aca="true">IF($H760="","",IF(ISNUMBER($H760),$H760-TODAY(),""))</f>
        <v/>
      </c>
      <c r="J760" s="4" t="str">
        <f aca="true">IF($D760="Manual Review","Manual Review",IF($G760="","No Data",IF(NOT(ISNUMBER($H760)),"N/A",IF($H760&lt;TODAY(),"Overdue",IF($H760&lt;=TODAY()+30,"Due within 1 Month",IF($H760&lt;=TODAY()+60,"Due within 2 Months","OK"))))))</f>
        <v>No Data</v>
      </c>
      <c r="K760" s="13"/>
    </row>
    <row r="761" customFormat="false" ht="15" hidden="false" customHeight="false" outlineLevel="0" collapsed="false">
      <c r="A761" s="9" t="str">
        <f aca="false">Vessels!B11</f>
        <v>Vessel 07</v>
      </c>
      <c r="B761" s="9" t="s">
        <v>117</v>
      </c>
      <c r="C761" s="7" t="s">
        <v>127</v>
      </c>
      <c r="D761" s="9" t="s">
        <v>59</v>
      </c>
      <c r="E761" s="9" t="s">
        <v>58</v>
      </c>
      <c r="F761" s="5"/>
      <c r="G761" s="10"/>
      <c r="H761" s="11" t="str">
        <f aca="false">IFERROR(IF($D761="Manual Review","",IF($G761="","",IF($D761="Direct Expiry",$G761,EDATE($G761,$F761)))),"Check Date")</f>
        <v/>
      </c>
      <c r="I761" s="12" t="str">
        <f aca="true">IF($H761="","",IF(ISNUMBER($H761),$H761-TODAY(),""))</f>
        <v/>
      </c>
      <c r="J761" s="4" t="str">
        <f aca="true">IF($D761="Manual Review","Manual Review",IF($G761="","No Data",IF(NOT(ISNUMBER($H761)),"N/A",IF($H761&lt;TODAY(),"Overdue",IF($H761&lt;=TODAY()+30,"Due within 1 Month",IF($H761&lt;=TODAY()+60,"Due within 2 Months","OK"))))))</f>
        <v>No Data</v>
      </c>
      <c r="K761" s="13"/>
    </row>
    <row r="762" customFormat="false" ht="15" hidden="false" customHeight="false" outlineLevel="0" collapsed="false">
      <c r="A762" s="9" t="str">
        <f aca="false">Vessels!B11</f>
        <v>Vessel 07</v>
      </c>
      <c r="B762" s="9" t="s">
        <v>117</v>
      </c>
      <c r="C762" s="7" t="s">
        <v>128</v>
      </c>
      <c r="D762" s="9" t="s">
        <v>59</v>
      </c>
      <c r="E762" s="9" t="s">
        <v>58</v>
      </c>
      <c r="F762" s="5"/>
      <c r="G762" s="10"/>
      <c r="H762" s="11" t="str">
        <f aca="false">IFERROR(IF($D762="Manual Review","",IF($G762="","",IF($D762="Direct Expiry",$G762,EDATE($G762,$F762)))),"Check Date")</f>
        <v/>
      </c>
      <c r="I762" s="12" t="str">
        <f aca="true">IF($H762="","",IF(ISNUMBER($H762),$H762-TODAY(),""))</f>
        <v/>
      </c>
      <c r="J762" s="4" t="str">
        <f aca="true">IF($D762="Manual Review","Manual Review",IF($G762="","No Data",IF(NOT(ISNUMBER($H762)),"N/A",IF($H762&lt;TODAY(),"Overdue",IF($H762&lt;=TODAY()+30,"Due within 1 Month",IF($H762&lt;=TODAY()+60,"Due within 2 Months","OK"))))))</f>
        <v>No Data</v>
      </c>
      <c r="K762" s="13"/>
    </row>
    <row r="763" customFormat="false" ht="15" hidden="false" customHeight="false" outlineLevel="0" collapsed="false">
      <c r="A763" s="9" t="str">
        <f aca="false">Vessels!B11</f>
        <v>Vessel 07</v>
      </c>
      <c r="B763" s="9" t="s">
        <v>117</v>
      </c>
      <c r="C763" s="7" t="s">
        <v>129</v>
      </c>
      <c r="D763" s="9" t="s">
        <v>59</v>
      </c>
      <c r="E763" s="9" t="s">
        <v>58</v>
      </c>
      <c r="F763" s="5"/>
      <c r="G763" s="10"/>
      <c r="H763" s="11" t="str">
        <f aca="false">IFERROR(IF($D763="Manual Review","",IF($G763="","",IF($D763="Direct Expiry",$G763,EDATE($G763,$F763)))),"Check Date")</f>
        <v/>
      </c>
      <c r="I763" s="12" t="str">
        <f aca="true">IF($H763="","",IF(ISNUMBER($H763),$H763-TODAY(),""))</f>
        <v/>
      </c>
      <c r="J763" s="4" t="str">
        <f aca="true">IF($D763="Manual Review","Manual Review",IF($G763="","No Data",IF(NOT(ISNUMBER($H763)),"N/A",IF($H763&lt;TODAY(),"Overdue",IF($H763&lt;=TODAY()+30,"Due within 1 Month",IF($H763&lt;=TODAY()+60,"Due within 2 Months","OK"))))))</f>
        <v>No Data</v>
      </c>
      <c r="K763" s="13"/>
    </row>
    <row r="764" customFormat="false" ht="15" hidden="false" customHeight="false" outlineLevel="0" collapsed="false">
      <c r="A764" s="9" t="str">
        <f aca="false">Vessels!B11</f>
        <v>Vessel 07</v>
      </c>
      <c r="B764" s="9" t="s">
        <v>117</v>
      </c>
      <c r="C764" s="7" t="s">
        <v>130</v>
      </c>
      <c r="D764" s="9" t="s">
        <v>45</v>
      </c>
      <c r="E764" s="9" t="s">
        <v>44</v>
      </c>
      <c r="F764" s="5" t="n">
        <v>12</v>
      </c>
      <c r="G764" s="10"/>
      <c r="H764" s="11" t="str">
        <f aca="false">IFERROR(IF($D764="Manual Review","",IF($G764="","",IF($D764="Direct Expiry",$G764,EDATE($G764,$F764)))),"Check Date")</f>
        <v/>
      </c>
      <c r="I764" s="12" t="str">
        <f aca="true">IF($H764="","",IF(ISNUMBER($H764),$H764-TODAY(),""))</f>
        <v/>
      </c>
      <c r="J764" s="4" t="str">
        <f aca="true">IF($D764="Manual Review","Manual Review",IF($G764="","No Data",IF(NOT(ISNUMBER($H764)),"N/A",IF($H764&lt;TODAY(),"Overdue",IF($H764&lt;=TODAY()+30,"Due within 1 Month",IF($H764&lt;=TODAY()+60,"Due within 2 Months","OK"))))))</f>
        <v>No Data</v>
      </c>
      <c r="K764" s="13"/>
    </row>
    <row r="765" customFormat="false" ht="15" hidden="false" customHeight="false" outlineLevel="0" collapsed="false">
      <c r="A765" s="9" t="str">
        <f aca="false">Vessels!B11</f>
        <v>Vessel 07</v>
      </c>
      <c r="B765" s="9" t="s">
        <v>117</v>
      </c>
      <c r="C765" s="7" t="s">
        <v>131</v>
      </c>
      <c r="D765" s="9" t="s">
        <v>45</v>
      </c>
      <c r="E765" s="9" t="s">
        <v>44</v>
      </c>
      <c r="F765" s="5" t="n">
        <v>12</v>
      </c>
      <c r="G765" s="10"/>
      <c r="H765" s="11" t="str">
        <f aca="false">IFERROR(IF($D765="Manual Review","",IF($G765="","",IF($D765="Direct Expiry",$G765,EDATE($G765,$F765)))),"Check Date")</f>
        <v/>
      </c>
      <c r="I765" s="12" t="str">
        <f aca="true">IF($H765="","",IF(ISNUMBER($H765),$H765-TODAY(),""))</f>
        <v/>
      </c>
      <c r="J765" s="4" t="str">
        <f aca="true">IF($D765="Manual Review","Manual Review",IF($G765="","No Data",IF(NOT(ISNUMBER($H765)),"N/A",IF($H765&lt;TODAY(),"Overdue",IF($H765&lt;=TODAY()+30,"Due within 1 Month",IF($H765&lt;=TODAY()+60,"Due within 2 Months","OK"))))))</f>
        <v>No Data</v>
      </c>
      <c r="K765" s="13"/>
    </row>
    <row r="766" customFormat="false" ht="15" hidden="false" customHeight="false" outlineLevel="0" collapsed="false">
      <c r="A766" s="9" t="str">
        <f aca="false">Vessels!B11</f>
        <v>Vessel 07</v>
      </c>
      <c r="B766" s="9" t="s">
        <v>117</v>
      </c>
      <c r="C766" s="7" t="s">
        <v>132</v>
      </c>
      <c r="D766" s="9" t="s">
        <v>45</v>
      </c>
      <c r="E766" s="9" t="s">
        <v>44</v>
      </c>
      <c r="F766" s="5" t="n">
        <v>12</v>
      </c>
      <c r="G766" s="10"/>
      <c r="H766" s="11" t="str">
        <f aca="false">IFERROR(IF($D766="Manual Review","",IF($G766="","",IF($D766="Direct Expiry",$G766,EDATE($G766,$F766)))),"Check Date")</f>
        <v/>
      </c>
      <c r="I766" s="12" t="str">
        <f aca="true">IF($H766="","",IF(ISNUMBER($H766),$H766-TODAY(),""))</f>
        <v/>
      </c>
      <c r="J766" s="4" t="str">
        <f aca="true">IF($D766="Manual Review","Manual Review",IF($G766="","No Data",IF(NOT(ISNUMBER($H766)),"N/A",IF($H766&lt;TODAY(),"Overdue",IF($H766&lt;=TODAY()+30,"Due within 1 Month",IF($H766&lt;=TODAY()+60,"Due within 2 Months","OK"))))))</f>
        <v>No Data</v>
      </c>
      <c r="K766" s="13"/>
    </row>
    <row r="767" customFormat="false" ht="15" hidden="false" customHeight="false" outlineLevel="0" collapsed="false">
      <c r="A767" s="9" t="str">
        <f aca="false">Vessels!B11</f>
        <v>Vessel 07</v>
      </c>
      <c r="B767" s="9" t="s">
        <v>117</v>
      </c>
      <c r="C767" s="7" t="s">
        <v>133</v>
      </c>
      <c r="D767" s="9" t="s">
        <v>45</v>
      </c>
      <c r="E767" s="9" t="s">
        <v>44</v>
      </c>
      <c r="F767" s="5" t="n">
        <v>12</v>
      </c>
      <c r="G767" s="10"/>
      <c r="H767" s="11" t="str">
        <f aca="false">IFERROR(IF($D767="Manual Review","",IF($G767="","",IF($D767="Direct Expiry",$G767,EDATE($G767,$F767)))),"Check Date")</f>
        <v/>
      </c>
      <c r="I767" s="12" t="str">
        <f aca="true">IF($H767="","",IF(ISNUMBER($H767),$H767-TODAY(),""))</f>
        <v/>
      </c>
      <c r="J767" s="4" t="str">
        <f aca="true">IF($D767="Manual Review","Manual Review",IF($G767="","No Data",IF(NOT(ISNUMBER($H767)),"N/A",IF($H767&lt;TODAY(),"Overdue",IF($H767&lt;=TODAY()+30,"Due within 1 Month",IF($H767&lt;=TODAY()+60,"Due within 2 Months","OK"))))))</f>
        <v>No Data</v>
      </c>
      <c r="K767" s="13"/>
    </row>
    <row r="768" customFormat="false" ht="15" hidden="false" customHeight="false" outlineLevel="0" collapsed="false">
      <c r="A768" s="9" t="str">
        <f aca="false">Vessels!B11</f>
        <v>Vessel 07</v>
      </c>
      <c r="B768" s="9" t="s">
        <v>117</v>
      </c>
      <c r="C768" s="7" t="s">
        <v>134</v>
      </c>
      <c r="D768" s="9" t="s">
        <v>45</v>
      </c>
      <c r="E768" s="9" t="s">
        <v>44</v>
      </c>
      <c r="F768" s="5" t="n">
        <v>12</v>
      </c>
      <c r="G768" s="10"/>
      <c r="H768" s="11" t="str">
        <f aca="false">IFERROR(IF($D768="Manual Review","",IF($G768="","",IF($D768="Direct Expiry",$G768,EDATE($G768,$F768)))),"Check Date")</f>
        <v/>
      </c>
      <c r="I768" s="12" t="str">
        <f aca="true">IF($H768="","",IF(ISNUMBER($H768),$H768-TODAY(),""))</f>
        <v/>
      </c>
      <c r="J768" s="4" t="str">
        <f aca="true">IF($D768="Manual Review","Manual Review",IF($G768="","No Data",IF(NOT(ISNUMBER($H768)),"N/A",IF($H768&lt;TODAY(),"Overdue",IF($H768&lt;=TODAY()+30,"Due within 1 Month",IF($H768&lt;=TODAY()+60,"Due within 2 Months","OK"))))))</f>
        <v>No Data</v>
      </c>
      <c r="K768" s="13"/>
    </row>
    <row r="769" customFormat="false" ht="15" hidden="false" customHeight="false" outlineLevel="0" collapsed="false">
      <c r="A769" s="9" t="str">
        <f aca="false">Vessels!B11</f>
        <v>Vessel 07</v>
      </c>
      <c r="B769" s="9" t="s">
        <v>117</v>
      </c>
      <c r="C769" s="7" t="s">
        <v>135</v>
      </c>
      <c r="D769" s="9" t="s">
        <v>45</v>
      </c>
      <c r="E769" s="9" t="s">
        <v>44</v>
      </c>
      <c r="F769" s="5" t="n">
        <v>12</v>
      </c>
      <c r="G769" s="10"/>
      <c r="H769" s="11" t="str">
        <f aca="false">IFERROR(IF($D769="Manual Review","",IF($G769="","",IF($D769="Direct Expiry",$G769,EDATE($G769,$F769)))),"Check Date")</f>
        <v/>
      </c>
      <c r="I769" s="12" t="str">
        <f aca="true">IF($H769="","",IF(ISNUMBER($H769),$H769-TODAY(),""))</f>
        <v/>
      </c>
      <c r="J769" s="4" t="str">
        <f aca="true">IF($D769="Manual Review","Manual Review",IF($G769="","No Data",IF(NOT(ISNUMBER($H769)),"N/A",IF($H769&lt;TODAY(),"Overdue",IF($H769&lt;=TODAY()+30,"Due within 1 Month",IF($H769&lt;=TODAY()+60,"Due within 2 Months","OK"))))))</f>
        <v>No Data</v>
      </c>
      <c r="K769" s="13"/>
    </row>
    <row r="770" customFormat="false" ht="15" hidden="false" customHeight="false" outlineLevel="0" collapsed="false">
      <c r="A770" s="9" t="str">
        <f aca="false">Vessels!B11</f>
        <v>Vessel 07</v>
      </c>
      <c r="B770" s="9" t="s">
        <v>136</v>
      </c>
      <c r="C770" s="7" t="s">
        <v>137</v>
      </c>
      <c r="D770" s="9" t="s">
        <v>45</v>
      </c>
      <c r="E770" s="9" t="s">
        <v>44</v>
      </c>
      <c r="F770" s="5" t="n">
        <v>12</v>
      </c>
      <c r="G770" s="10"/>
      <c r="H770" s="11" t="str">
        <f aca="false">IFERROR(IF($D770="Manual Review","",IF($G770="","",IF($D770="Direct Expiry",$G770,EDATE($G770,$F770)))),"Check Date")</f>
        <v/>
      </c>
      <c r="I770" s="12" t="str">
        <f aca="true">IF($H770="","",IF(ISNUMBER($H770),$H770-TODAY(),""))</f>
        <v/>
      </c>
      <c r="J770" s="4" t="str">
        <f aca="true">IF($D770="Manual Review","Manual Review",IF($G770="","No Data",IF(NOT(ISNUMBER($H770)),"N/A",IF($H770&lt;TODAY(),"Overdue",IF($H770&lt;=TODAY()+30,"Due within 1 Month",IF($H770&lt;=TODAY()+60,"Due within 2 Months","OK"))))))</f>
        <v>No Data</v>
      </c>
      <c r="K770" s="13"/>
    </row>
    <row r="771" customFormat="false" ht="15" hidden="false" customHeight="false" outlineLevel="0" collapsed="false">
      <c r="A771" s="9" t="str">
        <f aca="false">Vessels!B11</f>
        <v>Vessel 07</v>
      </c>
      <c r="B771" s="9" t="s">
        <v>136</v>
      </c>
      <c r="C771" s="7" t="s">
        <v>138</v>
      </c>
      <c r="D771" s="9" t="s">
        <v>45</v>
      </c>
      <c r="E771" s="9" t="s">
        <v>44</v>
      </c>
      <c r="F771" s="5" t="n">
        <v>12</v>
      </c>
      <c r="G771" s="10"/>
      <c r="H771" s="11" t="str">
        <f aca="false">IFERROR(IF($D771="Manual Review","",IF($G771="","",IF($D771="Direct Expiry",$G771,EDATE($G771,$F771)))),"Check Date")</f>
        <v/>
      </c>
      <c r="I771" s="12" t="str">
        <f aca="true">IF($H771="","",IF(ISNUMBER($H771),$H771-TODAY(),""))</f>
        <v/>
      </c>
      <c r="J771" s="4" t="str">
        <f aca="true">IF($D771="Manual Review","Manual Review",IF($G771="","No Data",IF(NOT(ISNUMBER($H771)),"N/A",IF($H771&lt;TODAY(),"Overdue",IF($H771&lt;=TODAY()+30,"Due within 1 Month",IF($H771&lt;=TODAY()+60,"Due within 2 Months","OK"))))))</f>
        <v>No Data</v>
      </c>
      <c r="K771" s="13"/>
    </row>
    <row r="772" customFormat="false" ht="15" hidden="false" customHeight="false" outlineLevel="0" collapsed="false">
      <c r="A772" s="9" t="str">
        <f aca="false">Vessels!B11</f>
        <v>Vessel 07</v>
      </c>
      <c r="B772" s="9" t="s">
        <v>136</v>
      </c>
      <c r="C772" s="7" t="s">
        <v>139</v>
      </c>
      <c r="D772" s="9" t="s">
        <v>45</v>
      </c>
      <c r="E772" s="9" t="s">
        <v>140</v>
      </c>
      <c r="F772" s="5" t="n">
        <v>12</v>
      </c>
      <c r="G772" s="10"/>
      <c r="H772" s="11" t="str">
        <f aca="false">IFERROR(IF($D772="Manual Review","",IF($G772="","",IF($D772="Direct Expiry",$G772,EDATE($G772,$F772)))),"Check Date")</f>
        <v/>
      </c>
      <c r="I772" s="12" t="str">
        <f aca="true">IF($H772="","",IF(ISNUMBER($H772),$H772-TODAY(),""))</f>
        <v/>
      </c>
      <c r="J772" s="4" t="str">
        <f aca="true">IF($D772="Manual Review","Manual Review",IF($G772="","No Data",IF(NOT(ISNUMBER($H772)),"N/A",IF($H772&lt;TODAY(),"Overdue",IF($H772&lt;=TODAY()+30,"Due within 1 Month",IF($H772&lt;=TODAY()+60,"Due within 2 Months","OK"))))))</f>
        <v>No Data</v>
      </c>
      <c r="K772" s="13"/>
    </row>
    <row r="773" customFormat="false" ht="15" hidden="false" customHeight="false" outlineLevel="0" collapsed="false">
      <c r="A773" s="9" t="str">
        <f aca="false">Vessels!B11</f>
        <v>Vessel 07</v>
      </c>
      <c r="B773" s="9" t="s">
        <v>136</v>
      </c>
      <c r="C773" s="7" t="s">
        <v>141</v>
      </c>
      <c r="D773" s="9" t="s">
        <v>45</v>
      </c>
      <c r="E773" s="9" t="s">
        <v>44</v>
      </c>
      <c r="F773" s="5" t="n">
        <v>12</v>
      </c>
      <c r="G773" s="10"/>
      <c r="H773" s="11" t="str">
        <f aca="false">IFERROR(IF($D773="Manual Review","",IF($G773="","",IF($D773="Direct Expiry",$G773,EDATE($G773,$F773)))),"Check Date")</f>
        <v/>
      </c>
      <c r="I773" s="12" t="str">
        <f aca="true">IF($H773="","",IF(ISNUMBER($H773),$H773-TODAY(),""))</f>
        <v/>
      </c>
      <c r="J773" s="4" t="str">
        <f aca="true">IF($D773="Manual Review","Manual Review",IF($G773="","No Data",IF(NOT(ISNUMBER($H773)),"N/A",IF($H773&lt;TODAY(),"Overdue",IF($H773&lt;=TODAY()+30,"Due within 1 Month",IF($H773&lt;=TODAY()+60,"Due within 2 Months","OK"))))))</f>
        <v>No Data</v>
      </c>
      <c r="K773" s="13"/>
    </row>
    <row r="774" customFormat="false" ht="15" hidden="false" customHeight="false" outlineLevel="0" collapsed="false">
      <c r="A774" s="9" t="str">
        <f aca="false">Vessels!B11</f>
        <v>Vessel 07</v>
      </c>
      <c r="B774" s="9" t="s">
        <v>136</v>
      </c>
      <c r="C774" s="7" t="s">
        <v>142</v>
      </c>
      <c r="D774" s="9" t="s">
        <v>115</v>
      </c>
      <c r="E774" s="9" t="s">
        <v>143</v>
      </c>
      <c r="F774" s="5"/>
      <c r="G774" s="10"/>
      <c r="H774" s="11" t="str">
        <f aca="false">IFERROR(IF($D774="Manual Review","",IF($G774="","",IF($D774="Direct Expiry",$G774,EDATE($G774,$F774)))),"Check Date")</f>
        <v/>
      </c>
      <c r="I774" s="12" t="str">
        <f aca="true">IF($H774="","",IF(ISNUMBER($H774),$H774-TODAY(),""))</f>
        <v/>
      </c>
      <c r="J774" s="4" t="str">
        <f aca="true">IF($D774="Manual Review","Manual Review",IF($G774="","No Data",IF(NOT(ISNUMBER($H774)),"N/A",IF($H774&lt;TODAY(),"Overdue",IF($H774&lt;=TODAY()+30,"Due within 1 Month",IF($H774&lt;=TODAY()+60,"Due within 2 Months","OK"))))))</f>
        <v>Manual Review</v>
      </c>
      <c r="K774" s="13"/>
    </row>
    <row r="775" customFormat="false" ht="15" hidden="false" customHeight="false" outlineLevel="0" collapsed="false">
      <c r="A775" s="9" t="str">
        <f aca="false">Vessels!B11</f>
        <v>Vessel 07</v>
      </c>
      <c r="B775" s="9" t="s">
        <v>136</v>
      </c>
      <c r="C775" s="7" t="s">
        <v>144</v>
      </c>
      <c r="D775" s="9" t="s">
        <v>45</v>
      </c>
      <c r="E775" s="9" t="s">
        <v>44</v>
      </c>
      <c r="F775" s="5" t="n">
        <v>12</v>
      </c>
      <c r="G775" s="10"/>
      <c r="H775" s="11" t="str">
        <f aca="false">IFERROR(IF($D775="Manual Review","",IF($G775="","",IF($D775="Direct Expiry",$G775,EDATE($G775,$F775)))),"Check Date")</f>
        <v/>
      </c>
      <c r="I775" s="12" t="str">
        <f aca="true">IF($H775="","",IF(ISNUMBER($H775),$H775-TODAY(),""))</f>
        <v/>
      </c>
      <c r="J775" s="4" t="str">
        <f aca="true">IF($D775="Manual Review","Manual Review",IF($G775="","No Data",IF(NOT(ISNUMBER($H775)),"N/A",IF($H775&lt;TODAY(),"Overdue",IF($H775&lt;=TODAY()+30,"Due within 1 Month",IF($H775&lt;=TODAY()+60,"Due within 2 Months","OK"))))))</f>
        <v>No Data</v>
      </c>
      <c r="K775" s="13"/>
    </row>
    <row r="776" customFormat="false" ht="15" hidden="false" customHeight="false" outlineLevel="0" collapsed="false">
      <c r="A776" s="9" t="str">
        <f aca="false">Vessels!B11</f>
        <v>Vessel 07</v>
      </c>
      <c r="B776" s="9" t="s">
        <v>136</v>
      </c>
      <c r="C776" s="7" t="s">
        <v>145</v>
      </c>
      <c r="D776" s="9" t="s">
        <v>45</v>
      </c>
      <c r="E776" s="9" t="s">
        <v>44</v>
      </c>
      <c r="F776" s="5" t="n">
        <v>12</v>
      </c>
      <c r="G776" s="10"/>
      <c r="H776" s="11" t="str">
        <f aca="false">IFERROR(IF($D776="Manual Review","",IF($G776="","",IF($D776="Direct Expiry",$G776,EDATE($G776,$F776)))),"Check Date")</f>
        <v/>
      </c>
      <c r="I776" s="12" t="str">
        <f aca="true">IF($H776="","",IF(ISNUMBER($H776),$H776-TODAY(),""))</f>
        <v/>
      </c>
      <c r="J776" s="4" t="str">
        <f aca="true">IF($D776="Manual Review","Manual Review",IF($G776="","No Data",IF(NOT(ISNUMBER($H776)),"N/A",IF($H776&lt;TODAY(),"Overdue",IF($H776&lt;=TODAY()+30,"Due within 1 Month",IF($H776&lt;=TODAY()+60,"Due within 2 Months","OK"))))))</f>
        <v>No Data</v>
      </c>
      <c r="K776" s="13"/>
    </row>
    <row r="777" customFormat="false" ht="15" hidden="false" customHeight="false" outlineLevel="0" collapsed="false">
      <c r="A777" s="9" t="str">
        <f aca="false">Vessels!B11</f>
        <v>Vessel 07</v>
      </c>
      <c r="B777" s="9" t="s">
        <v>136</v>
      </c>
      <c r="C777" s="7" t="s">
        <v>146</v>
      </c>
      <c r="D777" s="9" t="s">
        <v>45</v>
      </c>
      <c r="E777" s="9" t="s">
        <v>44</v>
      </c>
      <c r="F777" s="5" t="n">
        <v>12</v>
      </c>
      <c r="G777" s="10"/>
      <c r="H777" s="11" t="str">
        <f aca="false">IFERROR(IF($D777="Manual Review","",IF($G777="","",IF($D777="Direct Expiry",$G777,EDATE($G777,$F777)))),"Check Date")</f>
        <v/>
      </c>
      <c r="I777" s="12" t="str">
        <f aca="true">IF($H777="","",IF(ISNUMBER($H777),$H777-TODAY(),""))</f>
        <v/>
      </c>
      <c r="J777" s="4" t="str">
        <f aca="true">IF($D777="Manual Review","Manual Review",IF($G777="","No Data",IF(NOT(ISNUMBER($H777)),"N/A",IF($H777&lt;TODAY(),"Overdue",IF($H777&lt;=TODAY()+30,"Due within 1 Month",IF($H777&lt;=TODAY()+60,"Due within 2 Months","OK"))))))</f>
        <v>No Data</v>
      </c>
      <c r="K777" s="13"/>
    </row>
    <row r="778" customFormat="false" ht="15" hidden="false" customHeight="false" outlineLevel="0" collapsed="false">
      <c r="A778" s="9" t="str">
        <f aca="false">Vessels!B11</f>
        <v>Vessel 07</v>
      </c>
      <c r="B778" s="9" t="s">
        <v>136</v>
      </c>
      <c r="C778" s="7" t="s">
        <v>147</v>
      </c>
      <c r="D778" s="9" t="s">
        <v>45</v>
      </c>
      <c r="E778" s="9" t="s">
        <v>44</v>
      </c>
      <c r="F778" s="5" t="n">
        <v>12</v>
      </c>
      <c r="G778" s="10"/>
      <c r="H778" s="11" t="str">
        <f aca="false">IFERROR(IF($D778="Manual Review","",IF($G778="","",IF($D778="Direct Expiry",$G778,EDATE($G778,$F778)))),"Check Date")</f>
        <v/>
      </c>
      <c r="I778" s="12" t="str">
        <f aca="true">IF($H778="","",IF(ISNUMBER($H778),$H778-TODAY(),""))</f>
        <v/>
      </c>
      <c r="J778" s="4" t="str">
        <f aca="true">IF($D778="Manual Review","Manual Review",IF($G778="","No Data",IF(NOT(ISNUMBER($H778)),"N/A",IF($H778&lt;TODAY(),"Overdue",IF($H778&lt;=TODAY()+30,"Due within 1 Month",IF($H778&lt;=TODAY()+60,"Due within 2 Months","OK"))))))</f>
        <v>No Data</v>
      </c>
      <c r="K778" s="13"/>
    </row>
    <row r="779" customFormat="false" ht="15" hidden="false" customHeight="false" outlineLevel="0" collapsed="false">
      <c r="A779" s="9" t="str">
        <f aca="false">Vessels!B11</f>
        <v>Vessel 07</v>
      </c>
      <c r="B779" s="9" t="s">
        <v>136</v>
      </c>
      <c r="C779" s="7" t="s">
        <v>148</v>
      </c>
      <c r="D779" s="9" t="s">
        <v>45</v>
      </c>
      <c r="E779" s="9" t="s">
        <v>44</v>
      </c>
      <c r="F779" s="5" t="n">
        <v>12</v>
      </c>
      <c r="G779" s="10"/>
      <c r="H779" s="11" t="str">
        <f aca="false">IFERROR(IF($D779="Manual Review","",IF($G779="","",IF($D779="Direct Expiry",$G779,EDATE($G779,$F779)))),"Check Date")</f>
        <v/>
      </c>
      <c r="I779" s="12" t="str">
        <f aca="true">IF($H779="","",IF(ISNUMBER($H779),$H779-TODAY(),""))</f>
        <v/>
      </c>
      <c r="J779" s="4" t="str">
        <f aca="true">IF($D779="Manual Review","Manual Review",IF($G779="","No Data",IF(NOT(ISNUMBER($H779)),"N/A",IF($H779&lt;TODAY(),"Overdue",IF($H779&lt;=TODAY()+30,"Due within 1 Month",IF($H779&lt;=TODAY()+60,"Due within 2 Months","OK"))))))</f>
        <v>No Data</v>
      </c>
      <c r="K779" s="13"/>
    </row>
    <row r="780" customFormat="false" ht="15" hidden="false" customHeight="false" outlineLevel="0" collapsed="false">
      <c r="A780" s="9" t="str">
        <f aca="false">Vessels!B11</f>
        <v>Vessel 07</v>
      </c>
      <c r="B780" s="9" t="s">
        <v>136</v>
      </c>
      <c r="C780" s="7" t="s">
        <v>149</v>
      </c>
      <c r="D780" s="9" t="s">
        <v>45</v>
      </c>
      <c r="E780" s="9" t="s">
        <v>44</v>
      </c>
      <c r="F780" s="5" t="n">
        <v>12</v>
      </c>
      <c r="G780" s="10"/>
      <c r="H780" s="11" t="str">
        <f aca="false">IFERROR(IF($D780="Manual Review","",IF($G780="","",IF($D780="Direct Expiry",$G780,EDATE($G780,$F780)))),"Check Date")</f>
        <v/>
      </c>
      <c r="I780" s="12" t="str">
        <f aca="true">IF($H780="","",IF(ISNUMBER($H780),$H780-TODAY(),""))</f>
        <v/>
      </c>
      <c r="J780" s="4" t="str">
        <f aca="true">IF($D780="Manual Review","Manual Review",IF($G780="","No Data",IF(NOT(ISNUMBER($H780)),"N/A",IF($H780&lt;TODAY(),"Overdue",IF($H780&lt;=TODAY()+30,"Due within 1 Month",IF($H780&lt;=TODAY()+60,"Due within 2 Months","OK"))))))</f>
        <v>No Data</v>
      </c>
      <c r="K780" s="13"/>
    </row>
    <row r="781" customFormat="false" ht="15" hidden="false" customHeight="false" outlineLevel="0" collapsed="false">
      <c r="A781" s="9" t="str">
        <f aca="false">Vessels!B11</f>
        <v>Vessel 07</v>
      </c>
      <c r="B781" s="9" t="s">
        <v>136</v>
      </c>
      <c r="C781" s="7" t="s">
        <v>150</v>
      </c>
      <c r="D781" s="9" t="s">
        <v>45</v>
      </c>
      <c r="E781" s="9" t="s">
        <v>44</v>
      </c>
      <c r="F781" s="5" t="n">
        <v>12</v>
      </c>
      <c r="G781" s="10"/>
      <c r="H781" s="11" t="str">
        <f aca="false">IFERROR(IF($D781="Manual Review","",IF($G781="","",IF($D781="Direct Expiry",$G781,EDATE($G781,$F781)))),"Check Date")</f>
        <v/>
      </c>
      <c r="I781" s="12" t="str">
        <f aca="true">IF($H781="","",IF(ISNUMBER($H781),$H781-TODAY(),""))</f>
        <v/>
      </c>
      <c r="J781" s="4" t="str">
        <f aca="true">IF($D781="Manual Review","Manual Review",IF($G781="","No Data",IF(NOT(ISNUMBER($H781)),"N/A",IF($H781&lt;TODAY(),"Overdue",IF($H781&lt;=TODAY()+30,"Due within 1 Month",IF($H781&lt;=TODAY()+60,"Due within 2 Months","OK"))))))</f>
        <v>No Data</v>
      </c>
      <c r="K781" s="13"/>
    </row>
    <row r="782" customFormat="false" ht="15" hidden="false" customHeight="false" outlineLevel="0" collapsed="false">
      <c r="A782" s="9" t="str">
        <f aca="false">Vessels!B11</f>
        <v>Vessel 07</v>
      </c>
      <c r="B782" s="9" t="s">
        <v>136</v>
      </c>
      <c r="C782" s="7" t="s">
        <v>151</v>
      </c>
      <c r="D782" s="9" t="s">
        <v>45</v>
      </c>
      <c r="E782" s="9" t="s">
        <v>44</v>
      </c>
      <c r="F782" s="5" t="n">
        <v>12</v>
      </c>
      <c r="G782" s="10"/>
      <c r="H782" s="11" t="str">
        <f aca="false">IFERROR(IF($D782="Manual Review","",IF($G782="","",IF($D782="Direct Expiry",$G782,EDATE($G782,$F782)))),"Check Date")</f>
        <v/>
      </c>
      <c r="I782" s="12" t="str">
        <f aca="true">IF($H782="","",IF(ISNUMBER($H782),$H782-TODAY(),""))</f>
        <v/>
      </c>
      <c r="J782" s="4" t="str">
        <f aca="true">IF($D782="Manual Review","Manual Review",IF($G782="","No Data",IF(NOT(ISNUMBER($H782)),"N/A",IF($H782&lt;TODAY(),"Overdue",IF($H782&lt;=TODAY()+30,"Due within 1 Month",IF($H782&lt;=TODAY()+60,"Due within 2 Months","OK"))))))</f>
        <v>No Data</v>
      </c>
      <c r="K782" s="13"/>
    </row>
    <row r="783" customFormat="false" ht="15" hidden="false" customHeight="false" outlineLevel="0" collapsed="false">
      <c r="A783" s="9" t="str">
        <f aca="false">Vessels!B11</f>
        <v>Vessel 07</v>
      </c>
      <c r="B783" s="9" t="s">
        <v>136</v>
      </c>
      <c r="C783" s="7" t="s">
        <v>152</v>
      </c>
      <c r="D783" s="9" t="s">
        <v>45</v>
      </c>
      <c r="E783" s="9" t="s">
        <v>44</v>
      </c>
      <c r="F783" s="5" t="n">
        <v>12</v>
      </c>
      <c r="G783" s="10"/>
      <c r="H783" s="11" t="str">
        <f aca="false">IFERROR(IF($D783="Manual Review","",IF($G783="","",IF($D783="Direct Expiry",$G783,EDATE($G783,$F783)))),"Check Date")</f>
        <v/>
      </c>
      <c r="I783" s="12" t="str">
        <f aca="true">IF($H783="","",IF(ISNUMBER($H783),$H783-TODAY(),""))</f>
        <v/>
      </c>
      <c r="J783" s="4" t="str">
        <f aca="true">IF($D783="Manual Review","Manual Review",IF($G783="","No Data",IF(NOT(ISNUMBER($H783)),"N/A",IF($H783&lt;TODAY(),"Overdue",IF($H783&lt;=TODAY()+30,"Due within 1 Month",IF($H783&lt;=TODAY()+60,"Due within 2 Months","OK"))))))</f>
        <v>No Data</v>
      </c>
      <c r="K783" s="13"/>
    </row>
    <row r="784" customFormat="false" ht="15" hidden="false" customHeight="false" outlineLevel="0" collapsed="false">
      <c r="A784" s="9" t="str">
        <f aca="false">Vessels!B11</f>
        <v>Vessel 07</v>
      </c>
      <c r="B784" s="9" t="s">
        <v>136</v>
      </c>
      <c r="C784" s="7" t="s">
        <v>153</v>
      </c>
      <c r="D784" s="9" t="s">
        <v>45</v>
      </c>
      <c r="E784" s="9" t="s">
        <v>44</v>
      </c>
      <c r="F784" s="5" t="n">
        <v>12</v>
      </c>
      <c r="G784" s="10"/>
      <c r="H784" s="11" t="str">
        <f aca="false">IFERROR(IF($D784="Manual Review","",IF($G784="","",IF($D784="Direct Expiry",$G784,EDATE($G784,$F784)))),"Check Date")</f>
        <v/>
      </c>
      <c r="I784" s="12" t="str">
        <f aca="true">IF($H784="","",IF(ISNUMBER($H784),$H784-TODAY(),""))</f>
        <v/>
      </c>
      <c r="J784" s="4" t="str">
        <f aca="true">IF($D784="Manual Review","Manual Review",IF($G784="","No Data",IF(NOT(ISNUMBER($H784)),"N/A",IF($H784&lt;TODAY(),"Overdue",IF($H784&lt;=TODAY()+30,"Due within 1 Month",IF($H784&lt;=TODAY()+60,"Due within 2 Months","OK"))))))</f>
        <v>No Data</v>
      </c>
      <c r="K784" s="13"/>
    </row>
    <row r="785" customFormat="false" ht="15" hidden="false" customHeight="false" outlineLevel="0" collapsed="false">
      <c r="A785" s="9" t="str">
        <f aca="false">Vessels!B11</f>
        <v>Vessel 07</v>
      </c>
      <c r="B785" s="9" t="s">
        <v>136</v>
      </c>
      <c r="C785" s="7" t="s">
        <v>154</v>
      </c>
      <c r="D785" s="9" t="s">
        <v>45</v>
      </c>
      <c r="E785" s="9" t="s">
        <v>44</v>
      </c>
      <c r="F785" s="5" t="n">
        <v>12</v>
      </c>
      <c r="G785" s="10"/>
      <c r="H785" s="11" t="str">
        <f aca="false">IFERROR(IF($D785="Manual Review","",IF($G785="","",IF($D785="Direct Expiry",$G785,EDATE($G785,$F785)))),"Check Date")</f>
        <v/>
      </c>
      <c r="I785" s="12" t="str">
        <f aca="true">IF($H785="","",IF(ISNUMBER($H785),$H785-TODAY(),""))</f>
        <v/>
      </c>
      <c r="J785" s="4" t="str">
        <f aca="true">IF($D785="Manual Review","Manual Review",IF($G785="","No Data",IF(NOT(ISNUMBER($H785)),"N/A",IF($H785&lt;TODAY(),"Overdue",IF($H785&lt;=TODAY()+30,"Due within 1 Month",IF($H785&lt;=TODAY()+60,"Due within 2 Months","OK"))))))</f>
        <v>No Data</v>
      </c>
      <c r="K785" s="13"/>
    </row>
    <row r="786" customFormat="false" ht="15" hidden="false" customHeight="false" outlineLevel="0" collapsed="false">
      <c r="A786" s="9" t="str">
        <f aca="false">Vessels!B11</f>
        <v>Vessel 07</v>
      </c>
      <c r="B786" s="9" t="s">
        <v>136</v>
      </c>
      <c r="C786" s="7" t="s">
        <v>155</v>
      </c>
      <c r="D786" s="9" t="s">
        <v>45</v>
      </c>
      <c r="E786" s="9" t="s">
        <v>44</v>
      </c>
      <c r="F786" s="5" t="n">
        <v>12</v>
      </c>
      <c r="G786" s="10"/>
      <c r="H786" s="11" t="str">
        <f aca="false">IFERROR(IF($D786="Manual Review","",IF($G786="","",IF($D786="Direct Expiry",$G786,EDATE($G786,$F786)))),"Check Date")</f>
        <v/>
      </c>
      <c r="I786" s="12" t="str">
        <f aca="true">IF($H786="","",IF(ISNUMBER($H786),$H786-TODAY(),""))</f>
        <v/>
      </c>
      <c r="J786" s="4" t="str">
        <f aca="true">IF($D786="Manual Review","Manual Review",IF($G786="","No Data",IF(NOT(ISNUMBER($H786)),"N/A",IF($H786&lt;TODAY(),"Overdue",IF($H786&lt;=TODAY()+30,"Due within 1 Month",IF($H786&lt;=TODAY()+60,"Due within 2 Months","OK"))))))</f>
        <v>No Data</v>
      </c>
      <c r="K786" s="13"/>
    </row>
    <row r="787" customFormat="false" ht="15" hidden="false" customHeight="false" outlineLevel="0" collapsed="false">
      <c r="A787" s="9" t="str">
        <f aca="false">Vessels!B11</f>
        <v>Vessel 07</v>
      </c>
      <c r="B787" s="9" t="s">
        <v>136</v>
      </c>
      <c r="C787" s="7" t="s">
        <v>156</v>
      </c>
      <c r="D787" s="9" t="s">
        <v>45</v>
      </c>
      <c r="E787" s="9" t="s">
        <v>44</v>
      </c>
      <c r="F787" s="5" t="n">
        <v>12</v>
      </c>
      <c r="G787" s="10"/>
      <c r="H787" s="11" t="str">
        <f aca="false">IFERROR(IF($D787="Manual Review","",IF($G787="","",IF($D787="Direct Expiry",$G787,EDATE($G787,$F787)))),"Check Date")</f>
        <v/>
      </c>
      <c r="I787" s="12" t="str">
        <f aca="true">IF($H787="","",IF(ISNUMBER($H787),$H787-TODAY(),""))</f>
        <v/>
      </c>
      <c r="J787" s="4" t="str">
        <f aca="true">IF($D787="Manual Review","Manual Review",IF($G787="","No Data",IF(NOT(ISNUMBER($H787)),"N/A",IF($H787&lt;TODAY(),"Overdue",IF($H787&lt;=TODAY()+30,"Due within 1 Month",IF($H787&lt;=TODAY()+60,"Due within 2 Months","OK"))))))</f>
        <v>No Data</v>
      </c>
      <c r="K787" s="13"/>
    </row>
    <row r="788" customFormat="false" ht="15" hidden="false" customHeight="false" outlineLevel="0" collapsed="false">
      <c r="A788" s="9" t="str">
        <f aca="false">Vessels!B11</f>
        <v>Vessel 07</v>
      </c>
      <c r="B788" s="9" t="s">
        <v>136</v>
      </c>
      <c r="C788" s="7" t="s">
        <v>157</v>
      </c>
      <c r="D788" s="9" t="s">
        <v>45</v>
      </c>
      <c r="E788" s="9" t="s">
        <v>44</v>
      </c>
      <c r="F788" s="5" t="n">
        <v>12</v>
      </c>
      <c r="G788" s="10"/>
      <c r="H788" s="11" t="str">
        <f aca="false">IFERROR(IF($D788="Manual Review","",IF($G788="","",IF($D788="Direct Expiry",$G788,EDATE($G788,$F788)))),"Check Date")</f>
        <v/>
      </c>
      <c r="I788" s="12" t="str">
        <f aca="true">IF($H788="","",IF(ISNUMBER($H788),$H788-TODAY(),""))</f>
        <v/>
      </c>
      <c r="J788" s="4" t="str">
        <f aca="true">IF($D788="Manual Review","Manual Review",IF($G788="","No Data",IF(NOT(ISNUMBER($H788)),"N/A",IF($H788&lt;TODAY(),"Overdue",IF($H788&lt;=TODAY()+30,"Due within 1 Month",IF($H788&lt;=TODAY()+60,"Due within 2 Months","OK"))))))</f>
        <v>No Data</v>
      </c>
      <c r="K788" s="13"/>
    </row>
    <row r="789" customFormat="false" ht="15" hidden="false" customHeight="false" outlineLevel="0" collapsed="false">
      <c r="A789" s="9" t="str">
        <f aca="false">Vessels!B12</f>
        <v>Vessel 08</v>
      </c>
      <c r="B789" s="9" t="s">
        <v>42</v>
      </c>
      <c r="C789" s="7" t="s">
        <v>43</v>
      </c>
      <c r="D789" s="9" t="s">
        <v>45</v>
      </c>
      <c r="E789" s="9" t="s">
        <v>44</v>
      </c>
      <c r="F789" s="5" t="n">
        <v>12</v>
      </c>
      <c r="G789" s="10"/>
      <c r="H789" s="11" t="str">
        <f aca="false">IFERROR(IF($D789="Manual Review","",IF($G789="","",IF($D789="Direct Expiry",$G789,EDATE($G789,$F789)))),"Check Date")</f>
        <v/>
      </c>
      <c r="I789" s="12" t="str">
        <f aca="true">IF($H789="","",IF(ISNUMBER($H789),$H789-TODAY(),""))</f>
        <v/>
      </c>
      <c r="J789" s="4" t="str">
        <f aca="true">IF($D789="Manual Review","Manual Review",IF($G789="","No Data",IF(NOT(ISNUMBER($H789)),"N/A",IF($H789&lt;TODAY(),"Overdue",IF($H789&lt;=TODAY()+30,"Due within 1 Month",IF($H789&lt;=TODAY()+60,"Due within 2 Months","OK"))))))</f>
        <v>No Data</v>
      </c>
      <c r="K789" s="13"/>
    </row>
    <row r="790" customFormat="false" ht="15" hidden="false" customHeight="false" outlineLevel="0" collapsed="false">
      <c r="A790" s="9" t="str">
        <f aca="false">Vessels!B12</f>
        <v>Vessel 08</v>
      </c>
      <c r="B790" s="9" t="s">
        <v>42</v>
      </c>
      <c r="C790" s="7" t="s">
        <v>43</v>
      </c>
      <c r="D790" s="9" t="s">
        <v>45</v>
      </c>
      <c r="E790" s="9" t="s">
        <v>46</v>
      </c>
      <c r="F790" s="5" t="n">
        <v>60</v>
      </c>
      <c r="G790" s="10"/>
      <c r="H790" s="11" t="str">
        <f aca="false">IFERROR(IF($D790="Manual Review","",IF($G790="","",IF($D790="Direct Expiry",$G790,EDATE($G790,$F790)))),"Check Date")</f>
        <v/>
      </c>
      <c r="I790" s="12" t="str">
        <f aca="true">IF($H790="","",IF(ISNUMBER($H790),$H790-TODAY(),""))</f>
        <v/>
      </c>
      <c r="J790" s="4" t="str">
        <f aca="true">IF($D790="Manual Review","Manual Review",IF($G790="","No Data",IF(NOT(ISNUMBER($H790)),"N/A",IF($H790&lt;TODAY(),"Overdue",IF($H790&lt;=TODAY()+30,"Due within 1 Month",IF($H790&lt;=TODAY()+60,"Due within 2 Months","OK"))))))</f>
        <v>No Data</v>
      </c>
      <c r="K790" s="13"/>
    </row>
    <row r="791" customFormat="false" ht="15" hidden="false" customHeight="false" outlineLevel="0" collapsed="false">
      <c r="A791" s="9" t="str">
        <f aca="false">Vessels!B12</f>
        <v>Vessel 08</v>
      </c>
      <c r="B791" s="9" t="s">
        <v>42</v>
      </c>
      <c r="C791" s="7" t="s">
        <v>47</v>
      </c>
      <c r="D791" s="9" t="s">
        <v>45</v>
      </c>
      <c r="E791" s="9" t="s">
        <v>44</v>
      </c>
      <c r="F791" s="5" t="n">
        <v>12</v>
      </c>
      <c r="G791" s="10"/>
      <c r="H791" s="11" t="str">
        <f aca="false">IFERROR(IF($D791="Manual Review","",IF($G791="","",IF($D791="Direct Expiry",$G791,EDATE($G791,$F791)))),"Check Date")</f>
        <v/>
      </c>
      <c r="I791" s="12" t="str">
        <f aca="true">IF($H791="","",IF(ISNUMBER($H791),$H791-TODAY(),""))</f>
        <v/>
      </c>
      <c r="J791" s="4" t="str">
        <f aca="true">IF($D791="Manual Review","Manual Review",IF($G791="","No Data",IF(NOT(ISNUMBER($H791)),"N/A",IF($H791&lt;TODAY(),"Overdue",IF($H791&lt;=TODAY()+30,"Due within 1 Month",IF($H791&lt;=TODAY()+60,"Due within 2 Months","OK"))))))</f>
        <v>No Data</v>
      </c>
      <c r="K791" s="13"/>
    </row>
    <row r="792" customFormat="false" ht="15" hidden="false" customHeight="false" outlineLevel="0" collapsed="false">
      <c r="A792" s="9" t="str">
        <f aca="false">Vessels!B12</f>
        <v>Vessel 08</v>
      </c>
      <c r="B792" s="9" t="s">
        <v>42</v>
      </c>
      <c r="C792" s="7" t="s">
        <v>47</v>
      </c>
      <c r="D792" s="9" t="s">
        <v>45</v>
      </c>
      <c r="E792" s="9" t="s">
        <v>46</v>
      </c>
      <c r="F792" s="5" t="n">
        <v>60</v>
      </c>
      <c r="G792" s="10"/>
      <c r="H792" s="11" t="str">
        <f aca="false">IFERROR(IF($D792="Manual Review","",IF($G792="","",IF($D792="Direct Expiry",$G792,EDATE($G792,$F792)))),"Check Date")</f>
        <v/>
      </c>
      <c r="I792" s="12" t="str">
        <f aca="true">IF($H792="","",IF(ISNUMBER($H792),$H792-TODAY(),""))</f>
        <v/>
      </c>
      <c r="J792" s="4" t="str">
        <f aca="true">IF($D792="Manual Review","Manual Review",IF($G792="","No Data",IF(NOT(ISNUMBER($H792)),"N/A",IF($H792&lt;TODAY(),"Overdue",IF($H792&lt;=TODAY()+30,"Due within 1 Month",IF($H792&lt;=TODAY()+60,"Due within 2 Months","OK"))))))</f>
        <v>No Data</v>
      </c>
      <c r="K792" s="13"/>
    </row>
    <row r="793" customFormat="false" ht="15" hidden="false" customHeight="false" outlineLevel="0" collapsed="false">
      <c r="A793" s="9" t="str">
        <f aca="false">Vessels!B12</f>
        <v>Vessel 08</v>
      </c>
      <c r="B793" s="9" t="s">
        <v>42</v>
      </c>
      <c r="C793" s="7" t="s">
        <v>48</v>
      </c>
      <c r="D793" s="9" t="s">
        <v>45</v>
      </c>
      <c r="E793" s="9" t="s">
        <v>44</v>
      </c>
      <c r="F793" s="5" t="n">
        <v>12</v>
      </c>
      <c r="G793" s="10"/>
      <c r="H793" s="11" t="str">
        <f aca="false">IFERROR(IF($D793="Manual Review","",IF($G793="","",IF($D793="Direct Expiry",$G793,EDATE($G793,$F793)))),"Check Date")</f>
        <v/>
      </c>
      <c r="I793" s="12" t="str">
        <f aca="true">IF($H793="","",IF(ISNUMBER($H793),$H793-TODAY(),""))</f>
        <v/>
      </c>
      <c r="J793" s="4" t="str">
        <f aca="true">IF($D793="Manual Review","Manual Review",IF($G793="","No Data",IF(NOT(ISNUMBER($H793)),"N/A",IF($H793&lt;TODAY(),"Overdue",IF($H793&lt;=TODAY()+30,"Due within 1 Month",IF($H793&lt;=TODAY()+60,"Due within 2 Months","OK"))))))</f>
        <v>No Data</v>
      </c>
      <c r="K793" s="13"/>
    </row>
    <row r="794" customFormat="false" ht="15" hidden="false" customHeight="false" outlineLevel="0" collapsed="false">
      <c r="A794" s="9" t="str">
        <f aca="false">Vessels!B12</f>
        <v>Vessel 08</v>
      </c>
      <c r="B794" s="9" t="s">
        <v>42</v>
      </c>
      <c r="C794" s="7" t="s">
        <v>48</v>
      </c>
      <c r="D794" s="9" t="s">
        <v>45</v>
      </c>
      <c r="E794" s="9" t="s">
        <v>49</v>
      </c>
      <c r="F794" s="5" t="n">
        <v>60</v>
      </c>
      <c r="G794" s="10"/>
      <c r="H794" s="11" t="str">
        <f aca="false">IFERROR(IF($D794="Manual Review","",IF($G794="","",IF($D794="Direct Expiry",$G794,EDATE($G794,$F794)))),"Check Date")</f>
        <v/>
      </c>
      <c r="I794" s="12" t="str">
        <f aca="true">IF($H794="","",IF(ISNUMBER($H794),$H794-TODAY(),""))</f>
        <v/>
      </c>
      <c r="J794" s="4" t="str">
        <f aca="true">IF($D794="Manual Review","Manual Review",IF($G794="","No Data",IF(NOT(ISNUMBER($H794)),"N/A",IF($H794&lt;TODAY(),"Overdue",IF($H794&lt;=TODAY()+30,"Due within 1 Month",IF($H794&lt;=TODAY()+60,"Due within 2 Months","OK"))))))</f>
        <v>No Data</v>
      </c>
      <c r="K794" s="13"/>
    </row>
    <row r="795" customFormat="false" ht="15" hidden="false" customHeight="false" outlineLevel="0" collapsed="false">
      <c r="A795" s="9" t="str">
        <f aca="false">Vessels!B12</f>
        <v>Vessel 08</v>
      </c>
      <c r="B795" s="9" t="s">
        <v>42</v>
      </c>
      <c r="C795" s="7" t="s">
        <v>50</v>
      </c>
      <c r="D795" s="9" t="s">
        <v>45</v>
      </c>
      <c r="E795" s="9" t="s">
        <v>44</v>
      </c>
      <c r="F795" s="5" t="n">
        <v>12</v>
      </c>
      <c r="G795" s="10"/>
      <c r="H795" s="11" t="str">
        <f aca="false">IFERROR(IF($D795="Manual Review","",IF($G795="","",IF($D795="Direct Expiry",$G795,EDATE($G795,$F795)))),"Check Date")</f>
        <v/>
      </c>
      <c r="I795" s="12" t="str">
        <f aca="true">IF($H795="","",IF(ISNUMBER($H795),$H795-TODAY(),""))</f>
        <v/>
      </c>
      <c r="J795" s="4" t="str">
        <f aca="true">IF($D795="Manual Review","Manual Review",IF($G795="","No Data",IF(NOT(ISNUMBER($H795)),"N/A",IF($H795&lt;TODAY(),"Overdue",IF($H795&lt;=TODAY()+30,"Due within 1 Month",IF($H795&lt;=TODAY()+60,"Due within 2 Months","OK"))))))</f>
        <v>No Data</v>
      </c>
      <c r="K795" s="13"/>
    </row>
    <row r="796" customFormat="false" ht="15" hidden="false" customHeight="false" outlineLevel="0" collapsed="false">
      <c r="A796" s="9" t="str">
        <f aca="false">Vessels!B12</f>
        <v>Vessel 08</v>
      </c>
      <c r="B796" s="9" t="s">
        <v>42</v>
      </c>
      <c r="C796" s="7" t="s">
        <v>50</v>
      </c>
      <c r="D796" s="9" t="s">
        <v>45</v>
      </c>
      <c r="E796" s="9" t="s">
        <v>49</v>
      </c>
      <c r="F796" s="5" t="n">
        <v>60</v>
      </c>
      <c r="G796" s="10"/>
      <c r="H796" s="11" t="str">
        <f aca="false">IFERROR(IF($D796="Manual Review","",IF($G796="","",IF($D796="Direct Expiry",$G796,EDATE($G796,$F796)))),"Check Date")</f>
        <v/>
      </c>
      <c r="I796" s="12" t="str">
        <f aca="true">IF($H796="","",IF(ISNUMBER($H796),$H796-TODAY(),""))</f>
        <v/>
      </c>
      <c r="J796" s="4" t="str">
        <f aca="true">IF($D796="Manual Review","Manual Review",IF($G796="","No Data",IF(NOT(ISNUMBER($H796)),"N/A",IF($H796&lt;TODAY(),"Overdue",IF($H796&lt;=TODAY()+30,"Due within 1 Month",IF($H796&lt;=TODAY()+60,"Due within 2 Months","OK"))))))</f>
        <v>No Data</v>
      </c>
      <c r="K796" s="13"/>
    </row>
    <row r="797" customFormat="false" ht="15" hidden="false" customHeight="false" outlineLevel="0" collapsed="false">
      <c r="A797" s="9" t="str">
        <f aca="false">Vessels!B12</f>
        <v>Vessel 08</v>
      </c>
      <c r="B797" s="9" t="s">
        <v>42</v>
      </c>
      <c r="C797" s="7" t="s">
        <v>51</v>
      </c>
      <c r="D797" s="9" t="s">
        <v>45</v>
      </c>
      <c r="E797" s="9" t="s">
        <v>46</v>
      </c>
      <c r="F797" s="5" t="n">
        <v>60</v>
      </c>
      <c r="G797" s="10"/>
      <c r="H797" s="11" t="str">
        <f aca="false">IFERROR(IF($D797="Manual Review","",IF($G797="","",IF($D797="Direct Expiry",$G797,EDATE($G797,$F797)))),"Check Date")</f>
        <v/>
      </c>
      <c r="I797" s="12" t="str">
        <f aca="true">IF($H797="","",IF(ISNUMBER($H797),$H797-TODAY(),""))</f>
        <v/>
      </c>
      <c r="J797" s="4" t="str">
        <f aca="true">IF($D797="Manual Review","Manual Review",IF($G797="","No Data",IF(NOT(ISNUMBER($H797)),"N/A",IF($H797&lt;TODAY(),"Overdue",IF($H797&lt;=TODAY()+30,"Due within 1 Month",IF($H797&lt;=TODAY()+60,"Due within 2 Months","OK"))))))</f>
        <v>No Data</v>
      </c>
      <c r="K797" s="13"/>
    </row>
    <row r="798" customFormat="false" ht="15" hidden="false" customHeight="false" outlineLevel="0" collapsed="false">
      <c r="A798" s="9" t="str">
        <f aca="false">Vessels!B12</f>
        <v>Vessel 08</v>
      </c>
      <c r="B798" s="9" t="s">
        <v>42</v>
      </c>
      <c r="C798" s="7" t="s">
        <v>52</v>
      </c>
      <c r="D798" s="9" t="s">
        <v>45</v>
      </c>
      <c r="E798" s="9" t="s">
        <v>46</v>
      </c>
      <c r="F798" s="5" t="n">
        <v>60</v>
      </c>
      <c r="G798" s="10"/>
      <c r="H798" s="11" t="str">
        <f aca="false">IFERROR(IF($D798="Manual Review","",IF($G798="","",IF($D798="Direct Expiry",$G798,EDATE($G798,$F798)))),"Check Date")</f>
        <v/>
      </c>
      <c r="I798" s="12" t="str">
        <f aca="true">IF($H798="","",IF(ISNUMBER($H798),$H798-TODAY(),""))</f>
        <v/>
      </c>
      <c r="J798" s="4" t="str">
        <f aca="true">IF($D798="Manual Review","Manual Review",IF($G798="","No Data",IF(NOT(ISNUMBER($H798)),"N/A",IF($H798&lt;TODAY(),"Overdue",IF($H798&lt;=TODAY()+30,"Due within 1 Month",IF($H798&lt;=TODAY()+60,"Due within 2 Months","OK"))))))</f>
        <v>No Data</v>
      </c>
      <c r="K798" s="13"/>
    </row>
    <row r="799" customFormat="false" ht="15" hidden="false" customHeight="false" outlineLevel="0" collapsed="false">
      <c r="A799" s="9" t="str">
        <f aca="false">Vessels!B12</f>
        <v>Vessel 08</v>
      </c>
      <c r="B799" s="9" t="s">
        <v>42</v>
      </c>
      <c r="C799" s="7" t="s">
        <v>53</v>
      </c>
      <c r="D799" s="9" t="s">
        <v>45</v>
      </c>
      <c r="E799" s="9" t="s">
        <v>46</v>
      </c>
      <c r="F799" s="5" t="n">
        <v>60</v>
      </c>
      <c r="G799" s="10"/>
      <c r="H799" s="11" t="str">
        <f aca="false">IFERROR(IF($D799="Manual Review","",IF($G799="","",IF($D799="Direct Expiry",$G799,EDATE($G799,$F799)))),"Check Date")</f>
        <v/>
      </c>
      <c r="I799" s="12" t="str">
        <f aca="true">IF($H799="","",IF(ISNUMBER($H799),$H799-TODAY(),""))</f>
        <v/>
      </c>
      <c r="J799" s="4" t="str">
        <f aca="true">IF($D799="Manual Review","Manual Review",IF($G799="","No Data",IF(NOT(ISNUMBER($H799)),"N/A",IF($H799&lt;TODAY(),"Overdue",IF($H799&lt;=TODAY()+30,"Due within 1 Month",IF($H799&lt;=TODAY()+60,"Due within 2 Months","OK"))))))</f>
        <v>No Data</v>
      </c>
      <c r="K799" s="13"/>
    </row>
    <row r="800" customFormat="false" ht="15" hidden="false" customHeight="false" outlineLevel="0" collapsed="false">
      <c r="A800" s="9" t="str">
        <f aca="false">Vessels!B12</f>
        <v>Vessel 08</v>
      </c>
      <c r="B800" s="9" t="s">
        <v>42</v>
      </c>
      <c r="C800" s="7" t="s">
        <v>54</v>
      </c>
      <c r="D800" s="9" t="s">
        <v>45</v>
      </c>
      <c r="E800" s="9" t="s">
        <v>46</v>
      </c>
      <c r="F800" s="5" t="n">
        <v>60</v>
      </c>
      <c r="G800" s="10"/>
      <c r="H800" s="11" t="str">
        <f aca="false">IFERROR(IF($D800="Manual Review","",IF($G800="","",IF($D800="Direct Expiry",$G800,EDATE($G800,$F800)))),"Check Date")</f>
        <v/>
      </c>
      <c r="I800" s="12" t="str">
        <f aca="true">IF($H800="","",IF(ISNUMBER($H800),$H800-TODAY(),""))</f>
        <v/>
      </c>
      <c r="J800" s="4" t="str">
        <f aca="true">IF($D800="Manual Review","Manual Review",IF($G800="","No Data",IF(NOT(ISNUMBER($H800)),"N/A",IF($H800&lt;TODAY(),"Overdue",IF($H800&lt;=TODAY()+30,"Due within 1 Month",IF($H800&lt;=TODAY()+60,"Due within 2 Months","OK"))))))</f>
        <v>No Data</v>
      </c>
      <c r="K800" s="13"/>
    </row>
    <row r="801" customFormat="false" ht="15" hidden="false" customHeight="false" outlineLevel="0" collapsed="false">
      <c r="A801" s="9" t="str">
        <f aca="false">Vessels!B12</f>
        <v>Vessel 08</v>
      </c>
      <c r="B801" s="9" t="s">
        <v>42</v>
      </c>
      <c r="C801" s="7" t="s">
        <v>55</v>
      </c>
      <c r="D801" s="9" t="s">
        <v>45</v>
      </c>
      <c r="E801" s="9" t="s">
        <v>46</v>
      </c>
      <c r="F801" s="5" t="n">
        <v>60</v>
      </c>
      <c r="G801" s="10"/>
      <c r="H801" s="11" t="str">
        <f aca="false">IFERROR(IF($D801="Manual Review","",IF($G801="","",IF($D801="Direct Expiry",$G801,EDATE($G801,$F801)))),"Check Date")</f>
        <v/>
      </c>
      <c r="I801" s="12" t="str">
        <f aca="true">IF($H801="","",IF(ISNUMBER($H801),$H801-TODAY(),""))</f>
        <v/>
      </c>
      <c r="J801" s="4" t="str">
        <f aca="true">IF($D801="Manual Review","Manual Review",IF($G801="","No Data",IF(NOT(ISNUMBER($H801)),"N/A",IF($H801&lt;TODAY(),"Overdue",IF($H801&lt;=TODAY()+30,"Due within 1 Month",IF($H801&lt;=TODAY()+60,"Due within 2 Months","OK"))))))</f>
        <v>No Data</v>
      </c>
      <c r="K801" s="13"/>
    </row>
    <row r="802" customFormat="false" ht="15" hidden="false" customHeight="false" outlineLevel="0" collapsed="false">
      <c r="A802" s="9" t="str">
        <f aca="false">Vessels!B12</f>
        <v>Vessel 08</v>
      </c>
      <c r="B802" s="9" t="s">
        <v>42</v>
      </c>
      <c r="C802" s="7" t="s">
        <v>56</v>
      </c>
      <c r="D802" s="9" t="s">
        <v>45</v>
      </c>
      <c r="E802" s="9" t="s">
        <v>46</v>
      </c>
      <c r="F802" s="5" t="n">
        <v>60</v>
      </c>
      <c r="G802" s="10"/>
      <c r="H802" s="11" t="str">
        <f aca="false">IFERROR(IF($D802="Manual Review","",IF($G802="","",IF($D802="Direct Expiry",$G802,EDATE($G802,$F802)))),"Check Date")</f>
        <v/>
      </c>
      <c r="I802" s="12" t="str">
        <f aca="true">IF($H802="","",IF(ISNUMBER($H802),$H802-TODAY(),""))</f>
        <v/>
      </c>
      <c r="J802" s="4" t="str">
        <f aca="true">IF($D802="Manual Review","Manual Review",IF($G802="","No Data",IF(NOT(ISNUMBER($H802)),"N/A",IF($H802&lt;TODAY(),"Overdue",IF($H802&lt;=TODAY()+30,"Due within 1 Month",IF($H802&lt;=TODAY()+60,"Due within 2 Months","OK"))))))</f>
        <v>No Data</v>
      </c>
      <c r="K802" s="13"/>
    </row>
    <row r="803" customFormat="false" ht="15" hidden="false" customHeight="false" outlineLevel="0" collapsed="false">
      <c r="A803" s="9" t="str">
        <f aca="false">Vessels!B12</f>
        <v>Vessel 08</v>
      </c>
      <c r="B803" s="9" t="s">
        <v>42</v>
      </c>
      <c r="C803" s="7" t="s">
        <v>57</v>
      </c>
      <c r="D803" s="9" t="s">
        <v>59</v>
      </c>
      <c r="E803" s="9" t="s">
        <v>58</v>
      </c>
      <c r="F803" s="5"/>
      <c r="G803" s="10"/>
      <c r="H803" s="11" t="str">
        <f aca="false">IFERROR(IF($D803="Manual Review","",IF($G803="","",IF($D803="Direct Expiry",$G803,EDATE($G803,$F803)))),"Check Date")</f>
        <v/>
      </c>
      <c r="I803" s="12" t="str">
        <f aca="true">IF($H803="","",IF(ISNUMBER($H803),$H803-TODAY(),""))</f>
        <v/>
      </c>
      <c r="J803" s="4" t="str">
        <f aca="true">IF($D803="Manual Review","Manual Review",IF($G803="","No Data",IF(NOT(ISNUMBER($H803)),"N/A",IF($H803&lt;TODAY(),"Overdue",IF($H803&lt;=TODAY()+30,"Due within 1 Month",IF($H803&lt;=TODAY()+60,"Due within 2 Months","OK"))))))</f>
        <v>No Data</v>
      </c>
      <c r="K803" s="13"/>
    </row>
    <row r="804" customFormat="false" ht="15" hidden="false" customHeight="false" outlineLevel="0" collapsed="false">
      <c r="A804" s="9" t="str">
        <f aca="false">Vessels!B12</f>
        <v>Vessel 08</v>
      </c>
      <c r="B804" s="9" t="s">
        <v>42</v>
      </c>
      <c r="C804" s="7" t="s">
        <v>60</v>
      </c>
      <c r="D804" s="9" t="s">
        <v>45</v>
      </c>
      <c r="E804" s="9" t="s">
        <v>44</v>
      </c>
      <c r="F804" s="5" t="n">
        <v>12</v>
      </c>
      <c r="G804" s="10"/>
      <c r="H804" s="11" t="str">
        <f aca="false">IFERROR(IF($D804="Manual Review","",IF($G804="","",IF($D804="Direct Expiry",$G804,EDATE($G804,$F804)))),"Check Date")</f>
        <v/>
      </c>
      <c r="I804" s="12" t="str">
        <f aca="true">IF($H804="","",IF(ISNUMBER($H804),$H804-TODAY(),""))</f>
        <v/>
      </c>
      <c r="J804" s="4" t="str">
        <f aca="true">IF($D804="Manual Review","Manual Review",IF($G804="","No Data",IF(NOT(ISNUMBER($H804)),"N/A",IF($H804&lt;TODAY(),"Overdue",IF($H804&lt;=TODAY()+30,"Due within 1 Month",IF($H804&lt;=TODAY()+60,"Due within 2 Months","OK"))))))</f>
        <v>No Data</v>
      </c>
      <c r="K804" s="13"/>
    </row>
    <row r="805" customFormat="false" ht="15" hidden="false" customHeight="false" outlineLevel="0" collapsed="false">
      <c r="A805" s="9" t="str">
        <f aca="false">Vessels!B12</f>
        <v>Vessel 08</v>
      </c>
      <c r="B805" s="9" t="s">
        <v>42</v>
      </c>
      <c r="C805" s="7" t="s">
        <v>60</v>
      </c>
      <c r="D805" s="9" t="s">
        <v>45</v>
      </c>
      <c r="E805" s="9" t="s">
        <v>46</v>
      </c>
      <c r="F805" s="5" t="n">
        <v>60</v>
      </c>
      <c r="G805" s="10"/>
      <c r="H805" s="11" t="str">
        <f aca="false">IFERROR(IF($D805="Manual Review","",IF($G805="","",IF($D805="Direct Expiry",$G805,EDATE($G805,$F805)))),"Check Date")</f>
        <v/>
      </c>
      <c r="I805" s="12" t="str">
        <f aca="true">IF($H805="","",IF(ISNUMBER($H805),$H805-TODAY(),""))</f>
        <v/>
      </c>
      <c r="J805" s="4" t="str">
        <f aca="true">IF($D805="Manual Review","Manual Review",IF($G805="","No Data",IF(NOT(ISNUMBER($H805)),"N/A",IF($H805&lt;TODAY(),"Overdue",IF($H805&lt;=TODAY()+30,"Due within 1 Month",IF($H805&lt;=TODAY()+60,"Due within 2 Months","OK"))))))</f>
        <v>No Data</v>
      </c>
      <c r="K805" s="13"/>
    </row>
    <row r="806" customFormat="false" ht="15" hidden="false" customHeight="false" outlineLevel="0" collapsed="false">
      <c r="A806" s="9" t="str">
        <f aca="false">Vessels!B12</f>
        <v>Vessel 08</v>
      </c>
      <c r="B806" s="9" t="s">
        <v>42</v>
      </c>
      <c r="C806" s="7" t="s">
        <v>61</v>
      </c>
      <c r="D806" s="9" t="s">
        <v>45</v>
      </c>
      <c r="E806" s="9" t="s">
        <v>44</v>
      </c>
      <c r="F806" s="5" t="n">
        <v>12</v>
      </c>
      <c r="G806" s="10"/>
      <c r="H806" s="11" t="str">
        <f aca="false">IFERROR(IF($D806="Manual Review","",IF($G806="","",IF($D806="Direct Expiry",$G806,EDATE($G806,$F806)))),"Check Date")</f>
        <v/>
      </c>
      <c r="I806" s="12" t="str">
        <f aca="true">IF($H806="","",IF(ISNUMBER($H806),$H806-TODAY(),""))</f>
        <v/>
      </c>
      <c r="J806" s="4" t="str">
        <f aca="true">IF($D806="Manual Review","Manual Review",IF($G806="","No Data",IF(NOT(ISNUMBER($H806)),"N/A",IF($H806&lt;TODAY(),"Overdue",IF($H806&lt;=TODAY()+30,"Due within 1 Month",IF($H806&lt;=TODAY()+60,"Due within 2 Months","OK"))))))</f>
        <v>No Data</v>
      </c>
      <c r="K806" s="13"/>
    </row>
    <row r="807" customFormat="false" ht="15" hidden="false" customHeight="false" outlineLevel="0" collapsed="false">
      <c r="A807" s="9" t="str">
        <f aca="false">Vessels!B12</f>
        <v>Vessel 08</v>
      </c>
      <c r="B807" s="9" t="s">
        <v>42</v>
      </c>
      <c r="C807" s="7" t="s">
        <v>61</v>
      </c>
      <c r="D807" s="9" t="s">
        <v>45</v>
      </c>
      <c r="E807" s="9" t="s">
        <v>46</v>
      </c>
      <c r="F807" s="5" t="n">
        <v>60</v>
      </c>
      <c r="G807" s="10"/>
      <c r="H807" s="11" t="str">
        <f aca="false">IFERROR(IF($D807="Manual Review","",IF($G807="","",IF($D807="Direct Expiry",$G807,EDATE($G807,$F807)))),"Check Date")</f>
        <v/>
      </c>
      <c r="I807" s="12" t="str">
        <f aca="true">IF($H807="","",IF(ISNUMBER($H807),$H807-TODAY(),""))</f>
        <v/>
      </c>
      <c r="J807" s="4" t="str">
        <f aca="true">IF($D807="Manual Review","Manual Review",IF($G807="","No Data",IF(NOT(ISNUMBER($H807)),"N/A",IF($H807&lt;TODAY(),"Overdue",IF($H807&lt;=TODAY()+30,"Due within 1 Month",IF($H807&lt;=TODAY()+60,"Due within 2 Months","OK"))))))</f>
        <v>No Data</v>
      </c>
      <c r="K807" s="13"/>
    </row>
    <row r="808" customFormat="false" ht="15" hidden="false" customHeight="false" outlineLevel="0" collapsed="false">
      <c r="A808" s="9" t="str">
        <f aca="false">Vessels!B12</f>
        <v>Vessel 08</v>
      </c>
      <c r="B808" s="9" t="s">
        <v>42</v>
      </c>
      <c r="C808" s="7" t="s">
        <v>62</v>
      </c>
      <c r="D808" s="9" t="s">
        <v>45</v>
      </c>
      <c r="E808" s="9" t="s">
        <v>44</v>
      </c>
      <c r="F808" s="5" t="n">
        <v>12</v>
      </c>
      <c r="G808" s="10"/>
      <c r="H808" s="11" t="str">
        <f aca="false">IFERROR(IF($D808="Manual Review","",IF($G808="","",IF($D808="Direct Expiry",$G808,EDATE($G808,$F808)))),"Check Date")</f>
        <v/>
      </c>
      <c r="I808" s="12" t="str">
        <f aca="true">IF($H808="","",IF(ISNUMBER($H808),$H808-TODAY(),""))</f>
        <v/>
      </c>
      <c r="J808" s="4" t="str">
        <f aca="true">IF($D808="Manual Review","Manual Review",IF($G808="","No Data",IF(NOT(ISNUMBER($H808)),"N/A",IF($H808&lt;TODAY(),"Overdue",IF($H808&lt;=TODAY()+30,"Due within 1 Month",IF($H808&lt;=TODAY()+60,"Due within 2 Months","OK"))))))</f>
        <v>No Data</v>
      </c>
      <c r="K808" s="13"/>
    </row>
    <row r="809" customFormat="false" ht="15" hidden="false" customHeight="false" outlineLevel="0" collapsed="false">
      <c r="A809" s="9" t="str">
        <f aca="false">Vessels!B12</f>
        <v>Vessel 08</v>
      </c>
      <c r="B809" s="9" t="s">
        <v>42</v>
      </c>
      <c r="C809" s="7" t="s">
        <v>62</v>
      </c>
      <c r="D809" s="9" t="s">
        <v>45</v>
      </c>
      <c r="E809" s="9" t="s">
        <v>49</v>
      </c>
      <c r="F809" s="5" t="n">
        <v>60</v>
      </c>
      <c r="G809" s="10"/>
      <c r="H809" s="11" t="str">
        <f aca="false">IFERROR(IF($D809="Manual Review","",IF($G809="","",IF($D809="Direct Expiry",$G809,EDATE($G809,$F809)))),"Check Date")</f>
        <v/>
      </c>
      <c r="I809" s="12" t="str">
        <f aca="true">IF($H809="","",IF(ISNUMBER($H809),$H809-TODAY(),""))</f>
        <v/>
      </c>
      <c r="J809" s="4" t="str">
        <f aca="true">IF($D809="Manual Review","Manual Review",IF($G809="","No Data",IF(NOT(ISNUMBER($H809)),"N/A",IF($H809&lt;TODAY(),"Overdue",IF($H809&lt;=TODAY()+30,"Due within 1 Month",IF($H809&lt;=TODAY()+60,"Due within 2 Months","OK"))))))</f>
        <v>No Data</v>
      </c>
      <c r="K809" s="13"/>
    </row>
    <row r="810" customFormat="false" ht="15" hidden="false" customHeight="false" outlineLevel="0" collapsed="false">
      <c r="A810" s="9" t="str">
        <f aca="false">Vessels!B12</f>
        <v>Vessel 08</v>
      </c>
      <c r="B810" s="9" t="s">
        <v>42</v>
      </c>
      <c r="C810" s="7" t="s">
        <v>63</v>
      </c>
      <c r="D810" s="9" t="s">
        <v>45</v>
      </c>
      <c r="E810" s="9" t="s">
        <v>44</v>
      </c>
      <c r="F810" s="5" t="n">
        <v>12</v>
      </c>
      <c r="G810" s="10"/>
      <c r="H810" s="11" t="str">
        <f aca="false">IFERROR(IF($D810="Manual Review","",IF($G810="","",IF($D810="Direct Expiry",$G810,EDATE($G810,$F810)))),"Check Date")</f>
        <v/>
      </c>
      <c r="I810" s="12" t="str">
        <f aca="true">IF($H810="","",IF(ISNUMBER($H810),$H810-TODAY(),""))</f>
        <v/>
      </c>
      <c r="J810" s="4" t="str">
        <f aca="true">IF($D810="Manual Review","Manual Review",IF($G810="","No Data",IF(NOT(ISNUMBER($H810)),"N/A",IF($H810&lt;TODAY(),"Overdue",IF($H810&lt;=TODAY()+30,"Due within 1 Month",IF($H810&lt;=TODAY()+60,"Due within 2 Months","OK"))))))</f>
        <v>No Data</v>
      </c>
      <c r="K810" s="13"/>
    </row>
    <row r="811" customFormat="false" ht="15" hidden="false" customHeight="false" outlineLevel="0" collapsed="false">
      <c r="A811" s="9" t="str">
        <f aca="false">Vessels!B12</f>
        <v>Vessel 08</v>
      </c>
      <c r="B811" s="9" t="s">
        <v>42</v>
      </c>
      <c r="C811" s="7" t="s">
        <v>63</v>
      </c>
      <c r="D811" s="9" t="s">
        <v>45</v>
      </c>
      <c r="E811" s="9" t="s">
        <v>49</v>
      </c>
      <c r="F811" s="5" t="n">
        <v>60</v>
      </c>
      <c r="G811" s="10"/>
      <c r="H811" s="11" t="str">
        <f aca="false">IFERROR(IF($D811="Manual Review","",IF($G811="","",IF($D811="Direct Expiry",$G811,EDATE($G811,$F811)))),"Check Date")</f>
        <v/>
      </c>
      <c r="I811" s="12" t="str">
        <f aca="true">IF($H811="","",IF(ISNUMBER($H811),$H811-TODAY(),""))</f>
        <v/>
      </c>
      <c r="J811" s="4" t="str">
        <f aca="true">IF($D811="Manual Review","Manual Review",IF($G811="","No Data",IF(NOT(ISNUMBER($H811)),"N/A",IF($H811&lt;TODAY(),"Overdue",IF($H811&lt;=TODAY()+30,"Due within 1 Month",IF($H811&lt;=TODAY()+60,"Due within 2 Months","OK"))))))</f>
        <v>No Data</v>
      </c>
      <c r="K811" s="13"/>
    </row>
    <row r="812" customFormat="false" ht="15" hidden="false" customHeight="false" outlineLevel="0" collapsed="false">
      <c r="A812" s="9" t="str">
        <f aca="false">Vessels!B12</f>
        <v>Vessel 08</v>
      </c>
      <c r="B812" s="9" t="s">
        <v>42</v>
      </c>
      <c r="C812" s="7" t="s">
        <v>64</v>
      </c>
      <c r="D812" s="9" t="s">
        <v>45</v>
      </c>
      <c r="E812" s="9" t="s">
        <v>46</v>
      </c>
      <c r="F812" s="5" t="n">
        <v>60</v>
      </c>
      <c r="G812" s="10"/>
      <c r="H812" s="11" t="str">
        <f aca="false">IFERROR(IF($D812="Manual Review","",IF($G812="","",IF($D812="Direct Expiry",$G812,EDATE($G812,$F812)))),"Check Date")</f>
        <v/>
      </c>
      <c r="I812" s="12" t="str">
        <f aca="true">IF($H812="","",IF(ISNUMBER($H812),$H812-TODAY(),""))</f>
        <v/>
      </c>
      <c r="J812" s="4" t="str">
        <f aca="true">IF($D812="Manual Review","Manual Review",IF($G812="","No Data",IF(NOT(ISNUMBER($H812)),"N/A",IF($H812&lt;TODAY(),"Overdue",IF($H812&lt;=TODAY()+30,"Due within 1 Month",IF($H812&lt;=TODAY()+60,"Due within 2 Months","OK"))))))</f>
        <v>No Data</v>
      </c>
      <c r="K812" s="13"/>
    </row>
    <row r="813" customFormat="false" ht="15" hidden="false" customHeight="false" outlineLevel="0" collapsed="false">
      <c r="A813" s="9" t="str">
        <f aca="false">Vessels!B12</f>
        <v>Vessel 08</v>
      </c>
      <c r="B813" s="9" t="s">
        <v>42</v>
      </c>
      <c r="C813" s="7" t="s">
        <v>65</v>
      </c>
      <c r="D813" s="9" t="s">
        <v>45</v>
      </c>
      <c r="E813" s="9" t="s">
        <v>46</v>
      </c>
      <c r="F813" s="5" t="n">
        <v>60</v>
      </c>
      <c r="G813" s="10"/>
      <c r="H813" s="11" t="str">
        <f aca="false">IFERROR(IF($D813="Manual Review","",IF($G813="","",IF($D813="Direct Expiry",$G813,EDATE($G813,$F813)))),"Check Date")</f>
        <v/>
      </c>
      <c r="I813" s="12" t="str">
        <f aca="true">IF($H813="","",IF(ISNUMBER($H813),$H813-TODAY(),""))</f>
        <v/>
      </c>
      <c r="J813" s="4" t="str">
        <f aca="true">IF($D813="Manual Review","Manual Review",IF($G813="","No Data",IF(NOT(ISNUMBER($H813)),"N/A",IF($H813&lt;TODAY(),"Overdue",IF($H813&lt;=TODAY()+30,"Due within 1 Month",IF($H813&lt;=TODAY()+60,"Due within 2 Months","OK"))))))</f>
        <v>No Data</v>
      </c>
      <c r="K813" s="13"/>
    </row>
    <row r="814" customFormat="false" ht="15" hidden="false" customHeight="false" outlineLevel="0" collapsed="false">
      <c r="A814" s="9" t="str">
        <f aca="false">Vessels!B12</f>
        <v>Vessel 08</v>
      </c>
      <c r="B814" s="9" t="s">
        <v>42</v>
      </c>
      <c r="C814" s="7" t="s">
        <v>66</v>
      </c>
      <c r="D814" s="9" t="s">
        <v>45</v>
      </c>
      <c r="E814" s="9" t="s">
        <v>46</v>
      </c>
      <c r="F814" s="5" t="n">
        <v>60</v>
      </c>
      <c r="G814" s="10"/>
      <c r="H814" s="11" t="str">
        <f aca="false">IFERROR(IF($D814="Manual Review","",IF($G814="","",IF($D814="Direct Expiry",$G814,EDATE($G814,$F814)))),"Check Date")</f>
        <v/>
      </c>
      <c r="I814" s="12" t="str">
        <f aca="true">IF($H814="","",IF(ISNUMBER($H814),$H814-TODAY(),""))</f>
        <v/>
      </c>
      <c r="J814" s="4" t="str">
        <f aca="true">IF($D814="Manual Review","Manual Review",IF($G814="","No Data",IF(NOT(ISNUMBER($H814)),"N/A",IF($H814&lt;TODAY(),"Overdue",IF($H814&lt;=TODAY()+30,"Due within 1 Month",IF($H814&lt;=TODAY()+60,"Due within 2 Months","OK"))))))</f>
        <v>No Data</v>
      </c>
      <c r="K814" s="13"/>
    </row>
    <row r="815" customFormat="false" ht="15" hidden="false" customHeight="false" outlineLevel="0" collapsed="false">
      <c r="A815" s="9" t="str">
        <f aca="false">Vessels!B12</f>
        <v>Vessel 08</v>
      </c>
      <c r="B815" s="9" t="s">
        <v>42</v>
      </c>
      <c r="C815" s="7" t="s">
        <v>67</v>
      </c>
      <c r="D815" s="9" t="s">
        <v>45</v>
      </c>
      <c r="E815" s="9" t="s">
        <v>46</v>
      </c>
      <c r="F815" s="5" t="n">
        <v>60</v>
      </c>
      <c r="G815" s="10"/>
      <c r="H815" s="11" t="str">
        <f aca="false">IFERROR(IF($D815="Manual Review","",IF($G815="","",IF($D815="Direct Expiry",$G815,EDATE($G815,$F815)))),"Check Date")</f>
        <v/>
      </c>
      <c r="I815" s="12" t="str">
        <f aca="true">IF($H815="","",IF(ISNUMBER($H815),$H815-TODAY(),""))</f>
        <v/>
      </c>
      <c r="J815" s="4" t="str">
        <f aca="true">IF($D815="Manual Review","Manual Review",IF($G815="","No Data",IF(NOT(ISNUMBER($H815)),"N/A",IF($H815&lt;TODAY(),"Overdue",IF($H815&lt;=TODAY()+30,"Due within 1 Month",IF($H815&lt;=TODAY()+60,"Due within 2 Months","OK"))))))</f>
        <v>No Data</v>
      </c>
      <c r="K815" s="13"/>
    </row>
    <row r="816" customFormat="false" ht="15" hidden="false" customHeight="false" outlineLevel="0" collapsed="false">
      <c r="A816" s="9" t="str">
        <f aca="false">Vessels!B12</f>
        <v>Vessel 08</v>
      </c>
      <c r="B816" s="9" t="s">
        <v>42</v>
      </c>
      <c r="C816" s="7" t="s">
        <v>68</v>
      </c>
      <c r="D816" s="9" t="s">
        <v>45</v>
      </c>
      <c r="E816" s="9" t="s">
        <v>46</v>
      </c>
      <c r="F816" s="5" t="n">
        <v>60</v>
      </c>
      <c r="G816" s="10"/>
      <c r="H816" s="11" t="str">
        <f aca="false">IFERROR(IF($D816="Manual Review","",IF($G816="","",IF($D816="Direct Expiry",$G816,EDATE($G816,$F816)))),"Check Date")</f>
        <v/>
      </c>
      <c r="I816" s="12" t="str">
        <f aca="true">IF($H816="","",IF(ISNUMBER($H816),$H816-TODAY(),""))</f>
        <v/>
      </c>
      <c r="J816" s="4" t="str">
        <f aca="true">IF($D816="Manual Review","Manual Review",IF($G816="","No Data",IF(NOT(ISNUMBER($H816)),"N/A",IF($H816&lt;TODAY(),"Overdue",IF($H816&lt;=TODAY()+30,"Due within 1 Month",IF($H816&lt;=TODAY()+60,"Due within 2 Months","OK"))))))</f>
        <v>No Data</v>
      </c>
      <c r="K816" s="13"/>
    </row>
    <row r="817" customFormat="false" ht="15" hidden="false" customHeight="false" outlineLevel="0" collapsed="false">
      <c r="A817" s="9" t="str">
        <f aca="false">Vessels!B12</f>
        <v>Vessel 08</v>
      </c>
      <c r="B817" s="9" t="s">
        <v>42</v>
      </c>
      <c r="C817" s="7" t="s">
        <v>69</v>
      </c>
      <c r="D817" s="9" t="s">
        <v>45</v>
      </c>
      <c r="E817" s="9" t="s">
        <v>46</v>
      </c>
      <c r="F817" s="5" t="n">
        <v>60</v>
      </c>
      <c r="G817" s="10"/>
      <c r="H817" s="11" t="str">
        <f aca="false">IFERROR(IF($D817="Manual Review","",IF($G817="","",IF($D817="Direct Expiry",$G817,EDATE($G817,$F817)))),"Check Date")</f>
        <v/>
      </c>
      <c r="I817" s="12" t="str">
        <f aca="true">IF($H817="","",IF(ISNUMBER($H817),$H817-TODAY(),""))</f>
        <v/>
      </c>
      <c r="J817" s="4" t="str">
        <f aca="true">IF($D817="Manual Review","Manual Review",IF($G817="","No Data",IF(NOT(ISNUMBER($H817)),"N/A",IF($H817&lt;TODAY(),"Overdue",IF($H817&lt;=TODAY()+30,"Due within 1 Month",IF($H817&lt;=TODAY()+60,"Due within 2 Months","OK"))))))</f>
        <v>No Data</v>
      </c>
      <c r="K817" s="13"/>
    </row>
    <row r="818" customFormat="false" ht="15" hidden="false" customHeight="false" outlineLevel="0" collapsed="false">
      <c r="A818" s="9" t="str">
        <f aca="false">Vessels!B12</f>
        <v>Vessel 08</v>
      </c>
      <c r="B818" s="9" t="s">
        <v>42</v>
      </c>
      <c r="C818" s="7" t="s">
        <v>70</v>
      </c>
      <c r="D818" s="9" t="s">
        <v>59</v>
      </c>
      <c r="E818" s="9" t="s">
        <v>58</v>
      </c>
      <c r="F818" s="5"/>
      <c r="G818" s="10"/>
      <c r="H818" s="11" t="str">
        <f aca="false">IFERROR(IF($D818="Manual Review","",IF($G818="","",IF($D818="Direct Expiry",$G818,EDATE($G818,$F818)))),"Check Date")</f>
        <v/>
      </c>
      <c r="I818" s="12" t="str">
        <f aca="true">IF($H818="","",IF(ISNUMBER($H818),$H818-TODAY(),""))</f>
        <v/>
      </c>
      <c r="J818" s="4" t="str">
        <f aca="true">IF($D818="Manual Review","Manual Review",IF($G818="","No Data",IF(NOT(ISNUMBER($H818)),"N/A",IF($H818&lt;TODAY(),"Overdue",IF($H818&lt;=TODAY()+30,"Due within 1 Month",IF($H818&lt;=TODAY()+60,"Due within 2 Months","OK"))))))</f>
        <v>No Data</v>
      </c>
      <c r="K818" s="13"/>
    </row>
    <row r="819" customFormat="false" ht="15" hidden="false" customHeight="false" outlineLevel="0" collapsed="false">
      <c r="A819" s="9" t="str">
        <f aca="false">Vessels!B12</f>
        <v>Vessel 08</v>
      </c>
      <c r="B819" s="9" t="s">
        <v>42</v>
      </c>
      <c r="C819" s="7" t="s">
        <v>71</v>
      </c>
      <c r="D819" s="9" t="s">
        <v>45</v>
      </c>
      <c r="E819" s="9" t="s">
        <v>44</v>
      </c>
      <c r="F819" s="5" t="n">
        <v>12</v>
      </c>
      <c r="G819" s="10"/>
      <c r="H819" s="11" t="str">
        <f aca="false">IFERROR(IF($D819="Manual Review","",IF($G819="","",IF($D819="Direct Expiry",$G819,EDATE($G819,$F819)))),"Check Date")</f>
        <v/>
      </c>
      <c r="I819" s="12" t="str">
        <f aca="true">IF($H819="","",IF(ISNUMBER($H819),$H819-TODAY(),""))</f>
        <v/>
      </c>
      <c r="J819" s="4" t="str">
        <f aca="true">IF($D819="Manual Review","Manual Review",IF($G819="","No Data",IF(NOT(ISNUMBER($H819)),"N/A",IF($H819&lt;TODAY(),"Overdue",IF($H819&lt;=TODAY()+30,"Due within 1 Month",IF($H819&lt;=TODAY()+60,"Due within 2 Months","OK"))))))</f>
        <v>No Data</v>
      </c>
      <c r="K819" s="13"/>
    </row>
    <row r="820" customFormat="false" ht="15" hidden="false" customHeight="false" outlineLevel="0" collapsed="false">
      <c r="A820" s="9" t="str">
        <f aca="false">Vessels!B12</f>
        <v>Vessel 08</v>
      </c>
      <c r="B820" s="9" t="s">
        <v>42</v>
      </c>
      <c r="C820" s="7" t="s">
        <v>72</v>
      </c>
      <c r="D820" s="9" t="s">
        <v>59</v>
      </c>
      <c r="E820" s="9" t="s">
        <v>58</v>
      </c>
      <c r="F820" s="5"/>
      <c r="G820" s="10"/>
      <c r="H820" s="11" t="str">
        <f aca="false">IFERROR(IF($D820="Manual Review","",IF($G820="","",IF($D820="Direct Expiry",$G820,EDATE($G820,$F820)))),"Check Date")</f>
        <v/>
      </c>
      <c r="I820" s="12" t="str">
        <f aca="true">IF($H820="","",IF(ISNUMBER($H820),$H820-TODAY(),""))</f>
        <v/>
      </c>
      <c r="J820" s="4" t="str">
        <f aca="true">IF($D820="Manual Review","Manual Review",IF($G820="","No Data",IF(NOT(ISNUMBER($H820)),"N/A",IF($H820&lt;TODAY(),"Overdue",IF($H820&lt;=TODAY()+30,"Due within 1 Month",IF($H820&lt;=TODAY()+60,"Due within 2 Months","OK"))))))</f>
        <v>No Data</v>
      </c>
      <c r="K820" s="13"/>
    </row>
    <row r="821" customFormat="false" ht="15" hidden="false" customHeight="false" outlineLevel="0" collapsed="false">
      <c r="A821" s="9" t="str">
        <f aca="false">Vessels!B12</f>
        <v>Vessel 08</v>
      </c>
      <c r="B821" s="9" t="s">
        <v>42</v>
      </c>
      <c r="C821" s="7" t="s">
        <v>73</v>
      </c>
      <c r="D821" s="9" t="s">
        <v>45</v>
      </c>
      <c r="E821" s="9" t="s">
        <v>44</v>
      </c>
      <c r="F821" s="5" t="n">
        <v>12</v>
      </c>
      <c r="G821" s="10"/>
      <c r="H821" s="11" t="str">
        <f aca="false">IFERROR(IF($D821="Manual Review","",IF($G821="","",IF($D821="Direct Expiry",$G821,EDATE($G821,$F821)))),"Check Date")</f>
        <v/>
      </c>
      <c r="I821" s="12" t="str">
        <f aca="true">IF($H821="","",IF(ISNUMBER($H821),$H821-TODAY(),""))</f>
        <v/>
      </c>
      <c r="J821" s="4" t="str">
        <f aca="true">IF($D821="Manual Review","Manual Review",IF($G821="","No Data",IF(NOT(ISNUMBER($H821)),"N/A",IF($H821&lt;TODAY(),"Overdue",IF($H821&lt;=TODAY()+30,"Due within 1 Month",IF($H821&lt;=TODAY()+60,"Due within 2 Months","OK"))))))</f>
        <v>No Data</v>
      </c>
      <c r="K821" s="13"/>
    </row>
    <row r="822" customFormat="false" ht="15" hidden="false" customHeight="false" outlineLevel="0" collapsed="false">
      <c r="A822" s="9" t="str">
        <f aca="false">Vessels!B12</f>
        <v>Vessel 08</v>
      </c>
      <c r="B822" s="9" t="s">
        <v>42</v>
      </c>
      <c r="C822" s="7" t="s">
        <v>74</v>
      </c>
      <c r="D822" s="9" t="s">
        <v>59</v>
      </c>
      <c r="E822" s="9" t="s">
        <v>58</v>
      </c>
      <c r="F822" s="5"/>
      <c r="G822" s="10"/>
      <c r="H822" s="11" t="str">
        <f aca="false">IFERROR(IF($D822="Manual Review","",IF($G822="","",IF($D822="Direct Expiry",$G822,EDATE($G822,$F822)))),"Check Date")</f>
        <v/>
      </c>
      <c r="I822" s="12" t="str">
        <f aca="true">IF($H822="","",IF(ISNUMBER($H822),$H822-TODAY(),""))</f>
        <v/>
      </c>
      <c r="J822" s="4" t="str">
        <f aca="true">IF($D822="Manual Review","Manual Review",IF($G822="","No Data",IF(NOT(ISNUMBER($H822)),"N/A",IF($H822&lt;TODAY(),"Overdue",IF($H822&lt;=TODAY()+30,"Due within 1 Month",IF($H822&lt;=TODAY()+60,"Due within 2 Months","OK"))))))</f>
        <v>No Data</v>
      </c>
      <c r="K822" s="13"/>
    </row>
    <row r="823" customFormat="false" ht="15" hidden="false" customHeight="false" outlineLevel="0" collapsed="false">
      <c r="A823" s="9" t="str">
        <f aca="false">Vessels!B12</f>
        <v>Vessel 08</v>
      </c>
      <c r="B823" s="9" t="s">
        <v>42</v>
      </c>
      <c r="C823" s="7" t="s">
        <v>75</v>
      </c>
      <c r="D823" s="9" t="s">
        <v>45</v>
      </c>
      <c r="E823" s="9" t="s">
        <v>44</v>
      </c>
      <c r="F823" s="5" t="n">
        <v>12</v>
      </c>
      <c r="G823" s="10"/>
      <c r="H823" s="11" t="str">
        <f aca="false">IFERROR(IF($D823="Manual Review","",IF($G823="","",IF($D823="Direct Expiry",$G823,EDATE($G823,$F823)))),"Check Date")</f>
        <v/>
      </c>
      <c r="I823" s="12" t="str">
        <f aca="true">IF($H823="","",IF(ISNUMBER($H823),$H823-TODAY(),""))</f>
        <v/>
      </c>
      <c r="J823" s="4" t="str">
        <f aca="true">IF($D823="Manual Review","Manual Review",IF($G823="","No Data",IF(NOT(ISNUMBER($H823)),"N/A",IF($H823&lt;TODAY(),"Overdue",IF($H823&lt;=TODAY()+30,"Due within 1 Month",IF($H823&lt;=TODAY()+60,"Due within 2 Months","OK"))))))</f>
        <v>No Data</v>
      </c>
      <c r="K823" s="13"/>
    </row>
    <row r="824" customFormat="false" ht="15" hidden="false" customHeight="false" outlineLevel="0" collapsed="false">
      <c r="A824" s="9" t="str">
        <f aca="false">Vessels!B12</f>
        <v>Vessel 08</v>
      </c>
      <c r="B824" s="9" t="s">
        <v>42</v>
      </c>
      <c r="C824" s="7" t="s">
        <v>76</v>
      </c>
      <c r="D824" s="9" t="s">
        <v>59</v>
      </c>
      <c r="E824" s="9" t="s">
        <v>58</v>
      </c>
      <c r="F824" s="5"/>
      <c r="G824" s="10"/>
      <c r="H824" s="11" t="str">
        <f aca="false">IFERROR(IF($D824="Manual Review","",IF($G824="","",IF($D824="Direct Expiry",$G824,EDATE($G824,$F824)))),"Check Date")</f>
        <v/>
      </c>
      <c r="I824" s="12" t="str">
        <f aca="true">IF($H824="","",IF(ISNUMBER($H824),$H824-TODAY(),""))</f>
        <v/>
      </c>
      <c r="J824" s="4" t="str">
        <f aca="true">IF($D824="Manual Review","Manual Review",IF($G824="","No Data",IF(NOT(ISNUMBER($H824)),"N/A",IF($H824&lt;TODAY(),"Overdue",IF($H824&lt;=TODAY()+30,"Due within 1 Month",IF($H824&lt;=TODAY()+60,"Due within 2 Months","OK"))))))</f>
        <v>No Data</v>
      </c>
      <c r="K824" s="13"/>
    </row>
    <row r="825" customFormat="false" ht="15" hidden="false" customHeight="false" outlineLevel="0" collapsed="false">
      <c r="A825" s="9" t="str">
        <f aca="false">Vessels!B12</f>
        <v>Vessel 08</v>
      </c>
      <c r="B825" s="9" t="s">
        <v>42</v>
      </c>
      <c r="C825" s="7" t="s">
        <v>77</v>
      </c>
      <c r="D825" s="9" t="s">
        <v>59</v>
      </c>
      <c r="E825" s="9" t="s">
        <v>58</v>
      </c>
      <c r="F825" s="5"/>
      <c r="G825" s="10"/>
      <c r="H825" s="11" t="str">
        <f aca="false">IFERROR(IF($D825="Manual Review","",IF($G825="","",IF($D825="Direct Expiry",$G825,EDATE($G825,$F825)))),"Check Date")</f>
        <v/>
      </c>
      <c r="I825" s="12" t="str">
        <f aca="true">IF($H825="","",IF(ISNUMBER($H825),$H825-TODAY(),""))</f>
        <v/>
      </c>
      <c r="J825" s="4" t="str">
        <f aca="true">IF($D825="Manual Review","Manual Review",IF($G825="","No Data",IF(NOT(ISNUMBER($H825)),"N/A",IF($H825&lt;TODAY(),"Overdue",IF($H825&lt;=TODAY()+30,"Due within 1 Month",IF($H825&lt;=TODAY()+60,"Due within 2 Months","OK"))))))</f>
        <v>No Data</v>
      </c>
      <c r="K825" s="13"/>
    </row>
    <row r="826" customFormat="false" ht="15" hidden="false" customHeight="false" outlineLevel="0" collapsed="false">
      <c r="A826" s="9" t="str">
        <f aca="false">Vessels!B12</f>
        <v>Vessel 08</v>
      </c>
      <c r="B826" s="9" t="s">
        <v>42</v>
      </c>
      <c r="C826" s="7" t="s">
        <v>78</v>
      </c>
      <c r="D826" s="9" t="s">
        <v>59</v>
      </c>
      <c r="E826" s="9" t="s">
        <v>58</v>
      </c>
      <c r="F826" s="5"/>
      <c r="G826" s="10"/>
      <c r="H826" s="11" t="str">
        <f aca="false">IFERROR(IF($D826="Manual Review","",IF($G826="","",IF($D826="Direct Expiry",$G826,EDATE($G826,$F826)))),"Check Date")</f>
        <v/>
      </c>
      <c r="I826" s="12" t="str">
        <f aca="true">IF($H826="","",IF(ISNUMBER($H826),$H826-TODAY(),""))</f>
        <v/>
      </c>
      <c r="J826" s="4" t="str">
        <f aca="true">IF($D826="Manual Review","Manual Review",IF($G826="","No Data",IF(NOT(ISNUMBER($H826)),"N/A",IF($H826&lt;TODAY(),"Overdue",IF($H826&lt;=TODAY()+30,"Due within 1 Month",IF($H826&lt;=TODAY()+60,"Due within 2 Months","OK"))))))</f>
        <v>No Data</v>
      </c>
      <c r="K826" s="13"/>
    </row>
    <row r="827" customFormat="false" ht="15" hidden="false" customHeight="false" outlineLevel="0" collapsed="false">
      <c r="A827" s="9" t="str">
        <f aca="false">Vessels!B12</f>
        <v>Vessel 08</v>
      </c>
      <c r="B827" s="9" t="s">
        <v>42</v>
      </c>
      <c r="C827" s="7" t="s">
        <v>79</v>
      </c>
      <c r="D827" s="9" t="s">
        <v>45</v>
      </c>
      <c r="E827" s="9" t="s">
        <v>44</v>
      </c>
      <c r="F827" s="5" t="n">
        <v>12</v>
      </c>
      <c r="G827" s="10"/>
      <c r="H827" s="11" t="str">
        <f aca="false">IFERROR(IF($D827="Manual Review","",IF($G827="","",IF($D827="Direct Expiry",$G827,EDATE($G827,$F827)))),"Check Date")</f>
        <v/>
      </c>
      <c r="I827" s="12" t="str">
        <f aca="true">IF($H827="","",IF(ISNUMBER($H827),$H827-TODAY(),""))</f>
        <v/>
      </c>
      <c r="J827" s="4" t="str">
        <f aca="true">IF($D827="Manual Review","Manual Review",IF($G827="","No Data",IF(NOT(ISNUMBER($H827)),"N/A",IF($H827&lt;TODAY(),"Overdue",IF($H827&lt;=TODAY()+30,"Due within 1 Month",IF($H827&lt;=TODAY()+60,"Due within 2 Months","OK"))))))</f>
        <v>No Data</v>
      </c>
      <c r="K827" s="13"/>
    </row>
    <row r="828" customFormat="false" ht="15" hidden="false" customHeight="false" outlineLevel="0" collapsed="false">
      <c r="A828" s="9" t="str">
        <f aca="false">Vessels!B12</f>
        <v>Vessel 08</v>
      </c>
      <c r="B828" s="9" t="s">
        <v>42</v>
      </c>
      <c r="C828" s="7" t="s">
        <v>80</v>
      </c>
      <c r="D828" s="9" t="s">
        <v>45</v>
      </c>
      <c r="E828" s="9" t="s">
        <v>81</v>
      </c>
      <c r="F828" s="5" t="n">
        <v>36</v>
      </c>
      <c r="G828" s="10"/>
      <c r="H828" s="11" t="str">
        <f aca="false">IFERROR(IF($D828="Manual Review","",IF($G828="","",IF($D828="Direct Expiry",$G828,EDATE($G828,$F828)))),"Check Date")</f>
        <v/>
      </c>
      <c r="I828" s="12" t="str">
        <f aca="true">IF($H828="","",IF(ISNUMBER($H828),$H828-TODAY(),""))</f>
        <v/>
      </c>
      <c r="J828" s="4" t="str">
        <f aca="true">IF($D828="Manual Review","Manual Review",IF($G828="","No Data",IF(NOT(ISNUMBER($H828)),"N/A",IF($H828&lt;TODAY(),"Overdue",IF($H828&lt;=TODAY()+30,"Due within 1 Month",IF($H828&lt;=TODAY()+60,"Due within 2 Months","OK"))))))</f>
        <v>No Data</v>
      </c>
      <c r="K828" s="13"/>
    </row>
    <row r="829" customFormat="false" ht="15" hidden="false" customHeight="false" outlineLevel="0" collapsed="false">
      <c r="A829" s="9" t="str">
        <f aca="false">Vessels!B12</f>
        <v>Vessel 08</v>
      </c>
      <c r="B829" s="9" t="s">
        <v>42</v>
      </c>
      <c r="C829" s="7" t="s">
        <v>80</v>
      </c>
      <c r="D829" s="9" t="s">
        <v>45</v>
      </c>
      <c r="E829" s="9" t="s">
        <v>82</v>
      </c>
      <c r="F829" s="5" t="n">
        <v>24</v>
      </c>
      <c r="G829" s="10"/>
      <c r="H829" s="11" t="str">
        <f aca="false">IFERROR(IF($D829="Manual Review","",IF($G829="","",IF($D829="Direct Expiry",$G829,EDATE($G829,$F829)))),"Check Date")</f>
        <v/>
      </c>
      <c r="I829" s="12" t="str">
        <f aca="true">IF($H829="","",IF(ISNUMBER($H829),$H829-TODAY(),""))</f>
        <v/>
      </c>
      <c r="J829" s="4" t="str">
        <f aca="true">IF($D829="Manual Review","Manual Review",IF($G829="","No Data",IF(NOT(ISNUMBER($H829)),"N/A",IF($H829&lt;TODAY(),"Overdue",IF($H829&lt;=TODAY()+30,"Due within 1 Month",IF($H829&lt;=TODAY()+60,"Due within 2 Months","OK"))))))</f>
        <v>No Data</v>
      </c>
      <c r="K829" s="13"/>
    </row>
    <row r="830" customFormat="false" ht="15" hidden="false" customHeight="false" outlineLevel="0" collapsed="false">
      <c r="A830" s="9" t="str">
        <f aca="false">Vessels!B12</f>
        <v>Vessel 08</v>
      </c>
      <c r="B830" s="9" t="s">
        <v>42</v>
      </c>
      <c r="C830" s="7" t="s">
        <v>83</v>
      </c>
      <c r="D830" s="9" t="s">
        <v>45</v>
      </c>
      <c r="E830" s="9" t="s">
        <v>44</v>
      </c>
      <c r="F830" s="5" t="n">
        <v>12</v>
      </c>
      <c r="G830" s="10"/>
      <c r="H830" s="11" t="str">
        <f aca="false">IFERROR(IF($D830="Manual Review","",IF($G830="","",IF($D830="Direct Expiry",$G830,EDATE($G830,$F830)))),"Check Date")</f>
        <v/>
      </c>
      <c r="I830" s="12" t="str">
        <f aca="true">IF($H830="","",IF(ISNUMBER($H830),$H830-TODAY(),""))</f>
        <v/>
      </c>
      <c r="J830" s="4" t="str">
        <f aca="true">IF($D830="Manual Review","Manual Review",IF($G830="","No Data",IF(NOT(ISNUMBER($H830)),"N/A",IF($H830&lt;TODAY(),"Overdue",IF($H830&lt;=TODAY()+30,"Due within 1 Month",IF($H830&lt;=TODAY()+60,"Due within 2 Months","OK"))))))</f>
        <v>No Data</v>
      </c>
      <c r="K830" s="13"/>
    </row>
    <row r="831" customFormat="false" ht="15" hidden="false" customHeight="false" outlineLevel="0" collapsed="false">
      <c r="A831" s="9" t="str">
        <f aca="false">Vessels!B12</f>
        <v>Vessel 08</v>
      </c>
      <c r="B831" s="9" t="s">
        <v>42</v>
      </c>
      <c r="C831" s="7" t="s">
        <v>83</v>
      </c>
      <c r="D831" s="9" t="s">
        <v>45</v>
      </c>
      <c r="E831" s="9" t="s">
        <v>84</v>
      </c>
      <c r="F831" s="5" t="n">
        <v>60</v>
      </c>
      <c r="G831" s="10"/>
      <c r="H831" s="11" t="str">
        <f aca="false">IFERROR(IF($D831="Manual Review","",IF($G831="","",IF($D831="Direct Expiry",$G831,EDATE($G831,$F831)))),"Check Date")</f>
        <v/>
      </c>
      <c r="I831" s="12" t="str">
        <f aca="true">IF($H831="","",IF(ISNUMBER($H831),$H831-TODAY(),""))</f>
        <v/>
      </c>
      <c r="J831" s="4" t="str">
        <f aca="true">IF($D831="Manual Review","Manual Review",IF($G831="","No Data",IF(NOT(ISNUMBER($H831)),"N/A",IF($H831&lt;TODAY(),"Overdue",IF($H831&lt;=TODAY()+30,"Due within 1 Month",IF($H831&lt;=TODAY()+60,"Due within 2 Months","OK"))))))</f>
        <v>No Data</v>
      </c>
      <c r="K831" s="13"/>
    </row>
    <row r="832" customFormat="false" ht="15" hidden="false" customHeight="false" outlineLevel="0" collapsed="false">
      <c r="A832" s="9" t="str">
        <f aca="false">Vessels!B12</f>
        <v>Vessel 08</v>
      </c>
      <c r="B832" s="9" t="s">
        <v>42</v>
      </c>
      <c r="C832" s="7" t="s">
        <v>85</v>
      </c>
      <c r="D832" s="9" t="s">
        <v>45</v>
      </c>
      <c r="E832" s="9" t="s">
        <v>44</v>
      </c>
      <c r="F832" s="5" t="n">
        <v>12</v>
      </c>
      <c r="G832" s="10"/>
      <c r="H832" s="11" t="str">
        <f aca="false">IFERROR(IF($D832="Manual Review","",IF($G832="","",IF($D832="Direct Expiry",$G832,EDATE($G832,$F832)))),"Check Date")</f>
        <v/>
      </c>
      <c r="I832" s="12" t="str">
        <f aca="true">IF($H832="","",IF(ISNUMBER($H832),$H832-TODAY(),""))</f>
        <v/>
      </c>
      <c r="J832" s="4" t="str">
        <f aca="true">IF($D832="Manual Review","Manual Review",IF($G832="","No Data",IF(NOT(ISNUMBER($H832)),"N/A",IF($H832&lt;TODAY(),"Overdue",IF($H832&lt;=TODAY()+30,"Due within 1 Month",IF($H832&lt;=TODAY()+60,"Due within 2 Months","OK"))))))</f>
        <v>No Data</v>
      </c>
      <c r="K832" s="13"/>
    </row>
    <row r="833" customFormat="false" ht="15" hidden="false" customHeight="false" outlineLevel="0" collapsed="false">
      <c r="A833" s="9" t="str">
        <f aca="false">Vessels!B12</f>
        <v>Vessel 08</v>
      </c>
      <c r="B833" s="9" t="s">
        <v>42</v>
      </c>
      <c r="C833" s="7" t="s">
        <v>85</v>
      </c>
      <c r="D833" s="9" t="s">
        <v>45</v>
      </c>
      <c r="E833" s="9" t="s">
        <v>84</v>
      </c>
      <c r="F833" s="5" t="n">
        <v>60</v>
      </c>
      <c r="G833" s="10"/>
      <c r="H833" s="11" t="str">
        <f aca="false">IFERROR(IF($D833="Manual Review","",IF($G833="","",IF($D833="Direct Expiry",$G833,EDATE($G833,$F833)))),"Check Date")</f>
        <v/>
      </c>
      <c r="I833" s="12" t="str">
        <f aca="true">IF($H833="","",IF(ISNUMBER($H833),$H833-TODAY(),""))</f>
        <v/>
      </c>
      <c r="J833" s="4" t="str">
        <f aca="true">IF($D833="Manual Review","Manual Review",IF($G833="","No Data",IF(NOT(ISNUMBER($H833)),"N/A",IF($H833&lt;TODAY(),"Overdue",IF($H833&lt;=TODAY()+30,"Due within 1 Month",IF($H833&lt;=TODAY()+60,"Due within 2 Months","OK"))))))</f>
        <v>No Data</v>
      </c>
      <c r="K833" s="13"/>
    </row>
    <row r="834" customFormat="false" ht="15" hidden="false" customHeight="false" outlineLevel="0" collapsed="false">
      <c r="A834" s="9" t="str">
        <f aca="false">Vessels!B12</f>
        <v>Vessel 08</v>
      </c>
      <c r="B834" s="9" t="s">
        <v>42</v>
      </c>
      <c r="C834" s="7" t="s">
        <v>86</v>
      </c>
      <c r="D834" s="9" t="s">
        <v>45</v>
      </c>
      <c r="E834" s="9" t="s">
        <v>44</v>
      </c>
      <c r="F834" s="5" t="n">
        <v>12</v>
      </c>
      <c r="G834" s="10"/>
      <c r="H834" s="11" t="str">
        <f aca="false">IFERROR(IF($D834="Manual Review","",IF($G834="","",IF($D834="Direct Expiry",$G834,EDATE($G834,$F834)))),"Check Date")</f>
        <v/>
      </c>
      <c r="I834" s="12" t="str">
        <f aca="true">IF($H834="","",IF(ISNUMBER($H834),$H834-TODAY(),""))</f>
        <v/>
      </c>
      <c r="J834" s="4" t="str">
        <f aca="true">IF($D834="Manual Review","Manual Review",IF($G834="","No Data",IF(NOT(ISNUMBER($H834)),"N/A",IF($H834&lt;TODAY(),"Overdue",IF($H834&lt;=TODAY()+30,"Due within 1 Month",IF($H834&lt;=TODAY()+60,"Due within 2 Months","OK"))))))</f>
        <v>No Data</v>
      </c>
      <c r="K834" s="13"/>
    </row>
    <row r="835" customFormat="false" ht="15" hidden="false" customHeight="false" outlineLevel="0" collapsed="false">
      <c r="A835" s="9" t="str">
        <f aca="false">Vessels!B12</f>
        <v>Vessel 08</v>
      </c>
      <c r="B835" s="9" t="s">
        <v>42</v>
      </c>
      <c r="C835" s="7" t="s">
        <v>87</v>
      </c>
      <c r="D835" s="9" t="s">
        <v>45</v>
      </c>
      <c r="E835" s="9" t="s">
        <v>44</v>
      </c>
      <c r="F835" s="5" t="n">
        <v>12</v>
      </c>
      <c r="G835" s="10"/>
      <c r="H835" s="11" t="str">
        <f aca="false">IFERROR(IF($D835="Manual Review","",IF($G835="","",IF($D835="Direct Expiry",$G835,EDATE($G835,$F835)))),"Check Date")</f>
        <v/>
      </c>
      <c r="I835" s="12" t="str">
        <f aca="true">IF($H835="","",IF(ISNUMBER($H835),$H835-TODAY(),""))</f>
        <v/>
      </c>
      <c r="J835" s="4" t="str">
        <f aca="true">IF($D835="Manual Review","Manual Review",IF($G835="","No Data",IF(NOT(ISNUMBER($H835)),"N/A",IF($H835&lt;TODAY(),"Overdue",IF($H835&lt;=TODAY()+30,"Due within 1 Month",IF($H835&lt;=TODAY()+60,"Due within 2 Months","OK"))))))</f>
        <v>No Data</v>
      </c>
      <c r="K835" s="13"/>
    </row>
    <row r="836" customFormat="false" ht="15" hidden="false" customHeight="false" outlineLevel="0" collapsed="false">
      <c r="A836" s="9" t="str">
        <f aca="false">Vessels!B12</f>
        <v>Vessel 08</v>
      </c>
      <c r="B836" s="9" t="s">
        <v>88</v>
      </c>
      <c r="C836" s="7" t="s">
        <v>89</v>
      </c>
      <c r="D836" s="9" t="s">
        <v>45</v>
      </c>
      <c r="E836" s="9" t="s">
        <v>90</v>
      </c>
      <c r="F836" s="5" t="n">
        <v>36</v>
      </c>
      <c r="G836" s="10"/>
      <c r="H836" s="11" t="str">
        <f aca="false">IFERROR(IF($D836="Manual Review","",IF($G836="","",IF($D836="Direct Expiry",$G836,EDATE($G836,$F836)))),"Check Date")</f>
        <v/>
      </c>
      <c r="I836" s="12" t="str">
        <f aca="true">IF($H836="","",IF(ISNUMBER($H836),$H836-TODAY(),""))</f>
        <v/>
      </c>
      <c r="J836" s="4" t="str">
        <f aca="true">IF($D836="Manual Review","Manual Review",IF($G836="","No Data",IF(NOT(ISNUMBER($H836)),"N/A",IF($H836&lt;TODAY(),"Overdue",IF($H836&lt;=TODAY()+30,"Due within 1 Month",IF($H836&lt;=TODAY()+60,"Due within 2 Months","OK"))))))</f>
        <v>No Data</v>
      </c>
      <c r="K836" s="13"/>
    </row>
    <row r="837" customFormat="false" ht="15" hidden="false" customHeight="false" outlineLevel="0" collapsed="false">
      <c r="A837" s="9" t="str">
        <f aca="false">Vessels!B12</f>
        <v>Vessel 08</v>
      </c>
      <c r="B837" s="9" t="s">
        <v>88</v>
      </c>
      <c r="C837" s="7" t="s">
        <v>91</v>
      </c>
      <c r="D837" s="9" t="s">
        <v>45</v>
      </c>
      <c r="E837" s="9" t="s">
        <v>44</v>
      </c>
      <c r="F837" s="5" t="n">
        <v>12</v>
      </c>
      <c r="G837" s="10"/>
      <c r="H837" s="11" t="str">
        <f aca="false">IFERROR(IF($D837="Manual Review","",IF($G837="","",IF($D837="Direct Expiry",$G837,EDATE($G837,$F837)))),"Check Date")</f>
        <v/>
      </c>
      <c r="I837" s="12" t="str">
        <f aca="true">IF($H837="","",IF(ISNUMBER($H837),$H837-TODAY(),""))</f>
        <v/>
      </c>
      <c r="J837" s="4" t="str">
        <f aca="true">IF($D837="Manual Review","Manual Review",IF($G837="","No Data",IF(NOT(ISNUMBER($H837)),"N/A",IF($H837&lt;TODAY(),"Overdue",IF($H837&lt;=TODAY()+30,"Due within 1 Month",IF($H837&lt;=TODAY()+60,"Due within 2 Months","OK"))))))</f>
        <v>No Data</v>
      </c>
      <c r="K837" s="13"/>
    </row>
    <row r="838" customFormat="false" ht="15" hidden="false" customHeight="false" outlineLevel="0" collapsed="false">
      <c r="A838" s="9" t="str">
        <f aca="false">Vessels!B12</f>
        <v>Vessel 08</v>
      </c>
      <c r="B838" s="9" t="s">
        <v>88</v>
      </c>
      <c r="C838" s="7" t="s">
        <v>91</v>
      </c>
      <c r="D838" s="9" t="s">
        <v>45</v>
      </c>
      <c r="E838" s="9" t="s">
        <v>92</v>
      </c>
      <c r="F838" s="5" t="n">
        <v>120</v>
      </c>
      <c r="G838" s="10"/>
      <c r="H838" s="11" t="str">
        <f aca="false">IFERROR(IF($D838="Manual Review","",IF($G838="","",IF($D838="Direct Expiry",$G838,EDATE($G838,$F838)))),"Check Date")</f>
        <v/>
      </c>
      <c r="I838" s="12" t="str">
        <f aca="true">IF($H838="","",IF(ISNUMBER($H838),$H838-TODAY(),""))</f>
        <v/>
      </c>
      <c r="J838" s="4" t="str">
        <f aca="true">IF($D838="Manual Review","Manual Review",IF($G838="","No Data",IF(NOT(ISNUMBER($H838)),"N/A",IF($H838&lt;TODAY(),"Overdue",IF($H838&lt;=TODAY()+30,"Due within 1 Month",IF($H838&lt;=TODAY()+60,"Due within 2 Months","OK"))))))</f>
        <v>No Data</v>
      </c>
      <c r="K838" s="13"/>
    </row>
    <row r="839" customFormat="false" ht="15" hidden="false" customHeight="false" outlineLevel="0" collapsed="false">
      <c r="A839" s="9" t="str">
        <f aca="false">Vessels!B12</f>
        <v>Vessel 08</v>
      </c>
      <c r="B839" s="9" t="s">
        <v>88</v>
      </c>
      <c r="C839" s="7" t="s">
        <v>93</v>
      </c>
      <c r="D839" s="9" t="s">
        <v>45</v>
      </c>
      <c r="E839" s="9" t="s">
        <v>44</v>
      </c>
      <c r="F839" s="5" t="n">
        <v>12</v>
      </c>
      <c r="G839" s="10"/>
      <c r="H839" s="11" t="str">
        <f aca="false">IFERROR(IF($D839="Manual Review","",IF($G839="","",IF($D839="Direct Expiry",$G839,EDATE($G839,$F839)))),"Check Date")</f>
        <v/>
      </c>
      <c r="I839" s="12" t="str">
        <f aca="true">IF($H839="","",IF(ISNUMBER($H839),$H839-TODAY(),""))</f>
        <v/>
      </c>
      <c r="J839" s="4" t="str">
        <f aca="true">IF($D839="Manual Review","Manual Review",IF($G839="","No Data",IF(NOT(ISNUMBER($H839)),"N/A",IF($H839&lt;TODAY(),"Overdue",IF($H839&lt;=TODAY()+30,"Due within 1 Month",IF($H839&lt;=TODAY()+60,"Due within 2 Months","OK"))))))</f>
        <v>No Data</v>
      </c>
      <c r="K839" s="13"/>
    </row>
    <row r="840" customFormat="false" ht="15" hidden="false" customHeight="false" outlineLevel="0" collapsed="false">
      <c r="A840" s="9" t="str">
        <f aca="false">Vessels!B12</f>
        <v>Vessel 08</v>
      </c>
      <c r="B840" s="9" t="s">
        <v>88</v>
      </c>
      <c r="C840" s="7" t="s">
        <v>93</v>
      </c>
      <c r="D840" s="9" t="s">
        <v>45</v>
      </c>
      <c r="E840" s="9" t="s">
        <v>92</v>
      </c>
      <c r="F840" s="5" t="n">
        <v>120</v>
      </c>
      <c r="G840" s="10"/>
      <c r="H840" s="11" t="str">
        <f aca="false">IFERROR(IF($D840="Manual Review","",IF($G840="","",IF($D840="Direct Expiry",$G840,EDATE($G840,$F840)))),"Check Date")</f>
        <v/>
      </c>
      <c r="I840" s="12" t="str">
        <f aca="true">IF($H840="","",IF(ISNUMBER($H840),$H840-TODAY(),""))</f>
        <v/>
      </c>
      <c r="J840" s="4" t="str">
        <f aca="true">IF($D840="Manual Review","Manual Review",IF($G840="","No Data",IF(NOT(ISNUMBER($H840)),"N/A",IF($H840&lt;TODAY(),"Overdue",IF($H840&lt;=TODAY()+30,"Due within 1 Month",IF($H840&lt;=TODAY()+60,"Due within 2 Months","OK"))))))</f>
        <v>No Data</v>
      </c>
      <c r="K840" s="13"/>
    </row>
    <row r="841" customFormat="false" ht="15" hidden="false" customHeight="false" outlineLevel="0" collapsed="false">
      <c r="A841" s="9" t="str">
        <f aca="false">Vessels!B12</f>
        <v>Vessel 08</v>
      </c>
      <c r="B841" s="9" t="s">
        <v>88</v>
      </c>
      <c r="C841" s="7" t="s">
        <v>94</v>
      </c>
      <c r="D841" s="9" t="s">
        <v>45</v>
      </c>
      <c r="E841" s="9" t="s">
        <v>44</v>
      </c>
      <c r="F841" s="5" t="n">
        <v>12</v>
      </c>
      <c r="G841" s="10"/>
      <c r="H841" s="11" t="str">
        <f aca="false">IFERROR(IF($D841="Manual Review","",IF($G841="","",IF($D841="Direct Expiry",$G841,EDATE($G841,$F841)))),"Check Date")</f>
        <v/>
      </c>
      <c r="I841" s="12" t="str">
        <f aca="true">IF($H841="","",IF(ISNUMBER($H841),$H841-TODAY(),""))</f>
        <v/>
      </c>
      <c r="J841" s="4" t="str">
        <f aca="true">IF($D841="Manual Review","Manual Review",IF($G841="","No Data",IF(NOT(ISNUMBER($H841)),"N/A",IF($H841&lt;TODAY(),"Overdue",IF($H841&lt;=TODAY()+30,"Due within 1 Month",IF($H841&lt;=TODAY()+60,"Due within 2 Months","OK"))))))</f>
        <v>No Data</v>
      </c>
      <c r="K841" s="13"/>
    </row>
    <row r="842" customFormat="false" ht="15" hidden="false" customHeight="false" outlineLevel="0" collapsed="false">
      <c r="A842" s="9" t="str">
        <f aca="false">Vessels!B12</f>
        <v>Vessel 08</v>
      </c>
      <c r="B842" s="9" t="s">
        <v>88</v>
      </c>
      <c r="C842" s="7" t="s">
        <v>94</v>
      </c>
      <c r="D842" s="9" t="s">
        <v>45</v>
      </c>
      <c r="E842" s="9" t="s">
        <v>92</v>
      </c>
      <c r="F842" s="5" t="n">
        <v>120</v>
      </c>
      <c r="G842" s="10"/>
      <c r="H842" s="11" t="str">
        <f aca="false">IFERROR(IF($D842="Manual Review","",IF($G842="","",IF($D842="Direct Expiry",$G842,EDATE($G842,$F842)))),"Check Date")</f>
        <v/>
      </c>
      <c r="I842" s="12" t="str">
        <f aca="true">IF($H842="","",IF(ISNUMBER($H842),$H842-TODAY(),""))</f>
        <v/>
      </c>
      <c r="J842" s="4" t="str">
        <f aca="true">IF($D842="Manual Review","Manual Review",IF($G842="","No Data",IF(NOT(ISNUMBER($H842)),"N/A",IF($H842&lt;TODAY(),"Overdue",IF($H842&lt;=TODAY()+30,"Due within 1 Month",IF($H842&lt;=TODAY()+60,"Due within 2 Months","OK"))))))</f>
        <v>No Data</v>
      </c>
      <c r="K842" s="13"/>
    </row>
    <row r="843" customFormat="false" ht="15" hidden="false" customHeight="false" outlineLevel="0" collapsed="false">
      <c r="A843" s="9" t="str">
        <f aca="false">Vessels!B12</f>
        <v>Vessel 08</v>
      </c>
      <c r="B843" s="9" t="s">
        <v>88</v>
      </c>
      <c r="C843" s="7" t="s">
        <v>95</v>
      </c>
      <c r="D843" s="9" t="s">
        <v>45</v>
      </c>
      <c r="E843" s="9" t="s">
        <v>44</v>
      </c>
      <c r="F843" s="5" t="n">
        <v>12</v>
      </c>
      <c r="G843" s="10"/>
      <c r="H843" s="11" t="str">
        <f aca="false">IFERROR(IF($D843="Manual Review","",IF($G843="","",IF($D843="Direct Expiry",$G843,EDATE($G843,$F843)))),"Check Date")</f>
        <v/>
      </c>
      <c r="I843" s="12" t="str">
        <f aca="true">IF($H843="","",IF(ISNUMBER($H843),$H843-TODAY(),""))</f>
        <v/>
      </c>
      <c r="J843" s="4" t="str">
        <f aca="true">IF($D843="Manual Review","Manual Review",IF($G843="","No Data",IF(NOT(ISNUMBER($H843)),"N/A",IF($H843&lt;TODAY(),"Overdue",IF($H843&lt;=TODAY()+30,"Due within 1 Month",IF($H843&lt;=TODAY()+60,"Due within 2 Months","OK"))))))</f>
        <v>No Data</v>
      </c>
      <c r="K843" s="13"/>
    </row>
    <row r="844" customFormat="false" ht="15" hidden="false" customHeight="false" outlineLevel="0" collapsed="false">
      <c r="A844" s="9" t="str">
        <f aca="false">Vessels!B12</f>
        <v>Vessel 08</v>
      </c>
      <c r="B844" s="9" t="s">
        <v>88</v>
      </c>
      <c r="C844" s="7" t="s">
        <v>95</v>
      </c>
      <c r="D844" s="9" t="s">
        <v>45</v>
      </c>
      <c r="E844" s="9" t="s">
        <v>92</v>
      </c>
      <c r="F844" s="5" t="n">
        <v>120</v>
      </c>
      <c r="G844" s="10"/>
      <c r="H844" s="11" t="str">
        <f aca="false">IFERROR(IF($D844="Manual Review","",IF($G844="","",IF($D844="Direct Expiry",$G844,EDATE($G844,$F844)))),"Check Date")</f>
        <v/>
      </c>
      <c r="I844" s="12" t="str">
        <f aca="true">IF($H844="","",IF(ISNUMBER($H844),$H844-TODAY(),""))</f>
        <v/>
      </c>
      <c r="J844" s="4" t="str">
        <f aca="true">IF($D844="Manual Review","Manual Review",IF($G844="","No Data",IF(NOT(ISNUMBER($H844)),"N/A",IF($H844&lt;TODAY(),"Overdue",IF($H844&lt;=TODAY()+30,"Due within 1 Month",IF($H844&lt;=TODAY()+60,"Due within 2 Months","OK"))))))</f>
        <v>No Data</v>
      </c>
      <c r="K844" s="13"/>
    </row>
    <row r="845" customFormat="false" ht="15" hidden="false" customHeight="false" outlineLevel="0" collapsed="false">
      <c r="A845" s="9" t="str">
        <f aca="false">Vessels!B12</f>
        <v>Vessel 08</v>
      </c>
      <c r="B845" s="9" t="s">
        <v>88</v>
      </c>
      <c r="C845" s="7" t="s">
        <v>96</v>
      </c>
      <c r="D845" s="9" t="s">
        <v>45</v>
      </c>
      <c r="E845" s="9" t="s">
        <v>44</v>
      </c>
      <c r="F845" s="5" t="n">
        <v>12</v>
      </c>
      <c r="G845" s="10"/>
      <c r="H845" s="11" t="str">
        <f aca="false">IFERROR(IF($D845="Manual Review","",IF($G845="","",IF($D845="Direct Expiry",$G845,EDATE($G845,$F845)))),"Check Date")</f>
        <v/>
      </c>
      <c r="I845" s="12" t="str">
        <f aca="true">IF($H845="","",IF(ISNUMBER($H845),$H845-TODAY(),""))</f>
        <v/>
      </c>
      <c r="J845" s="4" t="str">
        <f aca="true">IF($D845="Manual Review","Manual Review",IF($G845="","No Data",IF(NOT(ISNUMBER($H845)),"N/A",IF($H845&lt;TODAY(),"Overdue",IF($H845&lt;=TODAY()+30,"Due within 1 Month",IF($H845&lt;=TODAY()+60,"Due within 2 Months","OK"))))))</f>
        <v>No Data</v>
      </c>
      <c r="K845" s="13"/>
    </row>
    <row r="846" customFormat="false" ht="15" hidden="false" customHeight="false" outlineLevel="0" collapsed="false">
      <c r="A846" s="9" t="str">
        <f aca="false">Vessels!B12</f>
        <v>Vessel 08</v>
      </c>
      <c r="B846" s="9" t="s">
        <v>88</v>
      </c>
      <c r="C846" s="7" t="s">
        <v>96</v>
      </c>
      <c r="D846" s="9" t="s">
        <v>45</v>
      </c>
      <c r="E846" s="9" t="s">
        <v>97</v>
      </c>
      <c r="F846" s="5" t="n">
        <v>120</v>
      </c>
      <c r="G846" s="10"/>
      <c r="H846" s="11" t="str">
        <f aca="false">IFERROR(IF($D846="Manual Review","",IF($G846="","",IF($D846="Direct Expiry",$G846,EDATE($G846,$F846)))),"Check Date")</f>
        <v/>
      </c>
      <c r="I846" s="12" t="str">
        <f aca="true">IF($H846="","",IF(ISNUMBER($H846),$H846-TODAY(),""))</f>
        <v/>
      </c>
      <c r="J846" s="4" t="str">
        <f aca="true">IF($D846="Manual Review","Manual Review",IF($G846="","No Data",IF(NOT(ISNUMBER($H846)),"N/A",IF($H846&lt;TODAY(),"Overdue",IF($H846&lt;=TODAY()+30,"Due within 1 Month",IF($H846&lt;=TODAY()+60,"Due within 2 Months","OK"))))))</f>
        <v>No Data</v>
      </c>
      <c r="K846" s="13"/>
    </row>
    <row r="847" customFormat="false" ht="15" hidden="false" customHeight="false" outlineLevel="0" collapsed="false">
      <c r="A847" s="9" t="str">
        <f aca="false">Vessels!B12</f>
        <v>Vessel 08</v>
      </c>
      <c r="B847" s="9" t="s">
        <v>88</v>
      </c>
      <c r="C847" s="7" t="s">
        <v>98</v>
      </c>
      <c r="D847" s="9" t="s">
        <v>45</v>
      </c>
      <c r="E847" s="9" t="s">
        <v>44</v>
      </c>
      <c r="F847" s="5" t="n">
        <v>12</v>
      </c>
      <c r="G847" s="10"/>
      <c r="H847" s="11" t="str">
        <f aca="false">IFERROR(IF($D847="Manual Review","",IF($G847="","",IF($D847="Direct Expiry",$G847,EDATE($G847,$F847)))),"Check Date")</f>
        <v/>
      </c>
      <c r="I847" s="12" t="str">
        <f aca="true">IF($H847="","",IF(ISNUMBER($H847),$H847-TODAY(),""))</f>
        <v/>
      </c>
      <c r="J847" s="4" t="str">
        <f aca="true">IF($D847="Manual Review","Manual Review",IF($G847="","No Data",IF(NOT(ISNUMBER($H847)),"N/A",IF($H847&lt;TODAY(),"Overdue",IF($H847&lt;=TODAY()+30,"Due within 1 Month",IF($H847&lt;=TODAY()+60,"Due within 2 Months","OK"))))))</f>
        <v>No Data</v>
      </c>
      <c r="K847" s="13"/>
    </row>
    <row r="848" customFormat="false" ht="15" hidden="false" customHeight="false" outlineLevel="0" collapsed="false">
      <c r="A848" s="9" t="str">
        <f aca="false">Vessels!B12</f>
        <v>Vessel 08</v>
      </c>
      <c r="B848" s="9" t="s">
        <v>88</v>
      </c>
      <c r="C848" s="7" t="s">
        <v>98</v>
      </c>
      <c r="D848" s="9" t="s">
        <v>45</v>
      </c>
      <c r="E848" s="9" t="s">
        <v>99</v>
      </c>
      <c r="F848" s="5" t="n">
        <v>60</v>
      </c>
      <c r="G848" s="10"/>
      <c r="H848" s="11" t="str">
        <f aca="false">IFERROR(IF($D848="Manual Review","",IF($G848="","",IF($D848="Direct Expiry",$G848,EDATE($G848,$F848)))),"Check Date")</f>
        <v/>
      </c>
      <c r="I848" s="12" t="str">
        <f aca="true">IF($H848="","",IF(ISNUMBER($H848),$H848-TODAY(),""))</f>
        <v/>
      </c>
      <c r="J848" s="4" t="str">
        <f aca="true">IF($D848="Manual Review","Manual Review",IF($G848="","No Data",IF(NOT(ISNUMBER($H848)),"N/A",IF($H848&lt;TODAY(),"Overdue",IF($H848&lt;=TODAY()+30,"Due within 1 Month",IF($H848&lt;=TODAY()+60,"Due within 2 Months","OK"))))))</f>
        <v>No Data</v>
      </c>
      <c r="K848" s="13"/>
    </row>
    <row r="849" customFormat="false" ht="15" hidden="false" customHeight="false" outlineLevel="0" collapsed="false">
      <c r="A849" s="9" t="str">
        <f aca="false">Vessels!B12</f>
        <v>Vessel 08</v>
      </c>
      <c r="B849" s="9" t="s">
        <v>88</v>
      </c>
      <c r="C849" s="7" t="s">
        <v>100</v>
      </c>
      <c r="D849" s="9" t="s">
        <v>45</v>
      </c>
      <c r="E849" s="9" t="s">
        <v>44</v>
      </c>
      <c r="F849" s="5" t="n">
        <v>12</v>
      </c>
      <c r="G849" s="10"/>
      <c r="H849" s="11" t="str">
        <f aca="false">IFERROR(IF($D849="Manual Review","",IF($G849="","",IF($D849="Direct Expiry",$G849,EDATE($G849,$F849)))),"Check Date")</f>
        <v/>
      </c>
      <c r="I849" s="12" t="str">
        <f aca="true">IF($H849="","",IF(ISNUMBER($H849),$H849-TODAY(),""))</f>
        <v/>
      </c>
      <c r="J849" s="4" t="str">
        <f aca="true">IF($D849="Manual Review","Manual Review",IF($G849="","No Data",IF(NOT(ISNUMBER($H849)),"N/A",IF($H849&lt;TODAY(),"Overdue",IF($H849&lt;=TODAY()+30,"Due within 1 Month",IF($H849&lt;=TODAY()+60,"Due within 2 Months","OK"))))))</f>
        <v>No Data</v>
      </c>
      <c r="K849" s="13"/>
    </row>
    <row r="850" customFormat="false" ht="15" hidden="false" customHeight="false" outlineLevel="0" collapsed="false">
      <c r="A850" s="9" t="str">
        <f aca="false">Vessels!B12</f>
        <v>Vessel 08</v>
      </c>
      <c r="B850" s="9" t="s">
        <v>88</v>
      </c>
      <c r="C850" s="7" t="s">
        <v>100</v>
      </c>
      <c r="D850" s="9" t="s">
        <v>45</v>
      </c>
      <c r="E850" s="9" t="s">
        <v>99</v>
      </c>
      <c r="F850" s="5" t="n">
        <v>60</v>
      </c>
      <c r="G850" s="10"/>
      <c r="H850" s="11" t="str">
        <f aca="false">IFERROR(IF($D850="Manual Review","",IF($G850="","",IF($D850="Direct Expiry",$G850,EDATE($G850,$F850)))),"Check Date")</f>
        <v/>
      </c>
      <c r="I850" s="12" t="str">
        <f aca="true">IF($H850="","",IF(ISNUMBER($H850),$H850-TODAY(),""))</f>
        <v/>
      </c>
      <c r="J850" s="4" t="str">
        <f aca="true">IF($D850="Manual Review","Manual Review",IF($G850="","No Data",IF(NOT(ISNUMBER($H850)),"N/A",IF($H850&lt;TODAY(),"Overdue",IF($H850&lt;=TODAY()+30,"Due within 1 Month",IF($H850&lt;=TODAY()+60,"Due within 2 Months","OK"))))))</f>
        <v>No Data</v>
      </c>
      <c r="K850" s="13"/>
    </row>
    <row r="851" customFormat="false" ht="15" hidden="false" customHeight="false" outlineLevel="0" collapsed="false">
      <c r="A851" s="9" t="str">
        <f aca="false">Vessels!B12</f>
        <v>Vessel 08</v>
      </c>
      <c r="B851" s="9" t="s">
        <v>88</v>
      </c>
      <c r="C851" s="7" t="s">
        <v>101</v>
      </c>
      <c r="D851" s="9" t="s">
        <v>45</v>
      </c>
      <c r="E851" s="9" t="s">
        <v>44</v>
      </c>
      <c r="F851" s="5" t="n">
        <v>12</v>
      </c>
      <c r="G851" s="10"/>
      <c r="H851" s="11" t="str">
        <f aca="false">IFERROR(IF($D851="Manual Review","",IF($G851="","",IF($D851="Direct Expiry",$G851,EDATE($G851,$F851)))),"Check Date")</f>
        <v/>
      </c>
      <c r="I851" s="12" t="str">
        <f aca="true">IF($H851="","",IF(ISNUMBER($H851),$H851-TODAY(),""))</f>
        <v/>
      </c>
      <c r="J851" s="4" t="str">
        <f aca="true">IF($D851="Manual Review","Manual Review",IF($G851="","No Data",IF(NOT(ISNUMBER($H851)),"N/A",IF($H851&lt;TODAY(),"Overdue",IF($H851&lt;=TODAY()+30,"Due within 1 Month",IF($H851&lt;=TODAY()+60,"Due within 2 Months","OK"))))))</f>
        <v>No Data</v>
      </c>
      <c r="K851" s="13"/>
    </row>
    <row r="852" customFormat="false" ht="23.85" hidden="false" customHeight="false" outlineLevel="0" collapsed="false">
      <c r="A852" s="9" t="str">
        <f aca="false">Vessels!B12</f>
        <v>Vessel 08</v>
      </c>
      <c r="B852" s="9" t="s">
        <v>88</v>
      </c>
      <c r="C852" s="7" t="s">
        <v>102</v>
      </c>
      <c r="D852" s="9" t="s">
        <v>45</v>
      </c>
      <c r="E852" s="9" t="s">
        <v>44</v>
      </c>
      <c r="F852" s="5" t="n">
        <v>12</v>
      </c>
      <c r="G852" s="10"/>
      <c r="H852" s="11" t="str">
        <f aca="false">IFERROR(IF($D852="Manual Review","",IF($G852="","",IF($D852="Direct Expiry",$G852,EDATE($G852,$F852)))),"Check Date")</f>
        <v/>
      </c>
      <c r="I852" s="12" t="str">
        <f aca="true">IF($H852="","",IF(ISNUMBER($H852),$H852-TODAY(),""))</f>
        <v/>
      </c>
      <c r="J852" s="4" t="str">
        <f aca="true">IF($D852="Manual Review","Manual Review",IF($G852="","No Data",IF(NOT(ISNUMBER($H852)),"N/A",IF($H852&lt;TODAY(),"Overdue",IF($H852&lt;=TODAY()+30,"Due within 1 Month",IF($H852&lt;=TODAY()+60,"Due within 2 Months","OK"))))))</f>
        <v>No Data</v>
      </c>
      <c r="K852" s="13"/>
    </row>
    <row r="853" customFormat="false" ht="23.85" hidden="false" customHeight="false" outlineLevel="0" collapsed="false">
      <c r="A853" s="9" t="str">
        <f aca="false">Vessels!B12</f>
        <v>Vessel 08</v>
      </c>
      <c r="B853" s="9" t="s">
        <v>88</v>
      </c>
      <c r="C853" s="7" t="s">
        <v>102</v>
      </c>
      <c r="D853" s="9" t="s">
        <v>45</v>
      </c>
      <c r="E853" s="9" t="s">
        <v>97</v>
      </c>
      <c r="F853" s="5" t="n">
        <v>120</v>
      </c>
      <c r="G853" s="10"/>
      <c r="H853" s="11" t="str">
        <f aca="false">IFERROR(IF($D853="Manual Review","",IF($G853="","",IF($D853="Direct Expiry",$G853,EDATE($G853,$F853)))),"Check Date")</f>
        <v/>
      </c>
      <c r="I853" s="12" t="str">
        <f aca="true">IF($H853="","",IF(ISNUMBER($H853),$H853-TODAY(),""))</f>
        <v/>
      </c>
      <c r="J853" s="4" t="str">
        <f aca="true">IF($D853="Manual Review","Manual Review",IF($G853="","No Data",IF(NOT(ISNUMBER($H853)),"N/A",IF($H853&lt;TODAY(),"Overdue",IF($H853&lt;=TODAY()+30,"Due within 1 Month",IF($H853&lt;=TODAY()+60,"Due within 2 Months","OK"))))))</f>
        <v>No Data</v>
      </c>
      <c r="K853" s="13"/>
    </row>
    <row r="854" customFormat="false" ht="15" hidden="false" customHeight="false" outlineLevel="0" collapsed="false">
      <c r="A854" s="9" t="str">
        <f aca="false">Vessels!B12</f>
        <v>Vessel 08</v>
      </c>
      <c r="B854" s="9" t="s">
        <v>88</v>
      </c>
      <c r="C854" s="7" t="s">
        <v>103</v>
      </c>
      <c r="D854" s="9" t="s">
        <v>45</v>
      </c>
      <c r="E854" s="9" t="s">
        <v>44</v>
      </c>
      <c r="F854" s="5" t="n">
        <v>12</v>
      </c>
      <c r="G854" s="10"/>
      <c r="H854" s="11" t="str">
        <f aca="false">IFERROR(IF($D854="Manual Review","",IF($G854="","",IF($D854="Direct Expiry",$G854,EDATE($G854,$F854)))),"Check Date")</f>
        <v/>
      </c>
      <c r="I854" s="12" t="str">
        <f aca="true">IF($H854="","",IF(ISNUMBER($H854),$H854-TODAY(),""))</f>
        <v/>
      </c>
      <c r="J854" s="4" t="str">
        <f aca="true">IF($D854="Manual Review","Manual Review",IF($G854="","No Data",IF(NOT(ISNUMBER($H854)),"N/A",IF($H854&lt;TODAY(),"Overdue",IF($H854&lt;=TODAY()+30,"Due within 1 Month",IF($H854&lt;=TODAY()+60,"Due within 2 Months","OK"))))))</f>
        <v>No Data</v>
      </c>
      <c r="K854" s="13"/>
    </row>
    <row r="855" customFormat="false" ht="15" hidden="false" customHeight="false" outlineLevel="0" collapsed="false">
      <c r="A855" s="9" t="str">
        <f aca="false">Vessels!B12</f>
        <v>Vessel 08</v>
      </c>
      <c r="B855" s="9" t="s">
        <v>88</v>
      </c>
      <c r="C855" s="7" t="s">
        <v>103</v>
      </c>
      <c r="D855" s="9" t="s">
        <v>45</v>
      </c>
      <c r="E855" s="9" t="s">
        <v>97</v>
      </c>
      <c r="F855" s="5" t="n">
        <v>120</v>
      </c>
      <c r="G855" s="10"/>
      <c r="H855" s="11" t="str">
        <f aca="false">IFERROR(IF($D855="Manual Review","",IF($G855="","",IF($D855="Direct Expiry",$G855,EDATE($G855,$F855)))),"Check Date")</f>
        <v/>
      </c>
      <c r="I855" s="12" t="str">
        <f aca="true">IF($H855="","",IF(ISNUMBER($H855),$H855-TODAY(),""))</f>
        <v/>
      </c>
      <c r="J855" s="4" t="str">
        <f aca="true">IF($D855="Manual Review","Manual Review",IF($G855="","No Data",IF(NOT(ISNUMBER($H855)),"N/A",IF($H855&lt;TODAY(),"Overdue",IF($H855&lt;=TODAY()+30,"Due within 1 Month",IF($H855&lt;=TODAY()+60,"Due within 2 Months","OK"))))))</f>
        <v>No Data</v>
      </c>
      <c r="K855" s="13"/>
    </row>
    <row r="856" customFormat="false" ht="15" hidden="false" customHeight="false" outlineLevel="0" collapsed="false">
      <c r="A856" s="9" t="str">
        <f aca="false">Vessels!B12</f>
        <v>Vessel 08</v>
      </c>
      <c r="B856" s="9" t="s">
        <v>88</v>
      </c>
      <c r="C856" s="7" t="s">
        <v>104</v>
      </c>
      <c r="D856" s="9" t="s">
        <v>45</v>
      </c>
      <c r="E856" s="9" t="s">
        <v>44</v>
      </c>
      <c r="F856" s="5" t="n">
        <v>12</v>
      </c>
      <c r="G856" s="10"/>
      <c r="H856" s="11" t="str">
        <f aca="false">IFERROR(IF($D856="Manual Review","",IF($G856="","",IF($D856="Direct Expiry",$G856,EDATE($G856,$F856)))),"Check Date")</f>
        <v/>
      </c>
      <c r="I856" s="12" t="str">
        <f aca="true">IF($H856="","",IF(ISNUMBER($H856),$H856-TODAY(),""))</f>
        <v/>
      </c>
      <c r="J856" s="4" t="str">
        <f aca="true">IF($D856="Manual Review","Manual Review",IF($G856="","No Data",IF(NOT(ISNUMBER($H856)),"N/A",IF($H856&lt;TODAY(),"Overdue",IF($H856&lt;=TODAY()+30,"Due within 1 Month",IF($H856&lt;=TODAY()+60,"Due within 2 Months","OK"))))))</f>
        <v>No Data</v>
      </c>
      <c r="K856" s="13"/>
    </row>
    <row r="857" customFormat="false" ht="15" hidden="false" customHeight="false" outlineLevel="0" collapsed="false">
      <c r="A857" s="9" t="str">
        <f aca="false">Vessels!B12</f>
        <v>Vessel 08</v>
      </c>
      <c r="B857" s="9" t="s">
        <v>88</v>
      </c>
      <c r="C857" s="7" t="s">
        <v>105</v>
      </c>
      <c r="D857" s="9" t="s">
        <v>45</v>
      </c>
      <c r="E857" s="9" t="s">
        <v>44</v>
      </c>
      <c r="F857" s="5" t="n">
        <v>12</v>
      </c>
      <c r="G857" s="10"/>
      <c r="H857" s="11" t="str">
        <f aca="false">IFERROR(IF($D857="Manual Review","",IF($G857="","",IF($D857="Direct Expiry",$G857,EDATE($G857,$F857)))),"Check Date")</f>
        <v/>
      </c>
      <c r="I857" s="12" t="str">
        <f aca="true">IF($H857="","",IF(ISNUMBER($H857),$H857-TODAY(),""))</f>
        <v/>
      </c>
      <c r="J857" s="4" t="str">
        <f aca="true">IF($D857="Manual Review","Manual Review",IF($G857="","No Data",IF(NOT(ISNUMBER($H857)),"N/A",IF($H857&lt;TODAY(),"Overdue",IF($H857&lt;=TODAY()+30,"Due within 1 Month",IF($H857&lt;=TODAY()+60,"Due within 2 Months","OK"))))))</f>
        <v>No Data</v>
      </c>
      <c r="K857" s="13"/>
    </row>
    <row r="858" customFormat="false" ht="15" hidden="false" customHeight="false" outlineLevel="0" collapsed="false">
      <c r="A858" s="9" t="str">
        <f aca="false">Vessels!B12</f>
        <v>Vessel 08</v>
      </c>
      <c r="B858" s="9" t="s">
        <v>88</v>
      </c>
      <c r="C858" s="7" t="s">
        <v>106</v>
      </c>
      <c r="D858" s="9" t="s">
        <v>45</v>
      </c>
      <c r="E858" s="9" t="s">
        <v>44</v>
      </c>
      <c r="F858" s="5" t="n">
        <v>12</v>
      </c>
      <c r="G858" s="10"/>
      <c r="H858" s="11" t="str">
        <f aca="false">IFERROR(IF($D858="Manual Review","",IF($G858="","",IF($D858="Direct Expiry",$G858,EDATE($G858,$F858)))),"Check Date")</f>
        <v/>
      </c>
      <c r="I858" s="12" t="str">
        <f aca="true">IF($H858="","",IF(ISNUMBER($H858),$H858-TODAY(),""))</f>
        <v/>
      </c>
      <c r="J858" s="4" t="str">
        <f aca="true">IF($D858="Manual Review","Manual Review",IF($G858="","No Data",IF(NOT(ISNUMBER($H858)),"N/A",IF($H858&lt;TODAY(),"Overdue",IF($H858&lt;=TODAY()+30,"Due within 1 Month",IF($H858&lt;=TODAY()+60,"Due within 2 Months","OK"))))))</f>
        <v>No Data</v>
      </c>
      <c r="K858" s="13"/>
    </row>
    <row r="859" customFormat="false" ht="15" hidden="false" customHeight="false" outlineLevel="0" collapsed="false">
      <c r="A859" s="9" t="str">
        <f aca="false">Vessels!B12</f>
        <v>Vessel 08</v>
      </c>
      <c r="B859" s="9" t="s">
        <v>88</v>
      </c>
      <c r="C859" s="7" t="s">
        <v>107</v>
      </c>
      <c r="D859" s="9" t="s">
        <v>45</v>
      </c>
      <c r="E859" s="9" t="s">
        <v>44</v>
      </c>
      <c r="F859" s="5" t="n">
        <v>12</v>
      </c>
      <c r="G859" s="10"/>
      <c r="H859" s="11" t="str">
        <f aca="false">IFERROR(IF($D859="Manual Review","",IF($G859="","",IF($D859="Direct Expiry",$G859,EDATE($G859,$F859)))),"Check Date")</f>
        <v/>
      </c>
      <c r="I859" s="12" t="str">
        <f aca="true">IF($H859="","",IF(ISNUMBER($H859),$H859-TODAY(),""))</f>
        <v/>
      </c>
      <c r="J859" s="4" t="str">
        <f aca="true">IF($D859="Manual Review","Manual Review",IF($G859="","No Data",IF(NOT(ISNUMBER($H859)),"N/A",IF($H859&lt;TODAY(),"Overdue",IF($H859&lt;=TODAY()+30,"Due within 1 Month",IF($H859&lt;=TODAY()+60,"Due within 2 Months","OK"))))))</f>
        <v>No Data</v>
      </c>
      <c r="K859" s="13"/>
    </row>
    <row r="860" customFormat="false" ht="15" hidden="false" customHeight="false" outlineLevel="0" collapsed="false">
      <c r="A860" s="9" t="str">
        <f aca="false">Vessels!B12</f>
        <v>Vessel 08</v>
      </c>
      <c r="B860" s="9" t="s">
        <v>88</v>
      </c>
      <c r="C860" s="7" t="s">
        <v>108</v>
      </c>
      <c r="D860" s="9" t="s">
        <v>45</v>
      </c>
      <c r="E860" s="9" t="s">
        <v>109</v>
      </c>
      <c r="F860" s="5" t="n">
        <v>12</v>
      </c>
      <c r="G860" s="10"/>
      <c r="H860" s="11" t="str">
        <f aca="false">IFERROR(IF($D860="Manual Review","",IF($G860="","",IF($D860="Direct Expiry",$G860,EDATE($G860,$F860)))),"Check Date")</f>
        <v/>
      </c>
      <c r="I860" s="12" t="str">
        <f aca="true">IF($H860="","",IF(ISNUMBER($H860),$H860-TODAY(),""))</f>
        <v/>
      </c>
      <c r="J860" s="4" t="str">
        <f aca="true">IF($D860="Manual Review","Manual Review",IF($G860="","No Data",IF(NOT(ISNUMBER($H860)),"N/A",IF($H860&lt;TODAY(),"Overdue",IF($H860&lt;=TODAY()+30,"Due within 1 Month",IF($H860&lt;=TODAY()+60,"Due within 2 Months","OK"))))))</f>
        <v>No Data</v>
      </c>
      <c r="K860" s="13"/>
    </row>
    <row r="861" customFormat="false" ht="15" hidden="false" customHeight="false" outlineLevel="0" collapsed="false">
      <c r="A861" s="9" t="str">
        <f aca="false">Vessels!B12</f>
        <v>Vessel 08</v>
      </c>
      <c r="B861" s="9" t="s">
        <v>88</v>
      </c>
      <c r="C861" s="7" t="s">
        <v>108</v>
      </c>
      <c r="D861" s="9" t="s">
        <v>45</v>
      </c>
      <c r="E861" s="9" t="s">
        <v>110</v>
      </c>
      <c r="F861" s="5" t="n">
        <v>60</v>
      </c>
      <c r="G861" s="10"/>
      <c r="H861" s="11" t="str">
        <f aca="false">IFERROR(IF($D861="Manual Review","",IF($G861="","",IF($D861="Direct Expiry",$G861,EDATE($G861,$F861)))),"Check Date")</f>
        <v/>
      </c>
      <c r="I861" s="12" t="str">
        <f aca="true">IF($H861="","",IF(ISNUMBER($H861),$H861-TODAY(),""))</f>
        <v/>
      </c>
      <c r="J861" s="4" t="str">
        <f aca="true">IF($D861="Manual Review","Manual Review",IF($G861="","No Data",IF(NOT(ISNUMBER($H861)),"N/A",IF($H861&lt;TODAY(),"Overdue",IF($H861&lt;=TODAY()+30,"Due within 1 Month",IF($H861&lt;=TODAY()+60,"Due within 2 Months","OK"))))))</f>
        <v>No Data</v>
      </c>
      <c r="K861" s="13"/>
    </row>
    <row r="862" customFormat="false" ht="15" hidden="false" customHeight="false" outlineLevel="0" collapsed="false">
      <c r="A862" s="9" t="str">
        <f aca="false">Vessels!B12</f>
        <v>Vessel 08</v>
      </c>
      <c r="B862" s="9" t="s">
        <v>88</v>
      </c>
      <c r="C862" s="7" t="s">
        <v>111</v>
      </c>
      <c r="D862" s="9" t="s">
        <v>45</v>
      </c>
      <c r="E862" s="9" t="s">
        <v>44</v>
      </c>
      <c r="F862" s="5" t="n">
        <v>12</v>
      </c>
      <c r="G862" s="10"/>
      <c r="H862" s="11" t="str">
        <f aca="false">IFERROR(IF($D862="Manual Review","",IF($G862="","",IF($D862="Direct Expiry",$G862,EDATE($G862,$F862)))),"Check Date")</f>
        <v/>
      </c>
      <c r="I862" s="12" t="str">
        <f aca="true">IF($H862="","",IF(ISNUMBER($H862),$H862-TODAY(),""))</f>
        <v/>
      </c>
      <c r="J862" s="4" t="str">
        <f aca="true">IF($D862="Manual Review","Manual Review",IF($G862="","No Data",IF(NOT(ISNUMBER($H862)),"N/A",IF($H862&lt;TODAY(),"Overdue",IF($H862&lt;=TODAY()+30,"Due within 1 Month",IF($H862&lt;=TODAY()+60,"Due within 2 Months","OK"))))))</f>
        <v>No Data</v>
      </c>
      <c r="K862" s="13"/>
    </row>
    <row r="863" customFormat="false" ht="15" hidden="false" customHeight="false" outlineLevel="0" collapsed="false">
      <c r="A863" s="9" t="str">
        <f aca="false">Vessels!B12</f>
        <v>Vessel 08</v>
      </c>
      <c r="B863" s="9" t="s">
        <v>88</v>
      </c>
      <c r="C863" s="7" t="s">
        <v>112</v>
      </c>
      <c r="D863" s="9" t="s">
        <v>45</v>
      </c>
      <c r="E863" s="9" t="s">
        <v>44</v>
      </c>
      <c r="F863" s="5" t="n">
        <v>12</v>
      </c>
      <c r="G863" s="10"/>
      <c r="H863" s="11" t="str">
        <f aca="false">IFERROR(IF($D863="Manual Review","",IF($G863="","",IF($D863="Direct Expiry",$G863,EDATE($G863,$F863)))),"Check Date")</f>
        <v/>
      </c>
      <c r="I863" s="12" t="str">
        <f aca="true">IF($H863="","",IF(ISNUMBER($H863),$H863-TODAY(),""))</f>
        <v/>
      </c>
      <c r="J863" s="4" t="str">
        <f aca="true">IF($D863="Manual Review","Manual Review",IF($G863="","No Data",IF(NOT(ISNUMBER($H863)),"N/A",IF($H863&lt;TODAY(),"Overdue",IF($H863&lt;=TODAY()+30,"Due within 1 Month",IF($H863&lt;=TODAY()+60,"Due within 2 Months","OK"))))))</f>
        <v>No Data</v>
      </c>
      <c r="K863" s="13"/>
    </row>
    <row r="864" customFormat="false" ht="15" hidden="false" customHeight="false" outlineLevel="0" collapsed="false">
      <c r="A864" s="9" t="str">
        <f aca="false">Vessels!B12</f>
        <v>Vessel 08</v>
      </c>
      <c r="B864" s="9" t="s">
        <v>88</v>
      </c>
      <c r="C864" s="7" t="s">
        <v>113</v>
      </c>
      <c r="D864" s="9" t="s">
        <v>115</v>
      </c>
      <c r="E864" s="9" t="s">
        <v>114</v>
      </c>
      <c r="F864" s="5"/>
      <c r="G864" s="10"/>
      <c r="H864" s="11" t="str">
        <f aca="false">IFERROR(IF($D864="Manual Review","",IF($G864="","",IF($D864="Direct Expiry",$G864,EDATE($G864,$F864)))),"Check Date")</f>
        <v/>
      </c>
      <c r="I864" s="12" t="str">
        <f aca="true">IF($H864="","",IF(ISNUMBER($H864),$H864-TODAY(),""))</f>
        <v/>
      </c>
      <c r="J864" s="4" t="str">
        <f aca="true">IF($D864="Manual Review","Manual Review",IF($G864="","No Data",IF(NOT(ISNUMBER($H864)),"N/A",IF($H864&lt;TODAY(),"Overdue",IF($H864&lt;=TODAY()+30,"Due within 1 Month",IF($H864&lt;=TODAY()+60,"Due within 2 Months","OK"))))))</f>
        <v>Manual Review</v>
      </c>
      <c r="K864" s="13"/>
    </row>
    <row r="865" customFormat="false" ht="15" hidden="false" customHeight="false" outlineLevel="0" collapsed="false">
      <c r="A865" s="9" t="str">
        <f aca="false">Vessels!B12</f>
        <v>Vessel 08</v>
      </c>
      <c r="B865" s="9" t="s">
        <v>88</v>
      </c>
      <c r="C865" s="7" t="s">
        <v>116</v>
      </c>
      <c r="D865" s="9" t="s">
        <v>115</v>
      </c>
      <c r="E865" s="9" t="s">
        <v>114</v>
      </c>
      <c r="F865" s="5"/>
      <c r="G865" s="10"/>
      <c r="H865" s="11" t="str">
        <f aca="false">IFERROR(IF($D865="Manual Review","",IF($G865="","",IF($D865="Direct Expiry",$G865,EDATE($G865,$F865)))),"Check Date")</f>
        <v/>
      </c>
      <c r="I865" s="12" t="str">
        <f aca="true">IF($H865="","",IF(ISNUMBER($H865),$H865-TODAY(),""))</f>
        <v/>
      </c>
      <c r="J865" s="4" t="str">
        <f aca="true">IF($D865="Manual Review","Manual Review",IF($G865="","No Data",IF(NOT(ISNUMBER($H865)),"N/A",IF($H865&lt;TODAY(),"Overdue",IF($H865&lt;=TODAY()+30,"Due within 1 Month",IF($H865&lt;=TODAY()+60,"Due within 2 Months","OK"))))))</f>
        <v>Manual Review</v>
      </c>
      <c r="K865" s="13"/>
    </row>
    <row r="866" customFormat="false" ht="15" hidden="false" customHeight="false" outlineLevel="0" collapsed="false">
      <c r="A866" s="9" t="str">
        <f aca="false">Vessels!B12</f>
        <v>Vessel 08</v>
      </c>
      <c r="B866" s="9" t="s">
        <v>117</v>
      </c>
      <c r="C866" s="7" t="s">
        <v>118</v>
      </c>
      <c r="D866" s="9" t="s">
        <v>59</v>
      </c>
      <c r="E866" s="9" t="s">
        <v>119</v>
      </c>
      <c r="F866" s="5"/>
      <c r="G866" s="10"/>
      <c r="H866" s="11" t="str">
        <f aca="false">IFERROR(IF($D866="Manual Review","",IF($G866="","",IF($D866="Direct Expiry",$G866,EDATE($G866,$F866)))),"Check Date")</f>
        <v/>
      </c>
      <c r="I866" s="12" t="str">
        <f aca="true">IF($H866="","",IF(ISNUMBER($H866),$H866-TODAY(),""))</f>
        <v/>
      </c>
      <c r="J866" s="4" t="str">
        <f aca="true">IF($D866="Manual Review","Manual Review",IF($G866="","No Data",IF(NOT(ISNUMBER($H866)),"N/A",IF($H866&lt;TODAY(),"Overdue",IF($H866&lt;=TODAY()+30,"Due within 1 Month",IF($H866&lt;=TODAY()+60,"Due within 2 Months","OK"))))))</f>
        <v>No Data</v>
      </c>
      <c r="K866" s="13"/>
    </row>
    <row r="867" customFormat="false" ht="15" hidden="false" customHeight="false" outlineLevel="0" collapsed="false">
      <c r="A867" s="9" t="str">
        <f aca="false">Vessels!B12</f>
        <v>Vessel 08</v>
      </c>
      <c r="B867" s="9" t="s">
        <v>117</v>
      </c>
      <c r="C867" s="7" t="s">
        <v>120</v>
      </c>
      <c r="D867" s="9" t="s">
        <v>45</v>
      </c>
      <c r="E867" s="9" t="s">
        <v>44</v>
      </c>
      <c r="F867" s="5" t="n">
        <v>12</v>
      </c>
      <c r="G867" s="10"/>
      <c r="H867" s="11" t="str">
        <f aca="false">IFERROR(IF($D867="Manual Review","",IF($G867="","",IF($D867="Direct Expiry",$G867,EDATE($G867,$F867)))),"Check Date")</f>
        <v/>
      </c>
      <c r="I867" s="12" t="str">
        <f aca="true">IF($H867="","",IF(ISNUMBER($H867),$H867-TODAY(),""))</f>
        <v/>
      </c>
      <c r="J867" s="4" t="str">
        <f aca="true">IF($D867="Manual Review","Manual Review",IF($G867="","No Data",IF(NOT(ISNUMBER($H867)),"N/A",IF($H867&lt;TODAY(),"Overdue",IF($H867&lt;=TODAY()+30,"Due within 1 Month",IF($H867&lt;=TODAY()+60,"Due within 2 Months","OK"))))))</f>
        <v>No Data</v>
      </c>
      <c r="K867" s="13"/>
    </row>
    <row r="868" customFormat="false" ht="15" hidden="false" customHeight="false" outlineLevel="0" collapsed="false">
      <c r="A868" s="9" t="str">
        <f aca="false">Vessels!B12</f>
        <v>Vessel 08</v>
      </c>
      <c r="B868" s="9" t="s">
        <v>117</v>
      </c>
      <c r="C868" s="7" t="s">
        <v>121</v>
      </c>
      <c r="D868" s="9" t="s">
        <v>45</v>
      </c>
      <c r="E868" s="9" t="s">
        <v>44</v>
      </c>
      <c r="F868" s="5" t="n">
        <v>12</v>
      </c>
      <c r="G868" s="10"/>
      <c r="H868" s="11" t="str">
        <f aca="false">IFERROR(IF($D868="Manual Review","",IF($G868="","",IF($D868="Direct Expiry",$G868,EDATE($G868,$F868)))),"Check Date")</f>
        <v/>
      </c>
      <c r="I868" s="12" t="str">
        <f aca="true">IF($H868="","",IF(ISNUMBER($H868),$H868-TODAY(),""))</f>
        <v/>
      </c>
      <c r="J868" s="4" t="str">
        <f aca="true">IF($D868="Manual Review","Manual Review",IF($G868="","No Data",IF(NOT(ISNUMBER($H868)),"N/A",IF($H868&lt;TODAY(),"Overdue",IF($H868&lt;=TODAY()+30,"Due within 1 Month",IF($H868&lt;=TODAY()+60,"Due within 2 Months","OK"))))))</f>
        <v>No Data</v>
      </c>
      <c r="K868" s="13"/>
    </row>
    <row r="869" customFormat="false" ht="15" hidden="false" customHeight="false" outlineLevel="0" collapsed="false">
      <c r="A869" s="9" t="str">
        <f aca="false">Vessels!B12</f>
        <v>Vessel 08</v>
      </c>
      <c r="B869" s="9" t="s">
        <v>117</v>
      </c>
      <c r="C869" s="7" t="s">
        <v>122</v>
      </c>
      <c r="D869" s="9" t="s">
        <v>45</v>
      </c>
      <c r="E869" s="9" t="s">
        <v>123</v>
      </c>
      <c r="F869" s="5" t="n">
        <v>24</v>
      </c>
      <c r="G869" s="10"/>
      <c r="H869" s="11" t="str">
        <f aca="false">IFERROR(IF($D869="Manual Review","",IF($G869="","",IF($D869="Direct Expiry",$G869,EDATE($G869,$F869)))),"Check Date")</f>
        <v/>
      </c>
      <c r="I869" s="12" t="str">
        <f aca="true">IF($H869="","",IF(ISNUMBER($H869),$H869-TODAY(),""))</f>
        <v/>
      </c>
      <c r="J869" s="4" t="str">
        <f aca="true">IF($D869="Manual Review","Manual Review",IF($G869="","No Data",IF(NOT(ISNUMBER($H869)),"N/A",IF($H869&lt;TODAY(),"Overdue",IF($H869&lt;=TODAY()+30,"Due within 1 Month",IF($H869&lt;=TODAY()+60,"Due within 2 Months","OK"))))))</f>
        <v>No Data</v>
      </c>
      <c r="K869" s="13"/>
    </row>
    <row r="870" customFormat="false" ht="15" hidden="false" customHeight="false" outlineLevel="0" collapsed="false">
      <c r="A870" s="9" t="str">
        <f aca="false">Vessels!B12</f>
        <v>Vessel 08</v>
      </c>
      <c r="B870" s="9" t="s">
        <v>117</v>
      </c>
      <c r="C870" s="7" t="s">
        <v>124</v>
      </c>
      <c r="D870" s="9" t="s">
        <v>59</v>
      </c>
      <c r="E870" s="9" t="s">
        <v>58</v>
      </c>
      <c r="F870" s="5"/>
      <c r="G870" s="10"/>
      <c r="H870" s="11" t="str">
        <f aca="false">IFERROR(IF($D870="Manual Review","",IF($G870="","",IF($D870="Direct Expiry",$G870,EDATE($G870,$F870)))),"Check Date")</f>
        <v/>
      </c>
      <c r="I870" s="12" t="str">
        <f aca="true">IF($H870="","",IF(ISNUMBER($H870),$H870-TODAY(),""))</f>
        <v/>
      </c>
      <c r="J870" s="4" t="str">
        <f aca="true">IF($D870="Manual Review","Manual Review",IF($G870="","No Data",IF(NOT(ISNUMBER($H870)),"N/A",IF($H870&lt;TODAY(),"Overdue",IF($H870&lt;=TODAY()+30,"Due within 1 Month",IF($H870&lt;=TODAY()+60,"Due within 2 Months","OK"))))))</f>
        <v>No Data</v>
      </c>
      <c r="K870" s="13"/>
    </row>
    <row r="871" customFormat="false" ht="15" hidden="false" customHeight="false" outlineLevel="0" collapsed="false">
      <c r="A871" s="9" t="str">
        <f aca="false">Vessels!B12</f>
        <v>Vessel 08</v>
      </c>
      <c r="B871" s="9" t="s">
        <v>117</v>
      </c>
      <c r="C871" s="7" t="s">
        <v>125</v>
      </c>
      <c r="D871" s="9" t="s">
        <v>59</v>
      </c>
      <c r="E871" s="9" t="s">
        <v>58</v>
      </c>
      <c r="F871" s="5"/>
      <c r="G871" s="10"/>
      <c r="H871" s="11" t="str">
        <f aca="false">IFERROR(IF($D871="Manual Review","",IF($G871="","",IF($D871="Direct Expiry",$G871,EDATE($G871,$F871)))),"Check Date")</f>
        <v/>
      </c>
      <c r="I871" s="12" t="str">
        <f aca="true">IF($H871="","",IF(ISNUMBER($H871),$H871-TODAY(),""))</f>
        <v/>
      </c>
      <c r="J871" s="4" t="str">
        <f aca="true">IF($D871="Manual Review","Manual Review",IF($G871="","No Data",IF(NOT(ISNUMBER($H871)),"N/A",IF($H871&lt;TODAY(),"Overdue",IF($H871&lt;=TODAY()+30,"Due within 1 Month",IF($H871&lt;=TODAY()+60,"Due within 2 Months","OK"))))))</f>
        <v>No Data</v>
      </c>
      <c r="K871" s="13"/>
    </row>
    <row r="872" customFormat="false" ht="15" hidden="false" customHeight="false" outlineLevel="0" collapsed="false">
      <c r="A872" s="9" t="str">
        <f aca="false">Vessels!B12</f>
        <v>Vessel 08</v>
      </c>
      <c r="B872" s="9" t="s">
        <v>117</v>
      </c>
      <c r="C872" s="7" t="s">
        <v>126</v>
      </c>
      <c r="D872" s="9" t="s">
        <v>45</v>
      </c>
      <c r="E872" s="9" t="s">
        <v>44</v>
      </c>
      <c r="F872" s="5" t="n">
        <v>12</v>
      </c>
      <c r="G872" s="10"/>
      <c r="H872" s="11" t="str">
        <f aca="false">IFERROR(IF($D872="Manual Review","",IF($G872="","",IF($D872="Direct Expiry",$G872,EDATE($G872,$F872)))),"Check Date")</f>
        <v/>
      </c>
      <c r="I872" s="12" t="str">
        <f aca="true">IF($H872="","",IF(ISNUMBER($H872),$H872-TODAY(),""))</f>
        <v/>
      </c>
      <c r="J872" s="4" t="str">
        <f aca="true">IF($D872="Manual Review","Manual Review",IF($G872="","No Data",IF(NOT(ISNUMBER($H872)),"N/A",IF($H872&lt;TODAY(),"Overdue",IF($H872&lt;=TODAY()+30,"Due within 1 Month",IF($H872&lt;=TODAY()+60,"Due within 2 Months","OK"))))))</f>
        <v>No Data</v>
      </c>
      <c r="K872" s="13"/>
    </row>
    <row r="873" customFormat="false" ht="15" hidden="false" customHeight="false" outlineLevel="0" collapsed="false">
      <c r="A873" s="9" t="str">
        <f aca="false">Vessels!B12</f>
        <v>Vessel 08</v>
      </c>
      <c r="B873" s="9" t="s">
        <v>117</v>
      </c>
      <c r="C873" s="7" t="s">
        <v>127</v>
      </c>
      <c r="D873" s="9" t="s">
        <v>59</v>
      </c>
      <c r="E873" s="9" t="s">
        <v>58</v>
      </c>
      <c r="F873" s="5"/>
      <c r="G873" s="10"/>
      <c r="H873" s="11" t="str">
        <f aca="false">IFERROR(IF($D873="Manual Review","",IF($G873="","",IF($D873="Direct Expiry",$G873,EDATE($G873,$F873)))),"Check Date")</f>
        <v/>
      </c>
      <c r="I873" s="12" t="str">
        <f aca="true">IF($H873="","",IF(ISNUMBER($H873),$H873-TODAY(),""))</f>
        <v/>
      </c>
      <c r="J873" s="4" t="str">
        <f aca="true">IF($D873="Manual Review","Manual Review",IF($G873="","No Data",IF(NOT(ISNUMBER($H873)),"N/A",IF($H873&lt;TODAY(),"Overdue",IF($H873&lt;=TODAY()+30,"Due within 1 Month",IF($H873&lt;=TODAY()+60,"Due within 2 Months","OK"))))))</f>
        <v>No Data</v>
      </c>
      <c r="K873" s="13"/>
    </row>
    <row r="874" customFormat="false" ht="15" hidden="false" customHeight="false" outlineLevel="0" collapsed="false">
      <c r="A874" s="9" t="str">
        <f aca="false">Vessels!B12</f>
        <v>Vessel 08</v>
      </c>
      <c r="B874" s="9" t="s">
        <v>117</v>
      </c>
      <c r="C874" s="7" t="s">
        <v>128</v>
      </c>
      <c r="D874" s="9" t="s">
        <v>59</v>
      </c>
      <c r="E874" s="9" t="s">
        <v>58</v>
      </c>
      <c r="F874" s="5"/>
      <c r="G874" s="10"/>
      <c r="H874" s="11" t="str">
        <f aca="false">IFERROR(IF($D874="Manual Review","",IF($G874="","",IF($D874="Direct Expiry",$G874,EDATE($G874,$F874)))),"Check Date")</f>
        <v/>
      </c>
      <c r="I874" s="12" t="str">
        <f aca="true">IF($H874="","",IF(ISNUMBER($H874),$H874-TODAY(),""))</f>
        <v/>
      </c>
      <c r="J874" s="4" t="str">
        <f aca="true">IF($D874="Manual Review","Manual Review",IF($G874="","No Data",IF(NOT(ISNUMBER($H874)),"N/A",IF($H874&lt;TODAY(),"Overdue",IF($H874&lt;=TODAY()+30,"Due within 1 Month",IF($H874&lt;=TODAY()+60,"Due within 2 Months","OK"))))))</f>
        <v>No Data</v>
      </c>
      <c r="K874" s="13"/>
    </row>
    <row r="875" customFormat="false" ht="15" hidden="false" customHeight="false" outlineLevel="0" collapsed="false">
      <c r="A875" s="9" t="str">
        <f aca="false">Vessels!B12</f>
        <v>Vessel 08</v>
      </c>
      <c r="B875" s="9" t="s">
        <v>117</v>
      </c>
      <c r="C875" s="7" t="s">
        <v>129</v>
      </c>
      <c r="D875" s="9" t="s">
        <v>59</v>
      </c>
      <c r="E875" s="9" t="s">
        <v>58</v>
      </c>
      <c r="F875" s="5"/>
      <c r="G875" s="10"/>
      <c r="H875" s="11" t="str">
        <f aca="false">IFERROR(IF($D875="Manual Review","",IF($G875="","",IF($D875="Direct Expiry",$G875,EDATE($G875,$F875)))),"Check Date")</f>
        <v/>
      </c>
      <c r="I875" s="12" t="str">
        <f aca="true">IF($H875="","",IF(ISNUMBER($H875),$H875-TODAY(),""))</f>
        <v/>
      </c>
      <c r="J875" s="4" t="str">
        <f aca="true">IF($D875="Manual Review","Manual Review",IF($G875="","No Data",IF(NOT(ISNUMBER($H875)),"N/A",IF($H875&lt;TODAY(),"Overdue",IF($H875&lt;=TODAY()+30,"Due within 1 Month",IF($H875&lt;=TODAY()+60,"Due within 2 Months","OK"))))))</f>
        <v>No Data</v>
      </c>
      <c r="K875" s="13"/>
    </row>
    <row r="876" customFormat="false" ht="15" hidden="false" customHeight="false" outlineLevel="0" collapsed="false">
      <c r="A876" s="9" t="str">
        <f aca="false">Vessels!B12</f>
        <v>Vessel 08</v>
      </c>
      <c r="B876" s="9" t="s">
        <v>117</v>
      </c>
      <c r="C876" s="7" t="s">
        <v>130</v>
      </c>
      <c r="D876" s="9" t="s">
        <v>45</v>
      </c>
      <c r="E876" s="9" t="s">
        <v>44</v>
      </c>
      <c r="F876" s="5" t="n">
        <v>12</v>
      </c>
      <c r="G876" s="10"/>
      <c r="H876" s="11" t="str">
        <f aca="false">IFERROR(IF($D876="Manual Review","",IF($G876="","",IF($D876="Direct Expiry",$G876,EDATE($G876,$F876)))),"Check Date")</f>
        <v/>
      </c>
      <c r="I876" s="12" t="str">
        <f aca="true">IF($H876="","",IF(ISNUMBER($H876),$H876-TODAY(),""))</f>
        <v/>
      </c>
      <c r="J876" s="4" t="str">
        <f aca="true">IF($D876="Manual Review","Manual Review",IF($G876="","No Data",IF(NOT(ISNUMBER($H876)),"N/A",IF($H876&lt;TODAY(),"Overdue",IF($H876&lt;=TODAY()+30,"Due within 1 Month",IF($H876&lt;=TODAY()+60,"Due within 2 Months","OK"))))))</f>
        <v>No Data</v>
      </c>
      <c r="K876" s="13"/>
    </row>
    <row r="877" customFormat="false" ht="15" hidden="false" customHeight="false" outlineLevel="0" collapsed="false">
      <c r="A877" s="9" t="str">
        <f aca="false">Vessels!B12</f>
        <v>Vessel 08</v>
      </c>
      <c r="B877" s="9" t="s">
        <v>117</v>
      </c>
      <c r="C877" s="7" t="s">
        <v>131</v>
      </c>
      <c r="D877" s="9" t="s">
        <v>45</v>
      </c>
      <c r="E877" s="9" t="s">
        <v>44</v>
      </c>
      <c r="F877" s="5" t="n">
        <v>12</v>
      </c>
      <c r="G877" s="10"/>
      <c r="H877" s="11" t="str">
        <f aca="false">IFERROR(IF($D877="Manual Review","",IF($G877="","",IF($D877="Direct Expiry",$G877,EDATE($G877,$F877)))),"Check Date")</f>
        <v/>
      </c>
      <c r="I877" s="12" t="str">
        <f aca="true">IF($H877="","",IF(ISNUMBER($H877),$H877-TODAY(),""))</f>
        <v/>
      </c>
      <c r="J877" s="4" t="str">
        <f aca="true">IF($D877="Manual Review","Manual Review",IF($G877="","No Data",IF(NOT(ISNUMBER($H877)),"N/A",IF($H877&lt;TODAY(),"Overdue",IF($H877&lt;=TODAY()+30,"Due within 1 Month",IF($H877&lt;=TODAY()+60,"Due within 2 Months","OK"))))))</f>
        <v>No Data</v>
      </c>
      <c r="K877" s="13"/>
    </row>
    <row r="878" customFormat="false" ht="15" hidden="false" customHeight="false" outlineLevel="0" collapsed="false">
      <c r="A878" s="9" t="str">
        <f aca="false">Vessels!B12</f>
        <v>Vessel 08</v>
      </c>
      <c r="B878" s="9" t="s">
        <v>117</v>
      </c>
      <c r="C878" s="7" t="s">
        <v>132</v>
      </c>
      <c r="D878" s="9" t="s">
        <v>45</v>
      </c>
      <c r="E878" s="9" t="s">
        <v>44</v>
      </c>
      <c r="F878" s="5" t="n">
        <v>12</v>
      </c>
      <c r="G878" s="10"/>
      <c r="H878" s="11" t="str">
        <f aca="false">IFERROR(IF($D878="Manual Review","",IF($G878="","",IF($D878="Direct Expiry",$G878,EDATE($G878,$F878)))),"Check Date")</f>
        <v/>
      </c>
      <c r="I878" s="12" t="str">
        <f aca="true">IF($H878="","",IF(ISNUMBER($H878),$H878-TODAY(),""))</f>
        <v/>
      </c>
      <c r="J878" s="4" t="str">
        <f aca="true">IF($D878="Manual Review","Manual Review",IF($G878="","No Data",IF(NOT(ISNUMBER($H878)),"N/A",IF($H878&lt;TODAY(),"Overdue",IF($H878&lt;=TODAY()+30,"Due within 1 Month",IF($H878&lt;=TODAY()+60,"Due within 2 Months","OK"))))))</f>
        <v>No Data</v>
      </c>
      <c r="K878" s="13"/>
    </row>
    <row r="879" customFormat="false" ht="15" hidden="false" customHeight="false" outlineLevel="0" collapsed="false">
      <c r="A879" s="9" t="str">
        <f aca="false">Vessels!B12</f>
        <v>Vessel 08</v>
      </c>
      <c r="B879" s="9" t="s">
        <v>117</v>
      </c>
      <c r="C879" s="7" t="s">
        <v>133</v>
      </c>
      <c r="D879" s="9" t="s">
        <v>45</v>
      </c>
      <c r="E879" s="9" t="s">
        <v>44</v>
      </c>
      <c r="F879" s="5" t="n">
        <v>12</v>
      </c>
      <c r="G879" s="10"/>
      <c r="H879" s="11" t="str">
        <f aca="false">IFERROR(IF($D879="Manual Review","",IF($G879="","",IF($D879="Direct Expiry",$G879,EDATE($G879,$F879)))),"Check Date")</f>
        <v/>
      </c>
      <c r="I879" s="12" t="str">
        <f aca="true">IF($H879="","",IF(ISNUMBER($H879),$H879-TODAY(),""))</f>
        <v/>
      </c>
      <c r="J879" s="4" t="str">
        <f aca="true">IF($D879="Manual Review","Manual Review",IF($G879="","No Data",IF(NOT(ISNUMBER($H879)),"N/A",IF($H879&lt;TODAY(),"Overdue",IF($H879&lt;=TODAY()+30,"Due within 1 Month",IF($H879&lt;=TODAY()+60,"Due within 2 Months","OK"))))))</f>
        <v>No Data</v>
      </c>
      <c r="K879" s="13"/>
    </row>
    <row r="880" customFormat="false" ht="15" hidden="false" customHeight="false" outlineLevel="0" collapsed="false">
      <c r="A880" s="9" t="str">
        <f aca="false">Vessels!B12</f>
        <v>Vessel 08</v>
      </c>
      <c r="B880" s="9" t="s">
        <v>117</v>
      </c>
      <c r="C880" s="7" t="s">
        <v>134</v>
      </c>
      <c r="D880" s="9" t="s">
        <v>45</v>
      </c>
      <c r="E880" s="9" t="s">
        <v>44</v>
      </c>
      <c r="F880" s="5" t="n">
        <v>12</v>
      </c>
      <c r="G880" s="10"/>
      <c r="H880" s="11" t="str">
        <f aca="false">IFERROR(IF($D880="Manual Review","",IF($G880="","",IF($D880="Direct Expiry",$G880,EDATE($G880,$F880)))),"Check Date")</f>
        <v/>
      </c>
      <c r="I880" s="12" t="str">
        <f aca="true">IF($H880="","",IF(ISNUMBER($H880),$H880-TODAY(),""))</f>
        <v/>
      </c>
      <c r="J880" s="4" t="str">
        <f aca="true">IF($D880="Manual Review","Manual Review",IF($G880="","No Data",IF(NOT(ISNUMBER($H880)),"N/A",IF($H880&lt;TODAY(),"Overdue",IF($H880&lt;=TODAY()+30,"Due within 1 Month",IF($H880&lt;=TODAY()+60,"Due within 2 Months","OK"))))))</f>
        <v>No Data</v>
      </c>
      <c r="K880" s="13"/>
    </row>
    <row r="881" customFormat="false" ht="15" hidden="false" customHeight="false" outlineLevel="0" collapsed="false">
      <c r="A881" s="9" t="str">
        <f aca="false">Vessels!B12</f>
        <v>Vessel 08</v>
      </c>
      <c r="B881" s="9" t="s">
        <v>117</v>
      </c>
      <c r="C881" s="7" t="s">
        <v>135</v>
      </c>
      <c r="D881" s="9" t="s">
        <v>45</v>
      </c>
      <c r="E881" s="9" t="s">
        <v>44</v>
      </c>
      <c r="F881" s="5" t="n">
        <v>12</v>
      </c>
      <c r="G881" s="10"/>
      <c r="H881" s="11" t="str">
        <f aca="false">IFERROR(IF($D881="Manual Review","",IF($G881="","",IF($D881="Direct Expiry",$G881,EDATE($G881,$F881)))),"Check Date")</f>
        <v/>
      </c>
      <c r="I881" s="12" t="str">
        <f aca="true">IF($H881="","",IF(ISNUMBER($H881),$H881-TODAY(),""))</f>
        <v/>
      </c>
      <c r="J881" s="4" t="str">
        <f aca="true">IF($D881="Manual Review","Manual Review",IF($G881="","No Data",IF(NOT(ISNUMBER($H881)),"N/A",IF($H881&lt;TODAY(),"Overdue",IF($H881&lt;=TODAY()+30,"Due within 1 Month",IF($H881&lt;=TODAY()+60,"Due within 2 Months","OK"))))))</f>
        <v>No Data</v>
      </c>
      <c r="K881" s="13"/>
    </row>
    <row r="882" customFormat="false" ht="15" hidden="false" customHeight="false" outlineLevel="0" collapsed="false">
      <c r="A882" s="9" t="str">
        <f aca="false">Vessels!B12</f>
        <v>Vessel 08</v>
      </c>
      <c r="B882" s="9" t="s">
        <v>136</v>
      </c>
      <c r="C882" s="7" t="s">
        <v>137</v>
      </c>
      <c r="D882" s="9" t="s">
        <v>45</v>
      </c>
      <c r="E882" s="9" t="s">
        <v>44</v>
      </c>
      <c r="F882" s="5" t="n">
        <v>12</v>
      </c>
      <c r="G882" s="10"/>
      <c r="H882" s="11" t="str">
        <f aca="false">IFERROR(IF($D882="Manual Review","",IF($G882="","",IF($D882="Direct Expiry",$G882,EDATE($G882,$F882)))),"Check Date")</f>
        <v/>
      </c>
      <c r="I882" s="12" t="str">
        <f aca="true">IF($H882="","",IF(ISNUMBER($H882),$H882-TODAY(),""))</f>
        <v/>
      </c>
      <c r="J882" s="4" t="str">
        <f aca="true">IF($D882="Manual Review","Manual Review",IF($G882="","No Data",IF(NOT(ISNUMBER($H882)),"N/A",IF($H882&lt;TODAY(),"Overdue",IF($H882&lt;=TODAY()+30,"Due within 1 Month",IF($H882&lt;=TODAY()+60,"Due within 2 Months","OK"))))))</f>
        <v>No Data</v>
      </c>
      <c r="K882" s="13"/>
    </row>
    <row r="883" customFormat="false" ht="15" hidden="false" customHeight="false" outlineLevel="0" collapsed="false">
      <c r="A883" s="9" t="str">
        <f aca="false">Vessels!B12</f>
        <v>Vessel 08</v>
      </c>
      <c r="B883" s="9" t="s">
        <v>136</v>
      </c>
      <c r="C883" s="7" t="s">
        <v>138</v>
      </c>
      <c r="D883" s="9" t="s">
        <v>45</v>
      </c>
      <c r="E883" s="9" t="s">
        <v>44</v>
      </c>
      <c r="F883" s="5" t="n">
        <v>12</v>
      </c>
      <c r="G883" s="10"/>
      <c r="H883" s="11" t="str">
        <f aca="false">IFERROR(IF($D883="Manual Review","",IF($G883="","",IF($D883="Direct Expiry",$G883,EDATE($G883,$F883)))),"Check Date")</f>
        <v/>
      </c>
      <c r="I883" s="12" t="str">
        <f aca="true">IF($H883="","",IF(ISNUMBER($H883),$H883-TODAY(),""))</f>
        <v/>
      </c>
      <c r="J883" s="4" t="str">
        <f aca="true">IF($D883="Manual Review","Manual Review",IF($G883="","No Data",IF(NOT(ISNUMBER($H883)),"N/A",IF($H883&lt;TODAY(),"Overdue",IF($H883&lt;=TODAY()+30,"Due within 1 Month",IF($H883&lt;=TODAY()+60,"Due within 2 Months","OK"))))))</f>
        <v>No Data</v>
      </c>
      <c r="K883" s="13"/>
    </row>
    <row r="884" customFormat="false" ht="15" hidden="false" customHeight="false" outlineLevel="0" collapsed="false">
      <c r="A884" s="9" t="str">
        <f aca="false">Vessels!B12</f>
        <v>Vessel 08</v>
      </c>
      <c r="B884" s="9" t="s">
        <v>136</v>
      </c>
      <c r="C884" s="7" t="s">
        <v>139</v>
      </c>
      <c r="D884" s="9" t="s">
        <v>45</v>
      </c>
      <c r="E884" s="9" t="s">
        <v>140</v>
      </c>
      <c r="F884" s="5" t="n">
        <v>12</v>
      </c>
      <c r="G884" s="10"/>
      <c r="H884" s="11" t="str">
        <f aca="false">IFERROR(IF($D884="Manual Review","",IF($G884="","",IF($D884="Direct Expiry",$G884,EDATE($G884,$F884)))),"Check Date")</f>
        <v/>
      </c>
      <c r="I884" s="12" t="str">
        <f aca="true">IF($H884="","",IF(ISNUMBER($H884),$H884-TODAY(),""))</f>
        <v/>
      </c>
      <c r="J884" s="4" t="str">
        <f aca="true">IF($D884="Manual Review","Manual Review",IF($G884="","No Data",IF(NOT(ISNUMBER($H884)),"N/A",IF($H884&lt;TODAY(),"Overdue",IF($H884&lt;=TODAY()+30,"Due within 1 Month",IF($H884&lt;=TODAY()+60,"Due within 2 Months","OK"))))))</f>
        <v>No Data</v>
      </c>
      <c r="K884" s="13"/>
    </row>
    <row r="885" customFormat="false" ht="15" hidden="false" customHeight="false" outlineLevel="0" collapsed="false">
      <c r="A885" s="9" t="str">
        <f aca="false">Vessels!B12</f>
        <v>Vessel 08</v>
      </c>
      <c r="B885" s="9" t="s">
        <v>136</v>
      </c>
      <c r="C885" s="7" t="s">
        <v>141</v>
      </c>
      <c r="D885" s="9" t="s">
        <v>45</v>
      </c>
      <c r="E885" s="9" t="s">
        <v>44</v>
      </c>
      <c r="F885" s="5" t="n">
        <v>12</v>
      </c>
      <c r="G885" s="10"/>
      <c r="H885" s="11" t="str">
        <f aca="false">IFERROR(IF($D885="Manual Review","",IF($G885="","",IF($D885="Direct Expiry",$G885,EDATE($G885,$F885)))),"Check Date")</f>
        <v/>
      </c>
      <c r="I885" s="12" t="str">
        <f aca="true">IF($H885="","",IF(ISNUMBER($H885),$H885-TODAY(),""))</f>
        <v/>
      </c>
      <c r="J885" s="4" t="str">
        <f aca="true">IF($D885="Manual Review","Manual Review",IF($G885="","No Data",IF(NOT(ISNUMBER($H885)),"N/A",IF($H885&lt;TODAY(),"Overdue",IF($H885&lt;=TODAY()+30,"Due within 1 Month",IF($H885&lt;=TODAY()+60,"Due within 2 Months","OK"))))))</f>
        <v>No Data</v>
      </c>
      <c r="K885" s="13"/>
    </row>
    <row r="886" customFormat="false" ht="15" hidden="false" customHeight="false" outlineLevel="0" collapsed="false">
      <c r="A886" s="9" t="str">
        <f aca="false">Vessels!B12</f>
        <v>Vessel 08</v>
      </c>
      <c r="B886" s="9" t="s">
        <v>136</v>
      </c>
      <c r="C886" s="7" t="s">
        <v>142</v>
      </c>
      <c r="D886" s="9" t="s">
        <v>115</v>
      </c>
      <c r="E886" s="9" t="s">
        <v>143</v>
      </c>
      <c r="F886" s="5"/>
      <c r="G886" s="10"/>
      <c r="H886" s="11" t="str">
        <f aca="false">IFERROR(IF($D886="Manual Review","",IF($G886="","",IF($D886="Direct Expiry",$G886,EDATE($G886,$F886)))),"Check Date")</f>
        <v/>
      </c>
      <c r="I886" s="12" t="str">
        <f aca="true">IF($H886="","",IF(ISNUMBER($H886),$H886-TODAY(),""))</f>
        <v/>
      </c>
      <c r="J886" s="4" t="str">
        <f aca="true">IF($D886="Manual Review","Manual Review",IF($G886="","No Data",IF(NOT(ISNUMBER($H886)),"N/A",IF($H886&lt;TODAY(),"Overdue",IF($H886&lt;=TODAY()+30,"Due within 1 Month",IF($H886&lt;=TODAY()+60,"Due within 2 Months","OK"))))))</f>
        <v>Manual Review</v>
      </c>
      <c r="K886" s="13"/>
    </row>
    <row r="887" customFormat="false" ht="15" hidden="false" customHeight="false" outlineLevel="0" collapsed="false">
      <c r="A887" s="9" t="str">
        <f aca="false">Vessels!B12</f>
        <v>Vessel 08</v>
      </c>
      <c r="B887" s="9" t="s">
        <v>136</v>
      </c>
      <c r="C887" s="7" t="s">
        <v>144</v>
      </c>
      <c r="D887" s="9" t="s">
        <v>45</v>
      </c>
      <c r="E887" s="9" t="s">
        <v>44</v>
      </c>
      <c r="F887" s="5" t="n">
        <v>12</v>
      </c>
      <c r="G887" s="10"/>
      <c r="H887" s="11" t="str">
        <f aca="false">IFERROR(IF($D887="Manual Review","",IF($G887="","",IF($D887="Direct Expiry",$G887,EDATE($G887,$F887)))),"Check Date")</f>
        <v/>
      </c>
      <c r="I887" s="12" t="str">
        <f aca="true">IF($H887="","",IF(ISNUMBER($H887),$H887-TODAY(),""))</f>
        <v/>
      </c>
      <c r="J887" s="4" t="str">
        <f aca="true">IF($D887="Manual Review","Manual Review",IF($G887="","No Data",IF(NOT(ISNUMBER($H887)),"N/A",IF($H887&lt;TODAY(),"Overdue",IF($H887&lt;=TODAY()+30,"Due within 1 Month",IF($H887&lt;=TODAY()+60,"Due within 2 Months","OK"))))))</f>
        <v>No Data</v>
      </c>
      <c r="K887" s="13"/>
    </row>
    <row r="888" customFormat="false" ht="15" hidden="false" customHeight="false" outlineLevel="0" collapsed="false">
      <c r="A888" s="9" t="str">
        <f aca="false">Vessels!B12</f>
        <v>Vessel 08</v>
      </c>
      <c r="B888" s="9" t="s">
        <v>136</v>
      </c>
      <c r="C888" s="7" t="s">
        <v>145</v>
      </c>
      <c r="D888" s="9" t="s">
        <v>45</v>
      </c>
      <c r="E888" s="9" t="s">
        <v>44</v>
      </c>
      <c r="F888" s="5" t="n">
        <v>12</v>
      </c>
      <c r="G888" s="10"/>
      <c r="H888" s="11" t="str">
        <f aca="false">IFERROR(IF($D888="Manual Review","",IF($G888="","",IF($D888="Direct Expiry",$G888,EDATE($G888,$F888)))),"Check Date")</f>
        <v/>
      </c>
      <c r="I888" s="12" t="str">
        <f aca="true">IF($H888="","",IF(ISNUMBER($H888),$H888-TODAY(),""))</f>
        <v/>
      </c>
      <c r="J888" s="4" t="str">
        <f aca="true">IF($D888="Manual Review","Manual Review",IF($G888="","No Data",IF(NOT(ISNUMBER($H888)),"N/A",IF($H888&lt;TODAY(),"Overdue",IF($H888&lt;=TODAY()+30,"Due within 1 Month",IF($H888&lt;=TODAY()+60,"Due within 2 Months","OK"))))))</f>
        <v>No Data</v>
      </c>
      <c r="K888" s="13"/>
    </row>
    <row r="889" customFormat="false" ht="15" hidden="false" customHeight="false" outlineLevel="0" collapsed="false">
      <c r="A889" s="9" t="str">
        <f aca="false">Vessels!B12</f>
        <v>Vessel 08</v>
      </c>
      <c r="B889" s="9" t="s">
        <v>136</v>
      </c>
      <c r="C889" s="7" t="s">
        <v>146</v>
      </c>
      <c r="D889" s="9" t="s">
        <v>45</v>
      </c>
      <c r="E889" s="9" t="s">
        <v>44</v>
      </c>
      <c r="F889" s="5" t="n">
        <v>12</v>
      </c>
      <c r="G889" s="10"/>
      <c r="H889" s="11" t="str">
        <f aca="false">IFERROR(IF($D889="Manual Review","",IF($G889="","",IF($D889="Direct Expiry",$G889,EDATE($G889,$F889)))),"Check Date")</f>
        <v/>
      </c>
      <c r="I889" s="12" t="str">
        <f aca="true">IF($H889="","",IF(ISNUMBER($H889),$H889-TODAY(),""))</f>
        <v/>
      </c>
      <c r="J889" s="4" t="str">
        <f aca="true">IF($D889="Manual Review","Manual Review",IF($G889="","No Data",IF(NOT(ISNUMBER($H889)),"N/A",IF($H889&lt;TODAY(),"Overdue",IF($H889&lt;=TODAY()+30,"Due within 1 Month",IF($H889&lt;=TODAY()+60,"Due within 2 Months","OK"))))))</f>
        <v>No Data</v>
      </c>
      <c r="K889" s="13"/>
    </row>
    <row r="890" customFormat="false" ht="15" hidden="false" customHeight="false" outlineLevel="0" collapsed="false">
      <c r="A890" s="9" t="str">
        <f aca="false">Vessels!B12</f>
        <v>Vessel 08</v>
      </c>
      <c r="B890" s="9" t="s">
        <v>136</v>
      </c>
      <c r="C890" s="7" t="s">
        <v>147</v>
      </c>
      <c r="D890" s="9" t="s">
        <v>45</v>
      </c>
      <c r="E890" s="9" t="s">
        <v>44</v>
      </c>
      <c r="F890" s="5" t="n">
        <v>12</v>
      </c>
      <c r="G890" s="10"/>
      <c r="H890" s="11" t="str">
        <f aca="false">IFERROR(IF($D890="Manual Review","",IF($G890="","",IF($D890="Direct Expiry",$G890,EDATE($G890,$F890)))),"Check Date")</f>
        <v/>
      </c>
      <c r="I890" s="12" t="str">
        <f aca="true">IF($H890="","",IF(ISNUMBER($H890),$H890-TODAY(),""))</f>
        <v/>
      </c>
      <c r="J890" s="4" t="str">
        <f aca="true">IF($D890="Manual Review","Manual Review",IF($G890="","No Data",IF(NOT(ISNUMBER($H890)),"N/A",IF($H890&lt;TODAY(),"Overdue",IF($H890&lt;=TODAY()+30,"Due within 1 Month",IF($H890&lt;=TODAY()+60,"Due within 2 Months","OK"))))))</f>
        <v>No Data</v>
      </c>
      <c r="K890" s="13"/>
    </row>
    <row r="891" customFormat="false" ht="15" hidden="false" customHeight="false" outlineLevel="0" collapsed="false">
      <c r="A891" s="9" t="str">
        <f aca="false">Vessels!B12</f>
        <v>Vessel 08</v>
      </c>
      <c r="B891" s="9" t="s">
        <v>136</v>
      </c>
      <c r="C891" s="7" t="s">
        <v>148</v>
      </c>
      <c r="D891" s="9" t="s">
        <v>45</v>
      </c>
      <c r="E891" s="9" t="s">
        <v>44</v>
      </c>
      <c r="F891" s="5" t="n">
        <v>12</v>
      </c>
      <c r="G891" s="10"/>
      <c r="H891" s="11" t="str">
        <f aca="false">IFERROR(IF($D891="Manual Review","",IF($G891="","",IF($D891="Direct Expiry",$G891,EDATE($G891,$F891)))),"Check Date")</f>
        <v/>
      </c>
      <c r="I891" s="12" t="str">
        <f aca="true">IF($H891="","",IF(ISNUMBER($H891),$H891-TODAY(),""))</f>
        <v/>
      </c>
      <c r="J891" s="4" t="str">
        <f aca="true">IF($D891="Manual Review","Manual Review",IF($G891="","No Data",IF(NOT(ISNUMBER($H891)),"N/A",IF($H891&lt;TODAY(),"Overdue",IF($H891&lt;=TODAY()+30,"Due within 1 Month",IF($H891&lt;=TODAY()+60,"Due within 2 Months","OK"))))))</f>
        <v>No Data</v>
      </c>
      <c r="K891" s="13"/>
    </row>
    <row r="892" customFormat="false" ht="15" hidden="false" customHeight="false" outlineLevel="0" collapsed="false">
      <c r="A892" s="9" t="str">
        <f aca="false">Vessels!B12</f>
        <v>Vessel 08</v>
      </c>
      <c r="B892" s="9" t="s">
        <v>136</v>
      </c>
      <c r="C892" s="7" t="s">
        <v>149</v>
      </c>
      <c r="D892" s="9" t="s">
        <v>45</v>
      </c>
      <c r="E892" s="9" t="s">
        <v>44</v>
      </c>
      <c r="F892" s="5" t="n">
        <v>12</v>
      </c>
      <c r="G892" s="10"/>
      <c r="H892" s="11" t="str">
        <f aca="false">IFERROR(IF($D892="Manual Review","",IF($G892="","",IF($D892="Direct Expiry",$G892,EDATE($G892,$F892)))),"Check Date")</f>
        <v/>
      </c>
      <c r="I892" s="12" t="str">
        <f aca="true">IF($H892="","",IF(ISNUMBER($H892),$H892-TODAY(),""))</f>
        <v/>
      </c>
      <c r="J892" s="4" t="str">
        <f aca="true">IF($D892="Manual Review","Manual Review",IF($G892="","No Data",IF(NOT(ISNUMBER($H892)),"N/A",IF($H892&lt;TODAY(),"Overdue",IF($H892&lt;=TODAY()+30,"Due within 1 Month",IF($H892&lt;=TODAY()+60,"Due within 2 Months","OK"))))))</f>
        <v>No Data</v>
      </c>
      <c r="K892" s="13"/>
    </row>
    <row r="893" customFormat="false" ht="15" hidden="false" customHeight="false" outlineLevel="0" collapsed="false">
      <c r="A893" s="9" t="str">
        <f aca="false">Vessels!B12</f>
        <v>Vessel 08</v>
      </c>
      <c r="B893" s="9" t="s">
        <v>136</v>
      </c>
      <c r="C893" s="7" t="s">
        <v>150</v>
      </c>
      <c r="D893" s="9" t="s">
        <v>45</v>
      </c>
      <c r="E893" s="9" t="s">
        <v>44</v>
      </c>
      <c r="F893" s="5" t="n">
        <v>12</v>
      </c>
      <c r="G893" s="10"/>
      <c r="H893" s="11" t="str">
        <f aca="false">IFERROR(IF($D893="Manual Review","",IF($G893="","",IF($D893="Direct Expiry",$G893,EDATE($G893,$F893)))),"Check Date")</f>
        <v/>
      </c>
      <c r="I893" s="12" t="str">
        <f aca="true">IF($H893="","",IF(ISNUMBER($H893),$H893-TODAY(),""))</f>
        <v/>
      </c>
      <c r="J893" s="4" t="str">
        <f aca="true">IF($D893="Manual Review","Manual Review",IF($G893="","No Data",IF(NOT(ISNUMBER($H893)),"N/A",IF($H893&lt;TODAY(),"Overdue",IF($H893&lt;=TODAY()+30,"Due within 1 Month",IF($H893&lt;=TODAY()+60,"Due within 2 Months","OK"))))))</f>
        <v>No Data</v>
      </c>
      <c r="K893" s="13"/>
    </row>
    <row r="894" customFormat="false" ht="15" hidden="false" customHeight="false" outlineLevel="0" collapsed="false">
      <c r="A894" s="9" t="str">
        <f aca="false">Vessels!B12</f>
        <v>Vessel 08</v>
      </c>
      <c r="B894" s="9" t="s">
        <v>136</v>
      </c>
      <c r="C894" s="7" t="s">
        <v>151</v>
      </c>
      <c r="D894" s="9" t="s">
        <v>45</v>
      </c>
      <c r="E894" s="9" t="s">
        <v>44</v>
      </c>
      <c r="F894" s="5" t="n">
        <v>12</v>
      </c>
      <c r="G894" s="10"/>
      <c r="H894" s="11" t="str">
        <f aca="false">IFERROR(IF($D894="Manual Review","",IF($G894="","",IF($D894="Direct Expiry",$G894,EDATE($G894,$F894)))),"Check Date")</f>
        <v/>
      </c>
      <c r="I894" s="12" t="str">
        <f aca="true">IF($H894="","",IF(ISNUMBER($H894),$H894-TODAY(),""))</f>
        <v/>
      </c>
      <c r="J894" s="4" t="str">
        <f aca="true">IF($D894="Manual Review","Manual Review",IF($G894="","No Data",IF(NOT(ISNUMBER($H894)),"N/A",IF($H894&lt;TODAY(),"Overdue",IF($H894&lt;=TODAY()+30,"Due within 1 Month",IF($H894&lt;=TODAY()+60,"Due within 2 Months","OK"))))))</f>
        <v>No Data</v>
      </c>
      <c r="K894" s="13"/>
    </row>
    <row r="895" customFormat="false" ht="15" hidden="false" customHeight="false" outlineLevel="0" collapsed="false">
      <c r="A895" s="9" t="str">
        <f aca="false">Vessels!B12</f>
        <v>Vessel 08</v>
      </c>
      <c r="B895" s="9" t="s">
        <v>136</v>
      </c>
      <c r="C895" s="7" t="s">
        <v>152</v>
      </c>
      <c r="D895" s="9" t="s">
        <v>45</v>
      </c>
      <c r="E895" s="9" t="s">
        <v>44</v>
      </c>
      <c r="F895" s="5" t="n">
        <v>12</v>
      </c>
      <c r="G895" s="10"/>
      <c r="H895" s="11" t="str">
        <f aca="false">IFERROR(IF($D895="Manual Review","",IF($G895="","",IF($D895="Direct Expiry",$G895,EDATE($G895,$F895)))),"Check Date")</f>
        <v/>
      </c>
      <c r="I895" s="12" t="str">
        <f aca="true">IF($H895="","",IF(ISNUMBER($H895),$H895-TODAY(),""))</f>
        <v/>
      </c>
      <c r="J895" s="4" t="str">
        <f aca="true">IF($D895="Manual Review","Manual Review",IF($G895="","No Data",IF(NOT(ISNUMBER($H895)),"N/A",IF($H895&lt;TODAY(),"Overdue",IF($H895&lt;=TODAY()+30,"Due within 1 Month",IF($H895&lt;=TODAY()+60,"Due within 2 Months","OK"))))))</f>
        <v>No Data</v>
      </c>
      <c r="K895" s="13"/>
    </row>
    <row r="896" customFormat="false" ht="15" hidden="false" customHeight="false" outlineLevel="0" collapsed="false">
      <c r="A896" s="9" t="str">
        <f aca="false">Vessels!B12</f>
        <v>Vessel 08</v>
      </c>
      <c r="B896" s="9" t="s">
        <v>136</v>
      </c>
      <c r="C896" s="7" t="s">
        <v>153</v>
      </c>
      <c r="D896" s="9" t="s">
        <v>45</v>
      </c>
      <c r="E896" s="9" t="s">
        <v>44</v>
      </c>
      <c r="F896" s="5" t="n">
        <v>12</v>
      </c>
      <c r="G896" s="10"/>
      <c r="H896" s="11" t="str">
        <f aca="false">IFERROR(IF($D896="Manual Review","",IF($G896="","",IF($D896="Direct Expiry",$G896,EDATE($G896,$F896)))),"Check Date")</f>
        <v/>
      </c>
      <c r="I896" s="12" t="str">
        <f aca="true">IF($H896="","",IF(ISNUMBER($H896),$H896-TODAY(),""))</f>
        <v/>
      </c>
      <c r="J896" s="4" t="str">
        <f aca="true">IF($D896="Manual Review","Manual Review",IF($G896="","No Data",IF(NOT(ISNUMBER($H896)),"N/A",IF($H896&lt;TODAY(),"Overdue",IF($H896&lt;=TODAY()+30,"Due within 1 Month",IF($H896&lt;=TODAY()+60,"Due within 2 Months","OK"))))))</f>
        <v>No Data</v>
      </c>
      <c r="K896" s="13"/>
    </row>
    <row r="897" customFormat="false" ht="15" hidden="false" customHeight="false" outlineLevel="0" collapsed="false">
      <c r="A897" s="9" t="str">
        <f aca="false">Vessels!B12</f>
        <v>Vessel 08</v>
      </c>
      <c r="B897" s="9" t="s">
        <v>136</v>
      </c>
      <c r="C897" s="7" t="s">
        <v>154</v>
      </c>
      <c r="D897" s="9" t="s">
        <v>45</v>
      </c>
      <c r="E897" s="9" t="s">
        <v>44</v>
      </c>
      <c r="F897" s="5" t="n">
        <v>12</v>
      </c>
      <c r="G897" s="10"/>
      <c r="H897" s="11" t="str">
        <f aca="false">IFERROR(IF($D897="Manual Review","",IF($G897="","",IF($D897="Direct Expiry",$G897,EDATE($G897,$F897)))),"Check Date")</f>
        <v/>
      </c>
      <c r="I897" s="12" t="str">
        <f aca="true">IF($H897="","",IF(ISNUMBER($H897),$H897-TODAY(),""))</f>
        <v/>
      </c>
      <c r="J897" s="4" t="str">
        <f aca="true">IF($D897="Manual Review","Manual Review",IF($G897="","No Data",IF(NOT(ISNUMBER($H897)),"N/A",IF($H897&lt;TODAY(),"Overdue",IF($H897&lt;=TODAY()+30,"Due within 1 Month",IF($H897&lt;=TODAY()+60,"Due within 2 Months","OK"))))))</f>
        <v>No Data</v>
      </c>
      <c r="K897" s="13"/>
    </row>
    <row r="898" customFormat="false" ht="15" hidden="false" customHeight="false" outlineLevel="0" collapsed="false">
      <c r="A898" s="9" t="str">
        <f aca="false">Vessels!B12</f>
        <v>Vessel 08</v>
      </c>
      <c r="B898" s="9" t="s">
        <v>136</v>
      </c>
      <c r="C898" s="7" t="s">
        <v>155</v>
      </c>
      <c r="D898" s="9" t="s">
        <v>45</v>
      </c>
      <c r="E898" s="9" t="s">
        <v>44</v>
      </c>
      <c r="F898" s="5" t="n">
        <v>12</v>
      </c>
      <c r="G898" s="10"/>
      <c r="H898" s="11" t="str">
        <f aca="false">IFERROR(IF($D898="Manual Review","",IF($G898="","",IF($D898="Direct Expiry",$G898,EDATE($G898,$F898)))),"Check Date")</f>
        <v/>
      </c>
      <c r="I898" s="12" t="str">
        <f aca="true">IF($H898="","",IF(ISNUMBER($H898),$H898-TODAY(),""))</f>
        <v/>
      </c>
      <c r="J898" s="4" t="str">
        <f aca="true">IF($D898="Manual Review","Manual Review",IF($G898="","No Data",IF(NOT(ISNUMBER($H898)),"N/A",IF($H898&lt;TODAY(),"Overdue",IF($H898&lt;=TODAY()+30,"Due within 1 Month",IF($H898&lt;=TODAY()+60,"Due within 2 Months","OK"))))))</f>
        <v>No Data</v>
      </c>
      <c r="K898" s="13"/>
    </row>
    <row r="899" customFormat="false" ht="15" hidden="false" customHeight="false" outlineLevel="0" collapsed="false">
      <c r="A899" s="9" t="str">
        <f aca="false">Vessels!B12</f>
        <v>Vessel 08</v>
      </c>
      <c r="B899" s="9" t="s">
        <v>136</v>
      </c>
      <c r="C899" s="7" t="s">
        <v>156</v>
      </c>
      <c r="D899" s="9" t="s">
        <v>45</v>
      </c>
      <c r="E899" s="9" t="s">
        <v>44</v>
      </c>
      <c r="F899" s="5" t="n">
        <v>12</v>
      </c>
      <c r="G899" s="10"/>
      <c r="H899" s="11" t="str">
        <f aca="false">IFERROR(IF($D899="Manual Review","",IF($G899="","",IF($D899="Direct Expiry",$G899,EDATE($G899,$F899)))),"Check Date")</f>
        <v/>
      </c>
      <c r="I899" s="12" t="str">
        <f aca="true">IF($H899="","",IF(ISNUMBER($H899),$H899-TODAY(),""))</f>
        <v/>
      </c>
      <c r="J899" s="4" t="str">
        <f aca="true">IF($D899="Manual Review","Manual Review",IF($G899="","No Data",IF(NOT(ISNUMBER($H899)),"N/A",IF($H899&lt;TODAY(),"Overdue",IF($H899&lt;=TODAY()+30,"Due within 1 Month",IF($H899&lt;=TODAY()+60,"Due within 2 Months","OK"))))))</f>
        <v>No Data</v>
      </c>
      <c r="K899" s="13"/>
    </row>
    <row r="900" customFormat="false" ht="15" hidden="false" customHeight="false" outlineLevel="0" collapsed="false">
      <c r="A900" s="9" t="str">
        <f aca="false">Vessels!B12</f>
        <v>Vessel 08</v>
      </c>
      <c r="B900" s="9" t="s">
        <v>136</v>
      </c>
      <c r="C900" s="7" t="s">
        <v>157</v>
      </c>
      <c r="D900" s="9" t="s">
        <v>45</v>
      </c>
      <c r="E900" s="9" t="s">
        <v>44</v>
      </c>
      <c r="F900" s="5" t="n">
        <v>12</v>
      </c>
      <c r="G900" s="10"/>
      <c r="H900" s="11" t="str">
        <f aca="false">IFERROR(IF($D900="Manual Review","",IF($G900="","",IF($D900="Direct Expiry",$G900,EDATE($G900,$F900)))),"Check Date")</f>
        <v/>
      </c>
      <c r="I900" s="12" t="str">
        <f aca="true">IF($H900="","",IF(ISNUMBER($H900),$H900-TODAY(),""))</f>
        <v/>
      </c>
      <c r="J900" s="4" t="str">
        <f aca="true">IF($D900="Manual Review","Manual Review",IF($G900="","No Data",IF(NOT(ISNUMBER($H900)),"N/A",IF($H900&lt;TODAY(),"Overdue",IF($H900&lt;=TODAY()+30,"Due within 1 Month",IF($H900&lt;=TODAY()+60,"Due within 2 Months","OK"))))))</f>
        <v>No Data</v>
      </c>
      <c r="K900" s="13"/>
    </row>
    <row r="901" customFormat="false" ht="15" hidden="false" customHeight="false" outlineLevel="0" collapsed="false">
      <c r="A901" s="9" t="str">
        <f aca="false">Vessels!B13</f>
        <v>Vessel 09</v>
      </c>
      <c r="B901" s="9" t="s">
        <v>42</v>
      </c>
      <c r="C901" s="7" t="s">
        <v>43</v>
      </c>
      <c r="D901" s="9" t="s">
        <v>45</v>
      </c>
      <c r="E901" s="9" t="s">
        <v>44</v>
      </c>
      <c r="F901" s="5" t="n">
        <v>12</v>
      </c>
      <c r="G901" s="10"/>
      <c r="H901" s="11" t="str">
        <f aca="false">IFERROR(IF($D901="Manual Review","",IF($G901="","",IF($D901="Direct Expiry",$G901,EDATE($G901,$F901)))),"Check Date")</f>
        <v/>
      </c>
      <c r="I901" s="12" t="str">
        <f aca="true">IF($H901="","",IF(ISNUMBER($H901),$H901-TODAY(),""))</f>
        <v/>
      </c>
      <c r="J901" s="4" t="str">
        <f aca="true">IF($D901="Manual Review","Manual Review",IF($G901="","No Data",IF(NOT(ISNUMBER($H901)),"N/A",IF($H901&lt;TODAY(),"Overdue",IF($H901&lt;=TODAY()+30,"Due within 1 Month",IF($H901&lt;=TODAY()+60,"Due within 2 Months","OK"))))))</f>
        <v>No Data</v>
      </c>
      <c r="K901" s="13"/>
    </row>
    <row r="902" customFormat="false" ht="15" hidden="false" customHeight="false" outlineLevel="0" collapsed="false">
      <c r="A902" s="9" t="str">
        <f aca="false">Vessels!B13</f>
        <v>Vessel 09</v>
      </c>
      <c r="B902" s="9" t="s">
        <v>42</v>
      </c>
      <c r="C902" s="7" t="s">
        <v>43</v>
      </c>
      <c r="D902" s="9" t="s">
        <v>45</v>
      </c>
      <c r="E902" s="9" t="s">
        <v>46</v>
      </c>
      <c r="F902" s="5" t="n">
        <v>60</v>
      </c>
      <c r="G902" s="10"/>
      <c r="H902" s="11" t="str">
        <f aca="false">IFERROR(IF($D902="Manual Review","",IF($G902="","",IF($D902="Direct Expiry",$G902,EDATE($G902,$F902)))),"Check Date")</f>
        <v/>
      </c>
      <c r="I902" s="12" t="str">
        <f aca="true">IF($H902="","",IF(ISNUMBER($H902),$H902-TODAY(),""))</f>
        <v/>
      </c>
      <c r="J902" s="4" t="str">
        <f aca="true">IF($D902="Manual Review","Manual Review",IF($G902="","No Data",IF(NOT(ISNUMBER($H902)),"N/A",IF($H902&lt;TODAY(),"Overdue",IF($H902&lt;=TODAY()+30,"Due within 1 Month",IF($H902&lt;=TODAY()+60,"Due within 2 Months","OK"))))))</f>
        <v>No Data</v>
      </c>
      <c r="K902" s="13"/>
    </row>
    <row r="903" customFormat="false" ht="15" hidden="false" customHeight="false" outlineLevel="0" collapsed="false">
      <c r="A903" s="9" t="str">
        <f aca="false">Vessels!B13</f>
        <v>Vessel 09</v>
      </c>
      <c r="B903" s="9" t="s">
        <v>42</v>
      </c>
      <c r="C903" s="7" t="s">
        <v>47</v>
      </c>
      <c r="D903" s="9" t="s">
        <v>45</v>
      </c>
      <c r="E903" s="9" t="s">
        <v>44</v>
      </c>
      <c r="F903" s="5" t="n">
        <v>12</v>
      </c>
      <c r="G903" s="10"/>
      <c r="H903" s="11" t="str">
        <f aca="false">IFERROR(IF($D903="Manual Review","",IF($G903="","",IF($D903="Direct Expiry",$G903,EDATE($G903,$F903)))),"Check Date")</f>
        <v/>
      </c>
      <c r="I903" s="12" t="str">
        <f aca="true">IF($H903="","",IF(ISNUMBER($H903),$H903-TODAY(),""))</f>
        <v/>
      </c>
      <c r="J903" s="4" t="str">
        <f aca="true">IF($D903="Manual Review","Manual Review",IF($G903="","No Data",IF(NOT(ISNUMBER($H903)),"N/A",IF($H903&lt;TODAY(),"Overdue",IF($H903&lt;=TODAY()+30,"Due within 1 Month",IF($H903&lt;=TODAY()+60,"Due within 2 Months","OK"))))))</f>
        <v>No Data</v>
      </c>
      <c r="K903" s="13"/>
    </row>
    <row r="904" customFormat="false" ht="15" hidden="false" customHeight="false" outlineLevel="0" collapsed="false">
      <c r="A904" s="9" t="str">
        <f aca="false">Vessels!B13</f>
        <v>Vessel 09</v>
      </c>
      <c r="B904" s="9" t="s">
        <v>42</v>
      </c>
      <c r="C904" s="7" t="s">
        <v>47</v>
      </c>
      <c r="D904" s="9" t="s">
        <v>45</v>
      </c>
      <c r="E904" s="9" t="s">
        <v>46</v>
      </c>
      <c r="F904" s="5" t="n">
        <v>60</v>
      </c>
      <c r="G904" s="10"/>
      <c r="H904" s="11" t="str">
        <f aca="false">IFERROR(IF($D904="Manual Review","",IF($G904="","",IF($D904="Direct Expiry",$G904,EDATE($G904,$F904)))),"Check Date")</f>
        <v/>
      </c>
      <c r="I904" s="12" t="str">
        <f aca="true">IF($H904="","",IF(ISNUMBER($H904),$H904-TODAY(),""))</f>
        <v/>
      </c>
      <c r="J904" s="4" t="str">
        <f aca="true">IF($D904="Manual Review","Manual Review",IF($G904="","No Data",IF(NOT(ISNUMBER($H904)),"N/A",IF($H904&lt;TODAY(),"Overdue",IF($H904&lt;=TODAY()+30,"Due within 1 Month",IF($H904&lt;=TODAY()+60,"Due within 2 Months","OK"))))))</f>
        <v>No Data</v>
      </c>
      <c r="K904" s="13"/>
    </row>
    <row r="905" customFormat="false" ht="15" hidden="false" customHeight="false" outlineLevel="0" collapsed="false">
      <c r="A905" s="9" t="str">
        <f aca="false">Vessels!B13</f>
        <v>Vessel 09</v>
      </c>
      <c r="B905" s="9" t="s">
        <v>42</v>
      </c>
      <c r="C905" s="7" t="s">
        <v>48</v>
      </c>
      <c r="D905" s="9" t="s">
        <v>45</v>
      </c>
      <c r="E905" s="9" t="s">
        <v>44</v>
      </c>
      <c r="F905" s="5" t="n">
        <v>12</v>
      </c>
      <c r="G905" s="10"/>
      <c r="H905" s="11" t="str">
        <f aca="false">IFERROR(IF($D905="Manual Review","",IF($G905="","",IF($D905="Direct Expiry",$G905,EDATE($G905,$F905)))),"Check Date")</f>
        <v/>
      </c>
      <c r="I905" s="12" t="str">
        <f aca="true">IF($H905="","",IF(ISNUMBER($H905),$H905-TODAY(),""))</f>
        <v/>
      </c>
      <c r="J905" s="4" t="str">
        <f aca="true">IF($D905="Manual Review","Manual Review",IF($G905="","No Data",IF(NOT(ISNUMBER($H905)),"N/A",IF($H905&lt;TODAY(),"Overdue",IF($H905&lt;=TODAY()+30,"Due within 1 Month",IF($H905&lt;=TODAY()+60,"Due within 2 Months","OK"))))))</f>
        <v>No Data</v>
      </c>
      <c r="K905" s="13"/>
    </row>
    <row r="906" customFormat="false" ht="15" hidden="false" customHeight="false" outlineLevel="0" collapsed="false">
      <c r="A906" s="9" t="str">
        <f aca="false">Vessels!B13</f>
        <v>Vessel 09</v>
      </c>
      <c r="B906" s="9" t="s">
        <v>42</v>
      </c>
      <c r="C906" s="7" t="s">
        <v>48</v>
      </c>
      <c r="D906" s="9" t="s">
        <v>45</v>
      </c>
      <c r="E906" s="9" t="s">
        <v>49</v>
      </c>
      <c r="F906" s="5" t="n">
        <v>60</v>
      </c>
      <c r="G906" s="10"/>
      <c r="H906" s="11" t="str">
        <f aca="false">IFERROR(IF($D906="Manual Review","",IF($G906="","",IF($D906="Direct Expiry",$G906,EDATE($G906,$F906)))),"Check Date")</f>
        <v/>
      </c>
      <c r="I906" s="12" t="str">
        <f aca="true">IF($H906="","",IF(ISNUMBER($H906),$H906-TODAY(),""))</f>
        <v/>
      </c>
      <c r="J906" s="4" t="str">
        <f aca="true">IF($D906="Manual Review","Manual Review",IF($G906="","No Data",IF(NOT(ISNUMBER($H906)),"N/A",IF($H906&lt;TODAY(),"Overdue",IF($H906&lt;=TODAY()+30,"Due within 1 Month",IF($H906&lt;=TODAY()+60,"Due within 2 Months","OK"))))))</f>
        <v>No Data</v>
      </c>
      <c r="K906" s="13"/>
    </row>
    <row r="907" customFormat="false" ht="15" hidden="false" customHeight="false" outlineLevel="0" collapsed="false">
      <c r="A907" s="9" t="str">
        <f aca="false">Vessels!B13</f>
        <v>Vessel 09</v>
      </c>
      <c r="B907" s="9" t="s">
        <v>42</v>
      </c>
      <c r="C907" s="7" t="s">
        <v>50</v>
      </c>
      <c r="D907" s="9" t="s">
        <v>45</v>
      </c>
      <c r="E907" s="9" t="s">
        <v>44</v>
      </c>
      <c r="F907" s="5" t="n">
        <v>12</v>
      </c>
      <c r="G907" s="10"/>
      <c r="H907" s="11" t="str">
        <f aca="false">IFERROR(IF($D907="Manual Review","",IF($G907="","",IF($D907="Direct Expiry",$G907,EDATE($G907,$F907)))),"Check Date")</f>
        <v/>
      </c>
      <c r="I907" s="12" t="str">
        <f aca="true">IF($H907="","",IF(ISNUMBER($H907),$H907-TODAY(),""))</f>
        <v/>
      </c>
      <c r="J907" s="4" t="str">
        <f aca="true">IF($D907="Manual Review","Manual Review",IF($G907="","No Data",IF(NOT(ISNUMBER($H907)),"N/A",IF($H907&lt;TODAY(),"Overdue",IF($H907&lt;=TODAY()+30,"Due within 1 Month",IF($H907&lt;=TODAY()+60,"Due within 2 Months","OK"))))))</f>
        <v>No Data</v>
      </c>
      <c r="K907" s="13"/>
    </row>
    <row r="908" customFormat="false" ht="15" hidden="false" customHeight="false" outlineLevel="0" collapsed="false">
      <c r="A908" s="9" t="str">
        <f aca="false">Vessels!B13</f>
        <v>Vessel 09</v>
      </c>
      <c r="B908" s="9" t="s">
        <v>42</v>
      </c>
      <c r="C908" s="7" t="s">
        <v>50</v>
      </c>
      <c r="D908" s="9" t="s">
        <v>45</v>
      </c>
      <c r="E908" s="9" t="s">
        <v>49</v>
      </c>
      <c r="F908" s="5" t="n">
        <v>60</v>
      </c>
      <c r="G908" s="10"/>
      <c r="H908" s="11" t="str">
        <f aca="false">IFERROR(IF($D908="Manual Review","",IF($G908="","",IF($D908="Direct Expiry",$G908,EDATE($G908,$F908)))),"Check Date")</f>
        <v/>
      </c>
      <c r="I908" s="12" t="str">
        <f aca="true">IF($H908="","",IF(ISNUMBER($H908),$H908-TODAY(),""))</f>
        <v/>
      </c>
      <c r="J908" s="4" t="str">
        <f aca="true">IF($D908="Manual Review","Manual Review",IF($G908="","No Data",IF(NOT(ISNUMBER($H908)),"N/A",IF($H908&lt;TODAY(),"Overdue",IF($H908&lt;=TODAY()+30,"Due within 1 Month",IF($H908&lt;=TODAY()+60,"Due within 2 Months","OK"))))))</f>
        <v>No Data</v>
      </c>
      <c r="K908" s="13"/>
    </row>
    <row r="909" customFormat="false" ht="15" hidden="false" customHeight="false" outlineLevel="0" collapsed="false">
      <c r="A909" s="9" t="str">
        <f aca="false">Vessels!B13</f>
        <v>Vessel 09</v>
      </c>
      <c r="B909" s="9" t="s">
        <v>42</v>
      </c>
      <c r="C909" s="7" t="s">
        <v>51</v>
      </c>
      <c r="D909" s="9" t="s">
        <v>45</v>
      </c>
      <c r="E909" s="9" t="s">
        <v>46</v>
      </c>
      <c r="F909" s="5" t="n">
        <v>60</v>
      </c>
      <c r="G909" s="10"/>
      <c r="H909" s="11" t="str">
        <f aca="false">IFERROR(IF($D909="Manual Review","",IF($G909="","",IF($D909="Direct Expiry",$G909,EDATE($G909,$F909)))),"Check Date")</f>
        <v/>
      </c>
      <c r="I909" s="12" t="str">
        <f aca="true">IF($H909="","",IF(ISNUMBER($H909),$H909-TODAY(),""))</f>
        <v/>
      </c>
      <c r="J909" s="4" t="str">
        <f aca="true">IF($D909="Manual Review","Manual Review",IF($G909="","No Data",IF(NOT(ISNUMBER($H909)),"N/A",IF($H909&lt;TODAY(),"Overdue",IF($H909&lt;=TODAY()+30,"Due within 1 Month",IF($H909&lt;=TODAY()+60,"Due within 2 Months","OK"))))))</f>
        <v>No Data</v>
      </c>
      <c r="K909" s="13"/>
    </row>
    <row r="910" customFormat="false" ht="15" hidden="false" customHeight="false" outlineLevel="0" collapsed="false">
      <c r="A910" s="9" t="str">
        <f aca="false">Vessels!B13</f>
        <v>Vessel 09</v>
      </c>
      <c r="B910" s="9" t="s">
        <v>42</v>
      </c>
      <c r="C910" s="7" t="s">
        <v>52</v>
      </c>
      <c r="D910" s="9" t="s">
        <v>45</v>
      </c>
      <c r="E910" s="9" t="s">
        <v>46</v>
      </c>
      <c r="F910" s="5" t="n">
        <v>60</v>
      </c>
      <c r="G910" s="10"/>
      <c r="H910" s="11" t="str">
        <f aca="false">IFERROR(IF($D910="Manual Review","",IF($G910="","",IF($D910="Direct Expiry",$G910,EDATE($G910,$F910)))),"Check Date")</f>
        <v/>
      </c>
      <c r="I910" s="12" t="str">
        <f aca="true">IF($H910="","",IF(ISNUMBER($H910),$H910-TODAY(),""))</f>
        <v/>
      </c>
      <c r="J910" s="4" t="str">
        <f aca="true">IF($D910="Manual Review","Manual Review",IF($G910="","No Data",IF(NOT(ISNUMBER($H910)),"N/A",IF($H910&lt;TODAY(),"Overdue",IF($H910&lt;=TODAY()+30,"Due within 1 Month",IF($H910&lt;=TODAY()+60,"Due within 2 Months","OK"))))))</f>
        <v>No Data</v>
      </c>
      <c r="K910" s="13"/>
    </row>
    <row r="911" customFormat="false" ht="15" hidden="false" customHeight="false" outlineLevel="0" collapsed="false">
      <c r="A911" s="9" t="str">
        <f aca="false">Vessels!B13</f>
        <v>Vessel 09</v>
      </c>
      <c r="B911" s="9" t="s">
        <v>42</v>
      </c>
      <c r="C911" s="7" t="s">
        <v>53</v>
      </c>
      <c r="D911" s="9" t="s">
        <v>45</v>
      </c>
      <c r="E911" s="9" t="s">
        <v>46</v>
      </c>
      <c r="F911" s="5" t="n">
        <v>60</v>
      </c>
      <c r="G911" s="10"/>
      <c r="H911" s="11" t="str">
        <f aca="false">IFERROR(IF($D911="Manual Review","",IF($G911="","",IF($D911="Direct Expiry",$G911,EDATE($G911,$F911)))),"Check Date")</f>
        <v/>
      </c>
      <c r="I911" s="12" t="str">
        <f aca="true">IF($H911="","",IF(ISNUMBER($H911),$H911-TODAY(),""))</f>
        <v/>
      </c>
      <c r="J911" s="4" t="str">
        <f aca="true">IF($D911="Manual Review","Manual Review",IF($G911="","No Data",IF(NOT(ISNUMBER($H911)),"N/A",IF($H911&lt;TODAY(),"Overdue",IF($H911&lt;=TODAY()+30,"Due within 1 Month",IF($H911&lt;=TODAY()+60,"Due within 2 Months","OK"))))))</f>
        <v>No Data</v>
      </c>
      <c r="K911" s="13"/>
    </row>
    <row r="912" customFormat="false" ht="15" hidden="false" customHeight="false" outlineLevel="0" collapsed="false">
      <c r="A912" s="9" t="str">
        <f aca="false">Vessels!B13</f>
        <v>Vessel 09</v>
      </c>
      <c r="B912" s="9" t="s">
        <v>42</v>
      </c>
      <c r="C912" s="7" t="s">
        <v>54</v>
      </c>
      <c r="D912" s="9" t="s">
        <v>45</v>
      </c>
      <c r="E912" s="9" t="s">
        <v>46</v>
      </c>
      <c r="F912" s="5" t="n">
        <v>60</v>
      </c>
      <c r="G912" s="10"/>
      <c r="H912" s="11" t="str">
        <f aca="false">IFERROR(IF($D912="Manual Review","",IF($G912="","",IF($D912="Direct Expiry",$G912,EDATE($G912,$F912)))),"Check Date")</f>
        <v/>
      </c>
      <c r="I912" s="12" t="str">
        <f aca="true">IF($H912="","",IF(ISNUMBER($H912),$H912-TODAY(),""))</f>
        <v/>
      </c>
      <c r="J912" s="4" t="str">
        <f aca="true">IF($D912="Manual Review","Manual Review",IF($G912="","No Data",IF(NOT(ISNUMBER($H912)),"N/A",IF($H912&lt;TODAY(),"Overdue",IF($H912&lt;=TODAY()+30,"Due within 1 Month",IF($H912&lt;=TODAY()+60,"Due within 2 Months","OK"))))))</f>
        <v>No Data</v>
      </c>
      <c r="K912" s="13"/>
    </row>
    <row r="913" customFormat="false" ht="15" hidden="false" customHeight="false" outlineLevel="0" collapsed="false">
      <c r="A913" s="9" t="str">
        <f aca="false">Vessels!B13</f>
        <v>Vessel 09</v>
      </c>
      <c r="B913" s="9" t="s">
        <v>42</v>
      </c>
      <c r="C913" s="7" t="s">
        <v>55</v>
      </c>
      <c r="D913" s="9" t="s">
        <v>45</v>
      </c>
      <c r="E913" s="9" t="s">
        <v>46</v>
      </c>
      <c r="F913" s="5" t="n">
        <v>60</v>
      </c>
      <c r="G913" s="10"/>
      <c r="H913" s="11" t="str">
        <f aca="false">IFERROR(IF($D913="Manual Review","",IF($G913="","",IF($D913="Direct Expiry",$G913,EDATE($G913,$F913)))),"Check Date")</f>
        <v/>
      </c>
      <c r="I913" s="12" t="str">
        <f aca="true">IF($H913="","",IF(ISNUMBER($H913),$H913-TODAY(),""))</f>
        <v/>
      </c>
      <c r="J913" s="4" t="str">
        <f aca="true">IF($D913="Manual Review","Manual Review",IF($G913="","No Data",IF(NOT(ISNUMBER($H913)),"N/A",IF($H913&lt;TODAY(),"Overdue",IF($H913&lt;=TODAY()+30,"Due within 1 Month",IF($H913&lt;=TODAY()+60,"Due within 2 Months","OK"))))))</f>
        <v>No Data</v>
      </c>
      <c r="K913" s="13"/>
    </row>
    <row r="914" customFormat="false" ht="15" hidden="false" customHeight="false" outlineLevel="0" collapsed="false">
      <c r="A914" s="9" t="str">
        <f aca="false">Vessels!B13</f>
        <v>Vessel 09</v>
      </c>
      <c r="B914" s="9" t="s">
        <v>42</v>
      </c>
      <c r="C914" s="7" t="s">
        <v>56</v>
      </c>
      <c r="D914" s="9" t="s">
        <v>45</v>
      </c>
      <c r="E914" s="9" t="s">
        <v>46</v>
      </c>
      <c r="F914" s="5" t="n">
        <v>60</v>
      </c>
      <c r="G914" s="10"/>
      <c r="H914" s="11" t="str">
        <f aca="false">IFERROR(IF($D914="Manual Review","",IF($G914="","",IF($D914="Direct Expiry",$G914,EDATE($G914,$F914)))),"Check Date")</f>
        <v/>
      </c>
      <c r="I914" s="12" t="str">
        <f aca="true">IF($H914="","",IF(ISNUMBER($H914),$H914-TODAY(),""))</f>
        <v/>
      </c>
      <c r="J914" s="4" t="str">
        <f aca="true">IF($D914="Manual Review","Manual Review",IF($G914="","No Data",IF(NOT(ISNUMBER($H914)),"N/A",IF($H914&lt;TODAY(),"Overdue",IF($H914&lt;=TODAY()+30,"Due within 1 Month",IF($H914&lt;=TODAY()+60,"Due within 2 Months","OK"))))))</f>
        <v>No Data</v>
      </c>
      <c r="K914" s="13"/>
    </row>
    <row r="915" customFormat="false" ht="15" hidden="false" customHeight="false" outlineLevel="0" collapsed="false">
      <c r="A915" s="9" t="str">
        <f aca="false">Vessels!B13</f>
        <v>Vessel 09</v>
      </c>
      <c r="B915" s="9" t="s">
        <v>42</v>
      </c>
      <c r="C915" s="7" t="s">
        <v>57</v>
      </c>
      <c r="D915" s="9" t="s">
        <v>59</v>
      </c>
      <c r="E915" s="9" t="s">
        <v>58</v>
      </c>
      <c r="F915" s="5"/>
      <c r="G915" s="10"/>
      <c r="H915" s="11" t="str">
        <f aca="false">IFERROR(IF($D915="Manual Review","",IF($G915="","",IF($D915="Direct Expiry",$G915,EDATE($G915,$F915)))),"Check Date")</f>
        <v/>
      </c>
      <c r="I915" s="12" t="str">
        <f aca="true">IF($H915="","",IF(ISNUMBER($H915),$H915-TODAY(),""))</f>
        <v/>
      </c>
      <c r="J915" s="4" t="str">
        <f aca="true">IF($D915="Manual Review","Manual Review",IF($G915="","No Data",IF(NOT(ISNUMBER($H915)),"N/A",IF($H915&lt;TODAY(),"Overdue",IF($H915&lt;=TODAY()+30,"Due within 1 Month",IF($H915&lt;=TODAY()+60,"Due within 2 Months","OK"))))))</f>
        <v>No Data</v>
      </c>
      <c r="K915" s="13"/>
    </row>
    <row r="916" customFormat="false" ht="15" hidden="false" customHeight="false" outlineLevel="0" collapsed="false">
      <c r="A916" s="9" t="str">
        <f aca="false">Vessels!B13</f>
        <v>Vessel 09</v>
      </c>
      <c r="B916" s="9" t="s">
        <v>42</v>
      </c>
      <c r="C916" s="7" t="s">
        <v>60</v>
      </c>
      <c r="D916" s="9" t="s">
        <v>45</v>
      </c>
      <c r="E916" s="9" t="s">
        <v>44</v>
      </c>
      <c r="F916" s="5" t="n">
        <v>12</v>
      </c>
      <c r="G916" s="10"/>
      <c r="H916" s="11" t="str">
        <f aca="false">IFERROR(IF($D916="Manual Review","",IF($G916="","",IF($D916="Direct Expiry",$G916,EDATE($G916,$F916)))),"Check Date")</f>
        <v/>
      </c>
      <c r="I916" s="12" t="str">
        <f aca="true">IF($H916="","",IF(ISNUMBER($H916),$H916-TODAY(),""))</f>
        <v/>
      </c>
      <c r="J916" s="4" t="str">
        <f aca="true">IF($D916="Manual Review","Manual Review",IF($G916="","No Data",IF(NOT(ISNUMBER($H916)),"N/A",IF($H916&lt;TODAY(),"Overdue",IF($H916&lt;=TODAY()+30,"Due within 1 Month",IF($H916&lt;=TODAY()+60,"Due within 2 Months","OK"))))))</f>
        <v>No Data</v>
      </c>
      <c r="K916" s="13"/>
    </row>
    <row r="917" customFormat="false" ht="15" hidden="false" customHeight="false" outlineLevel="0" collapsed="false">
      <c r="A917" s="9" t="str">
        <f aca="false">Vessels!B13</f>
        <v>Vessel 09</v>
      </c>
      <c r="B917" s="9" t="s">
        <v>42</v>
      </c>
      <c r="C917" s="7" t="s">
        <v>60</v>
      </c>
      <c r="D917" s="9" t="s">
        <v>45</v>
      </c>
      <c r="E917" s="9" t="s">
        <v>46</v>
      </c>
      <c r="F917" s="5" t="n">
        <v>60</v>
      </c>
      <c r="G917" s="10"/>
      <c r="H917" s="11" t="str">
        <f aca="false">IFERROR(IF($D917="Manual Review","",IF($G917="","",IF($D917="Direct Expiry",$G917,EDATE($G917,$F917)))),"Check Date")</f>
        <v/>
      </c>
      <c r="I917" s="12" t="str">
        <f aca="true">IF($H917="","",IF(ISNUMBER($H917),$H917-TODAY(),""))</f>
        <v/>
      </c>
      <c r="J917" s="4" t="str">
        <f aca="true">IF($D917="Manual Review","Manual Review",IF($G917="","No Data",IF(NOT(ISNUMBER($H917)),"N/A",IF($H917&lt;TODAY(),"Overdue",IF($H917&lt;=TODAY()+30,"Due within 1 Month",IF($H917&lt;=TODAY()+60,"Due within 2 Months","OK"))))))</f>
        <v>No Data</v>
      </c>
      <c r="K917" s="13"/>
    </row>
    <row r="918" customFormat="false" ht="15" hidden="false" customHeight="false" outlineLevel="0" collapsed="false">
      <c r="A918" s="9" t="str">
        <f aca="false">Vessels!B13</f>
        <v>Vessel 09</v>
      </c>
      <c r="B918" s="9" t="s">
        <v>42</v>
      </c>
      <c r="C918" s="7" t="s">
        <v>61</v>
      </c>
      <c r="D918" s="9" t="s">
        <v>45</v>
      </c>
      <c r="E918" s="9" t="s">
        <v>44</v>
      </c>
      <c r="F918" s="5" t="n">
        <v>12</v>
      </c>
      <c r="G918" s="10"/>
      <c r="H918" s="11" t="str">
        <f aca="false">IFERROR(IF($D918="Manual Review","",IF($G918="","",IF($D918="Direct Expiry",$G918,EDATE($G918,$F918)))),"Check Date")</f>
        <v/>
      </c>
      <c r="I918" s="12" t="str">
        <f aca="true">IF($H918="","",IF(ISNUMBER($H918),$H918-TODAY(),""))</f>
        <v/>
      </c>
      <c r="J918" s="4" t="str">
        <f aca="true">IF($D918="Manual Review","Manual Review",IF($G918="","No Data",IF(NOT(ISNUMBER($H918)),"N/A",IF($H918&lt;TODAY(),"Overdue",IF($H918&lt;=TODAY()+30,"Due within 1 Month",IF($H918&lt;=TODAY()+60,"Due within 2 Months","OK"))))))</f>
        <v>No Data</v>
      </c>
      <c r="K918" s="13"/>
    </row>
    <row r="919" customFormat="false" ht="15" hidden="false" customHeight="false" outlineLevel="0" collapsed="false">
      <c r="A919" s="9" t="str">
        <f aca="false">Vessels!B13</f>
        <v>Vessel 09</v>
      </c>
      <c r="B919" s="9" t="s">
        <v>42</v>
      </c>
      <c r="C919" s="7" t="s">
        <v>61</v>
      </c>
      <c r="D919" s="9" t="s">
        <v>45</v>
      </c>
      <c r="E919" s="9" t="s">
        <v>46</v>
      </c>
      <c r="F919" s="5" t="n">
        <v>60</v>
      </c>
      <c r="G919" s="10"/>
      <c r="H919" s="11" t="str">
        <f aca="false">IFERROR(IF($D919="Manual Review","",IF($G919="","",IF($D919="Direct Expiry",$G919,EDATE($G919,$F919)))),"Check Date")</f>
        <v/>
      </c>
      <c r="I919" s="12" t="str">
        <f aca="true">IF($H919="","",IF(ISNUMBER($H919),$H919-TODAY(),""))</f>
        <v/>
      </c>
      <c r="J919" s="4" t="str">
        <f aca="true">IF($D919="Manual Review","Manual Review",IF($G919="","No Data",IF(NOT(ISNUMBER($H919)),"N/A",IF($H919&lt;TODAY(),"Overdue",IF($H919&lt;=TODAY()+30,"Due within 1 Month",IF($H919&lt;=TODAY()+60,"Due within 2 Months","OK"))))))</f>
        <v>No Data</v>
      </c>
      <c r="K919" s="13"/>
    </row>
    <row r="920" customFormat="false" ht="15" hidden="false" customHeight="false" outlineLevel="0" collapsed="false">
      <c r="A920" s="9" t="str">
        <f aca="false">Vessels!B13</f>
        <v>Vessel 09</v>
      </c>
      <c r="B920" s="9" t="s">
        <v>42</v>
      </c>
      <c r="C920" s="7" t="s">
        <v>62</v>
      </c>
      <c r="D920" s="9" t="s">
        <v>45</v>
      </c>
      <c r="E920" s="9" t="s">
        <v>44</v>
      </c>
      <c r="F920" s="5" t="n">
        <v>12</v>
      </c>
      <c r="G920" s="10"/>
      <c r="H920" s="11" t="str">
        <f aca="false">IFERROR(IF($D920="Manual Review","",IF($G920="","",IF($D920="Direct Expiry",$G920,EDATE($G920,$F920)))),"Check Date")</f>
        <v/>
      </c>
      <c r="I920" s="12" t="str">
        <f aca="true">IF($H920="","",IF(ISNUMBER($H920),$H920-TODAY(),""))</f>
        <v/>
      </c>
      <c r="J920" s="4" t="str">
        <f aca="true">IF($D920="Manual Review","Manual Review",IF($G920="","No Data",IF(NOT(ISNUMBER($H920)),"N/A",IF($H920&lt;TODAY(),"Overdue",IF($H920&lt;=TODAY()+30,"Due within 1 Month",IF($H920&lt;=TODAY()+60,"Due within 2 Months","OK"))))))</f>
        <v>No Data</v>
      </c>
      <c r="K920" s="13"/>
    </row>
    <row r="921" customFormat="false" ht="15" hidden="false" customHeight="false" outlineLevel="0" collapsed="false">
      <c r="A921" s="9" t="str">
        <f aca="false">Vessels!B13</f>
        <v>Vessel 09</v>
      </c>
      <c r="B921" s="9" t="s">
        <v>42</v>
      </c>
      <c r="C921" s="7" t="s">
        <v>62</v>
      </c>
      <c r="D921" s="9" t="s">
        <v>45</v>
      </c>
      <c r="E921" s="9" t="s">
        <v>49</v>
      </c>
      <c r="F921" s="5" t="n">
        <v>60</v>
      </c>
      <c r="G921" s="10"/>
      <c r="H921" s="11" t="str">
        <f aca="false">IFERROR(IF($D921="Manual Review","",IF($G921="","",IF($D921="Direct Expiry",$G921,EDATE($G921,$F921)))),"Check Date")</f>
        <v/>
      </c>
      <c r="I921" s="12" t="str">
        <f aca="true">IF($H921="","",IF(ISNUMBER($H921),$H921-TODAY(),""))</f>
        <v/>
      </c>
      <c r="J921" s="4" t="str">
        <f aca="true">IF($D921="Manual Review","Manual Review",IF($G921="","No Data",IF(NOT(ISNUMBER($H921)),"N/A",IF($H921&lt;TODAY(),"Overdue",IF($H921&lt;=TODAY()+30,"Due within 1 Month",IF($H921&lt;=TODAY()+60,"Due within 2 Months","OK"))))))</f>
        <v>No Data</v>
      </c>
      <c r="K921" s="13"/>
    </row>
    <row r="922" customFormat="false" ht="15" hidden="false" customHeight="false" outlineLevel="0" collapsed="false">
      <c r="A922" s="9" t="str">
        <f aca="false">Vessels!B13</f>
        <v>Vessel 09</v>
      </c>
      <c r="B922" s="9" t="s">
        <v>42</v>
      </c>
      <c r="C922" s="7" t="s">
        <v>63</v>
      </c>
      <c r="D922" s="9" t="s">
        <v>45</v>
      </c>
      <c r="E922" s="9" t="s">
        <v>44</v>
      </c>
      <c r="F922" s="5" t="n">
        <v>12</v>
      </c>
      <c r="G922" s="10"/>
      <c r="H922" s="11" t="str">
        <f aca="false">IFERROR(IF($D922="Manual Review","",IF($G922="","",IF($D922="Direct Expiry",$G922,EDATE($G922,$F922)))),"Check Date")</f>
        <v/>
      </c>
      <c r="I922" s="12" t="str">
        <f aca="true">IF($H922="","",IF(ISNUMBER($H922),$H922-TODAY(),""))</f>
        <v/>
      </c>
      <c r="J922" s="4" t="str">
        <f aca="true">IF($D922="Manual Review","Manual Review",IF($G922="","No Data",IF(NOT(ISNUMBER($H922)),"N/A",IF($H922&lt;TODAY(),"Overdue",IF($H922&lt;=TODAY()+30,"Due within 1 Month",IF($H922&lt;=TODAY()+60,"Due within 2 Months","OK"))))))</f>
        <v>No Data</v>
      </c>
      <c r="K922" s="13"/>
    </row>
    <row r="923" customFormat="false" ht="15" hidden="false" customHeight="false" outlineLevel="0" collapsed="false">
      <c r="A923" s="9" t="str">
        <f aca="false">Vessels!B13</f>
        <v>Vessel 09</v>
      </c>
      <c r="B923" s="9" t="s">
        <v>42</v>
      </c>
      <c r="C923" s="7" t="s">
        <v>63</v>
      </c>
      <c r="D923" s="9" t="s">
        <v>45</v>
      </c>
      <c r="E923" s="9" t="s">
        <v>49</v>
      </c>
      <c r="F923" s="5" t="n">
        <v>60</v>
      </c>
      <c r="G923" s="10"/>
      <c r="H923" s="11" t="str">
        <f aca="false">IFERROR(IF($D923="Manual Review","",IF($G923="","",IF($D923="Direct Expiry",$G923,EDATE($G923,$F923)))),"Check Date")</f>
        <v/>
      </c>
      <c r="I923" s="12" t="str">
        <f aca="true">IF($H923="","",IF(ISNUMBER($H923),$H923-TODAY(),""))</f>
        <v/>
      </c>
      <c r="J923" s="4" t="str">
        <f aca="true">IF($D923="Manual Review","Manual Review",IF($G923="","No Data",IF(NOT(ISNUMBER($H923)),"N/A",IF($H923&lt;TODAY(),"Overdue",IF($H923&lt;=TODAY()+30,"Due within 1 Month",IF($H923&lt;=TODAY()+60,"Due within 2 Months","OK"))))))</f>
        <v>No Data</v>
      </c>
      <c r="K923" s="13"/>
    </row>
    <row r="924" customFormat="false" ht="15" hidden="false" customHeight="false" outlineLevel="0" collapsed="false">
      <c r="A924" s="9" t="str">
        <f aca="false">Vessels!B13</f>
        <v>Vessel 09</v>
      </c>
      <c r="B924" s="9" t="s">
        <v>42</v>
      </c>
      <c r="C924" s="7" t="s">
        <v>64</v>
      </c>
      <c r="D924" s="9" t="s">
        <v>45</v>
      </c>
      <c r="E924" s="9" t="s">
        <v>46</v>
      </c>
      <c r="F924" s="5" t="n">
        <v>60</v>
      </c>
      <c r="G924" s="10"/>
      <c r="H924" s="11" t="str">
        <f aca="false">IFERROR(IF($D924="Manual Review","",IF($G924="","",IF($D924="Direct Expiry",$G924,EDATE($G924,$F924)))),"Check Date")</f>
        <v/>
      </c>
      <c r="I924" s="12" t="str">
        <f aca="true">IF($H924="","",IF(ISNUMBER($H924),$H924-TODAY(),""))</f>
        <v/>
      </c>
      <c r="J924" s="4" t="str">
        <f aca="true">IF($D924="Manual Review","Manual Review",IF($G924="","No Data",IF(NOT(ISNUMBER($H924)),"N/A",IF($H924&lt;TODAY(),"Overdue",IF($H924&lt;=TODAY()+30,"Due within 1 Month",IF($H924&lt;=TODAY()+60,"Due within 2 Months","OK"))))))</f>
        <v>No Data</v>
      </c>
      <c r="K924" s="13"/>
    </row>
    <row r="925" customFormat="false" ht="15" hidden="false" customHeight="false" outlineLevel="0" collapsed="false">
      <c r="A925" s="9" t="str">
        <f aca="false">Vessels!B13</f>
        <v>Vessel 09</v>
      </c>
      <c r="B925" s="9" t="s">
        <v>42</v>
      </c>
      <c r="C925" s="7" t="s">
        <v>65</v>
      </c>
      <c r="D925" s="9" t="s">
        <v>45</v>
      </c>
      <c r="E925" s="9" t="s">
        <v>46</v>
      </c>
      <c r="F925" s="5" t="n">
        <v>60</v>
      </c>
      <c r="G925" s="10"/>
      <c r="H925" s="11" t="str">
        <f aca="false">IFERROR(IF($D925="Manual Review","",IF($G925="","",IF($D925="Direct Expiry",$G925,EDATE($G925,$F925)))),"Check Date")</f>
        <v/>
      </c>
      <c r="I925" s="12" t="str">
        <f aca="true">IF($H925="","",IF(ISNUMBER($H925),$H925-TODAY(),""))</f>
        <v/>
      </c>
      <c r="J925" s="4" t="str">
        <f aca="true">IF($D925="Manual Review","Manual Review",IF($G925="","No Data",IF(NOT(ISNUMBER($H925)),"N/A",IF($H925&lt;TODAY(),"Overdue",IF($H925&lt;=TODAY()+30,"Due within 1 Month",IF($H925&lt;=TODAY()+60,"Due within 2 Months","OK"))))))</f>
        <v>No Data</v>
      </c>
      <c r="K925" s="13"/>
    </row>
    <row r="926" customFormat="false" ht="15" hidden="false" customHeight="false" outlineLevel="0" collapsed="false">
      <c r="A926" s="9" t="str">
        <f aca="false">Vessels!B13</f>
        <v>Vessel 09</v>
      </c>
      <c r="B926" s="9" t="s">
        <v>42</v>
      </c>
      <c r="C926" s="7" t="s">
        <v>66</v>
      </c>
      <c r="D926" s="9" t="s">
        <v>45</v>
      </c>
      <c r="E926" s="9" t="s">
        <v>46</v>
      </c>
      <c r="F926" s="5" t="n">
        <v>60</v>
      </c>
      <c r="G926" s="10"/>
      <c r="H926" s="11" t="str">
        <f aca="false">IFERROR(IF($D926="Manual Review","",IF($G926="","",IF($D926="Direct Expiry",$G926,EDATE($G926,$F926)))),"Check Date")</f>
        <v/>
      </c>
      <c r="I926" s="12" t="str">
        <f aca="true">IF($H926="","",IF(ISNUMBER($H926),$H926-TODAY(),""))</f>
        <v/>
      </c>
      <c r="J926" s="4" t="str">
        <f aca="true">IF($D926="Manual Review","Manual Review",IF($G926="","No Data",IF(NOT(ISNUMBER($H926)),"N/A",IF($H926&lt;TODAY(),"Overdue",IF($H926&lt;=TODAY()+30,"Due within 1 Month",IF($H926&lt;=TODAY()+60,"Due within 2 Months","OK"))))))</f>
        <v>No Data</v>
      </c>
      <c r="K926" s="13"/>
    </row>
    <row r="927" customFormat="false" ht="15" hidden="false" customHeight="false" outlineLevel="0" collapsed="false">
      <c r="A927" s="9" t="str">
        <f aca="false">Vessels!B13</f>
        <v>Vessel 09</v>
      </c>
      <c r="B927" s="9" t="s">
        <v>42</v>
      </c>
      <c r="C927" s="7" t="s">
        <v>67</v>
      </c>
      <c r="D927" s="9" t="s">
        <v>45</v>
      </c>
      <c r="E927" s="9" t="s">
        <v>46</v>
      </c>
      <c r="F927" s="5" t="n">
        <v>60</v>
      </c>
      <c r="G927" s="10"/>
      <c r="H927" s="11" t="str">
        <f aca="false">IFERROR(IF($D927="Manual Review","",IF($G927="","",IF($D927="Direct Expiry",$G927,EDATE($G927,$F927)))),"Check Date")</f>
        <v/>
      </c>
      <c r="I927" s="12" t="str">
        <f aca="true">IF($H927="","",IF(ISNUMBER($H927),$H927-TODAY(),""))</f>
        <v/>
      </c>
      <c r="J927" s="4" t="str">
        <f aca="true">IF($D927="Manual Review","Manual Review",IF($G927="","No Data",IF(NOT(ISNUMBER($H927)),"N/A",IF($H927&lt;TODAY(),"Overdue",IF($H927&lt;=TODAY()+30,"Due within 1 Month",IF($H927&lt;=TODAY()+60,"Due within 2 Months","OK"))))))</f>
        <v>No Data</v>
      </c>
      <c r="K927" s="13"/>
    </row>
    <row r="928" customFormat="false" ht="15" hidden="false" customHeight="false" outlineLevel="0" collapsed="false">
      <c r="A928" s="9" t="str">
        <f aca="false">Vessels!B13</f>
        <v>Vessel 09</v>
      </c>
      <c r="B928" s="9" t="s">
        <v>42</v>
      </c>
      <c r="C928" s="7" t="s">
        <v>68</v>
      </c>
      <c r="D928" s="9" t="s">
        <v>45</v>
      </c>
      <c r="E928" s="9" t="s">
        <v>46</v>
      </c>
      <c r="F928" s="5" t="n">
        <v>60</v>
      </c>
      <c r="G928" s="10"/>
      <c r="H928" s="11" t="str">
        <f aca="false">IFERROR(IF($D928="Manual Review","",IF($G928="","",IF($D928="Direct Expiry",$G928,EDATE($G928,$F928)))),"Check Date")</f>
        <v/>
      </c>
      <c r="I928" s="12" t="str">
        <f aca="true">IF($H928="","",IF(ISNUMBER($H928),$H928-TODAY(),""))</f>
        <v/>
      </c>
      <c r="J928" s="4" t="str">
        <f aca="true">IF($D928="Manual Review","Manual Review",IF($G928="","No Data",IF(NOT(ISNUMBER($H928)),"N/A",IF($H928&lt;TODAY(),"Overdue",IF($H928&lt;=TODAY()+30,"Due within 1 Month",IF($H928&lt;=TODAY()+60,"Due within 2 Months","OK"))))))</f>
        <v>No Data</v>
      </c>
      <c r="K928" s="13"/>
    </row>
    <row r="929" customFormat="false" ht="15" hidden="false" customHeight="false" outlineLevel="0" collapsed="false">
      <c r="A929" s="9" t="str">
        <f aca="false">Vessels!B13</f>
        <v>Vessel 09</v>
      </c>
      <c r="B929" s="9" t="s">
        <v>42</v>
      </c>
      <c r="C929" s="7" t="s">
        <v>69</v>
      </c>
      <c r="D929" s="9" t="s">
        <v>45</v>
      </c>
      <c r="E929" s="9" t="s">
        <v>46</v>
      </c>
      <c r="F929" s="5" t="n">
        <v>60</v>
      </c>
      <c r="G929" s="10"/>
      <c r="H929" s="11" t="str">
        <f aca="false">IFERROR(IF($D929="Manual Review","",IF($G929="","",IF($D929="Direct Expiry",$G929,EDATE($G929,$F929)))),"Check Date")</f>
        <v/>
      </c>
      <c r="I929" s="12" t="str">
        <f aca="true">IF($H929="","",IF(ISNUMBER($H929),$H929-TODAY(),""))</f>
        <v/>
      </c>
      <c r="J929" s="4" t="str">
        <f aca="true">IF($D929="Manual Review","Manual Review",IF($G929="","No Data",IF(NOT(ISNUMBER($H929)),"N/A",IF($H929&lt;TODAY(),"Overdue",IF($H929&lt;=TODAY()+30,"Due within 1 Month",IF($H929&lt;=TODAY()+60,"Due within 2 Months","OK"))))))</f>
        <v>No Data</v>
      </c>
      <c r="K929" s="13"/>
    </row>
    <row r="930" customFormat="false" ht="15" hidden="false" customHeight="false" outlineLevel="0" collapsed="false">
      <c r="A930" s="9" t="str">
        <f aca="false">Vessels!B13</f>
        <v>Vessel 09</v>
      </c>
      <c r="B930" s="9" t="s">
        <v>42</v>
      </c>
      <c r="C930" s="7" t="s">
        <v>70</v>
      </c>
      <c r="D930" s="9" t="s">
        <v>59</v>
      </c>
      <c r="E930" s="9" t="s">
        <v>58</v>
      </c>
      <c r="F930" s="5"/>
      <c r="G930" s="10"/>
      <c r="H930" s="11" t="str">
        <f aca="false">IFERROR(IF($D930="Manual Review","",IF($G930="","",IF($D930="Direct Expiry",$G930,EDATE($G930,$F930)))),"Check Date")</f>
        <v/>
      </c>
      <c r="I930" s="12" t="str">
        <f aca="true">IF($H930="","",IF(ISNUMBER($H930),$H930-TODAY(),""))</f>
        <v/>
      </c>
      <c r="J930" s="4" t="str">
        <f aca="true">IF($D930="Manual Review","Manual Review",IF($G930="","No Data",IF(NOT(ISNUMBER($H930)),"N/A",IF($H930&lt;TODAY(),"Overdue",IF($H930&lt;=TODAY()+30,"Due within 1 Month",IF($H930&lt;=TODAY()+60,"Due within 2 Months","OK"))))))</f>
        <v>No Data</v>
      </c>
      <c r="K930" s="13"/>
    </row>
    <row r="931" customFormat="false" ht="15" hidden="false" customHeight="false" outlineLevel="0" collapsed="false">
      <c r="A931" s="9" t="str">
        <f aca="false">Vessels!B13</f>
        <v>Vessel 09</v>
      </c>
      <c r="B931" s="9" t="s">
        <v>42</v>
      </c>
      <c r="C931" s="7" t="s">
        <v>71</v>
      </c>
      <c r="D931" s="9" t="s">
        <v>45</v>
      </c>
      <c r="E931" s="9" t="s">
        <v>44</v>
      </c>
      <c r="F931" s="5" t="n">
        <v>12</v>
      </c>
      <c r="G931" s="10"/>
      <c r="H931" s="11" t="str">
        <f aca="false">IFERROR(IF($D931="Manual Review","",IF($G931="","",IF($D931="Direct Expiry",$G931,EDATE($G931,$F931)))),"Check Date")</f>
        <v/>
      </c>
      <c r="I931" s="12" t="str">
        <f aca="true">IF($H931="","",IF(ISNUMBER($H931),$H931-TODAY(),""))</f>
        <v/>
      </c>
      <c r="J931" s="4" t="str">
        <f aca="true">IF($D931="Manual Review","Manual Review",IF($G931="","No Data",IF(NOT(ISNUMBER($H931)),"N/A",IF($H931&lt;TODAY(),"Overdue",IF($H931&lt;=TODAY()+30,"Due within 1 Month",IF($H931&lt;=TODAY()+60,"Due within 2 Months","OK"))))))</f>
        <v>No Data</v>
      </c>
      <c r="K931" s="13"/>
    </row>
    <row r="932" customFormat="false" ht="15" hidden="false" customHeight="false" outlineLevel="0" collapsed="false">
      <c r="A932" s="9" t="str">
        <f aca="false">Vessels!B13</f>
        <v>Vessel 09</v>
      </c>
      <c r="B932" s="9" t="s">
        <v>42</v>
      </c>
      <c r="C932" s="7" t="s">
        <v>72</v>
      </c>
      <c r="D932" s="9" t="s">
        <v>59</v>
      </c>
      <c r="E932" s="9" t="s">
        <v>58</v>
      </c>
      <c r="F932" s="5"/>
      <c r="G932" s="10"/>
      <c r="H932" s="11" t="str">
        <f aca="false">IFERROR(IF($D932="Manual Review","",IF($G932="","",IF($D932="Direct Expiry",$G932,EDATE($G932,$F932)))),"Check Date")</f>
        <v/>
      </c>
      <c r="I932" s="12" t="str">
        <f aca="true">IF($H932="","",IF(ISNUMBER($H932),$H932-TODAY(),""))</f>
        <v/>
      </c>
      <c r="J932" s="4" t="str">
        <f aca="true">IF($D932="Manual Review","Manual Review",IF($G932="","No Data",IF(NOT(ISNUMBER($H932)),"N/A",IF($H932&lt;TODAY(),"Overdue",IF($H932&lt;=TODAY()+30,"Due within 1 Month",IF($H932&lt;=TODAY()+60,"Due within 2 Months","OK"))))))</f>
        <v>No Data</v>
      </c>
      <c r="K932" s="13"/>
    </row>
    <row r="933" customFormat="false" ht="15" hidden="false" customHeight="false" outlineLevel="0" collapsed="false">
      <c r="A933" s="9" t="str">
        <f aca="false">Vessels!B13</f>
        <v>Vessel 09</v>
      </c>
      <c r="B933" s="9" t="s">
        <v>42</v>
      </c>
      <c r="C933" s="7" t="s">
        <v>73</v>
      </c>
      <c r="D933" s="9" t="s">
        <v>45</v>
      </c>
      <c r="E933" s="9" t="s">
        <v>44</v>
      </c>
      <c r="F933" s="5" t="n">
        <v>12</v>
      </c>
      <c r="G933" s="10"/>
      <c r="H933" s="11" t="str">
        <f aca="false">IFERROR(IF($D933="Manual Review","",IF($G933="","",IF($D933="Direct Expiry",$G933,EDATE($G933,$F933)))),"Check Date")</f>
        <v/>
      </c>
      <c r="I933" s="12" t="str">
        <f aca="true">IF($H933="","",IF(ISNUMBER($H933),$H933-TODAY(),""))</f>
        <v/>
      </c>
      <c r="J933" s="4" t="str">
        <f aca="true">IF($D933="Manual Review","Manual Review",IF($G933="","No Data",IF(NOT(ISNUMBER($H933)),"N/A",IF($H933&lt;TODAY(),"Overdue",IF($H933&lt;=TODAY()+30,"Due within 1 Month",IF($H933&lt;=TODAY()+60,"Due within 2 Months","OK"))))))</f>
        <v>No Data</v>
      </c>
      <c r="K933" s="13"/>
    </row>
    <row r="934" customFormat="false" ht="15" hidden="false" customHeight="false" outlineLevel="0" collapsed="false">
      <c r="A934" s="9" t="str">
        <f aca="false">Vessels!B13</f>
        <v>Vessel 09</v>
      </c>
      <c r="B934" s="9" t="s">
        <v>42</v>
      </c>
      <c r="C934" s="7" t="s">
        <v>74</v>
      </c>
      <c r="D934" s="9" t="s">
        <v>59</v>
      </c>
      <c r="E934" s="9" t="s">
        <v>58</v>
      </c>
      <c r="F934" s="5"/>
      <c r="G934" s="10"/>
      <c r="H934" s="11" t="str">
        <f aca="false">IFERROR(IF($D934="Manual Review","",IF($G934="","",IF($D934="Direct Expiry",$G934,EDATE($G934,$F934)))),"Check Date")</f>
        <v/>
      </c>
      <c r="I934" s="12" t="str">
        <f aca="true">IF($H934="","",IF(ISNUMBER($H934),$H934-TODAY(),""))</f>
        <v/>
      </c>
      <c r="J934" s="4" t="str">
        <f aca="true">IF($D934="Manual Review","Manual Review",IF($G934="","No Data",IF(NOT(ISNUMBER($H934)),"N/A",IF($H934&lt;TODAY(),"Overdue",IF($H934&lt;=TODAY()+30,"Due within 1 Month",IF($H934&lt;=TODAY()+60,"Due within 2 Months","OK"))))))</f>
        <v>No Data</v>
      </c>
      <c r="K934" s="13"/>
    </row>
    <row r="935" customFormat="false" ht="15" hidden="false" customHeight="false" outlineLevel="0" collapsed="false">
      <c r="A935" s="9" t="str">
        <f aca="false">Vessels!B13</f>
        <v>Vessel 09</v>
      </c>
      <c r="B935" s="9" t="s">
        <v>42</v>
      </c>
      <c r="C935" s="7" t="s">
        <v>75</v>
      </c>
      <c r="D935" s="9" t="s">
        <v>45</v>
      </c>
      <c r="E935" s="9" t="s">
        <v>44</v>
      </c>
      <c r="F935" s="5" t="n">
        <v>12</v>
      </c>
      <c r="G935" s="10"/>
      <c r="H935" s="11" t="str">
        <f aca="false">IFERROR(IF($D935="Manual Review","",IF($G935="","",IF($D935="Direct Expiry",$G935,EDATE($G935,$F935)))),"Check Date")</f>
        <v/>
      </c>
      <c r="I935" s="12" t="str">
        <f aca="true">IF($H935="","",IF(ISNUMBER($H935),$H935-TODAY(),""))</f>
        <v/>
      </c>
      <c r="J935" s="4" t="str">
        <f aca="true">IF($D935="Manual Review","Manual Review",IF($G935="","No Data",IF(NOT(ISNUMBER($H935)),"N/A",IF($H935&lt;TODAY(),"Overdue",IF($H935&lt;=TODAY()+30,"Due within 1 Month",IF($H935&lt;=TODAY()+60,"Due within 2 Months","OK"))))))</f>
        <v>No Data</v>
      </c>
      <c r="K935" s="13"/>
    </row>
    <row r="936" customFormat="false" ht="15" hidden="false" customHeight="false" outlineLevel="0" collapsed="false">
      <c r="A936" s="9" t="str">
        <f aca="false">Vessels!B13</f>
        <v>Vessel 09</v>
      </c>
      <c r="B936" s="9" t="s">
        <v>42</v>
      </c>
      <c r="C936" s="7" t="s">
        <v>76</v>
      </c>
      <c r="D936" s="9" t="s">
        <v>59</v>
      </c>
      <c r="E936" s="9" t="s">
        <v>58</v>
      </c>
      <c r="F936" s="5"/>
      <c r="G936" s="10"/>
      <c r="H936" s="11" t="str">
        <f aca="false">IFERROR(IF($D936="Manual Review","",IF($G936="","",IF($D936="Direct Expiry",$G936,EDATE($G936,$F936)))),"Check Date")</f>
        <v/>
      </c>
      <c r="I936" s="12" t="str">
        <f aca="true">IF($H936="","",IF(ISNUMBER($H936),$H936-TODAY(),""))</f>
        <v/>
      </c>
      <c r="J936" s="4" t="str">
        <f aca="true">IF($D936="Manual Review","Manual Review",IF($G936="","No Data",IF(NOT(ISNUMBER($H936)),"N/A",IF($H936&lt;TODAY(),"Overdue",IF($H936&lt;=TODAY()+30,"Due within 1 Month",IF($H936&lt;=TODAY()+60,"Due within 2 Months","OK"))))))</f>
        <v>No Data</v>
      </c>
      <c r="K936" s="13"/>
    </row>
    <row r="937" customFormat="false" ht="15" hidden="false" customHeight="false" outlineLevel="0" collapsed="false">
      <c r="A937" s="9" t="str">
        <f aca="false">Vessels!B13</f>
        <v>Vessel 09</v>
      </c>
      <c r="B937" s="9" t="s">
        <v>42</v>
      </c>
      <c r="C937" s="7" t="s">
        <v>77</v>
      </c>
      <c r="D937" s="9" t="s">
        <v>59</v>
      </c>
      <c r="E937" s="9" t="s">
        <v>58</v>
      </c>
      <c r="F937" s="5"/>
      <c r="G937" s="10"/>
      <c r="H937" s="11" t="str">
        <f aca="false">IFERROR(IF($D937="Manual Review","",IF($G937="","",IF($D937="Direct Expiry",$G937,EDATE($G937,$F937)))),"Check Date")</f>
        <v/>
      </c>
      <c r="I937" s="12" t="str">
        <f aca="true">IF($H937="","",IF(ISNUMBER($H937),$H937-TODAY(),""))</f>
        <v/>
      </c>
      <c r="J937" s="4" t="str">
        <f aca="true">IF($D937="Manual Review","Manual Review",IF($G937="","No Data",IF(NOT(ISNUMBER($H937)),"N/A",IF($H937&lt;TODAY(),"Overdue",IF($H937&lt;=TODAY()+30,"Due within 1 Month",IF($H937&lt;=TODAY()+60,"Due within 2 Months","OK"))))))</f>
        <v>No Data</v>
      </c>
      <c r="K937" s="13"/>
    </row>
    <row r="938" customFormat="false" ht="15" hidden="false" customHeight="false" outlineLevel="0" collapsed="false">
      <c r="A938" s="9" t="str">
        <f aca="false">Vessels!B13</f>
        <v>Vessel 09</v>
      </c>
      <c r="B938" s="9" t="s">
        <v>42</v>
      </c>
      <c r="C938" s="7" t="s">
        <v>78</v>
      </c>
      <c r="D938" s="9" t="s">
        <v>59</v>
      </c>
      <c r="E938" s="9" t="s">
        <v>58</v>
      </c>
      <c r="F938" s="5"/>
      <c r="G938" s="10"/>
      <c r="H938" s="11" t="str">
        <f aca="false">IFERROR(IF($D938="Manual Review","",IF($G938="","",IF($D938="Direct Expiry",$G938,EDATE($G938,$F938)))),"Check Date")</f>
        <v/>
      </c>
      <c r="I938" s="12" t="str">
        <f aca="true">IF($H938="","",IF(ISNUMBER($H938),$H938-TODAY(),""))</f>
        <v/>
      </c>
      <c r="J938" s="4" t="str">
        <f aca="true">IF($D938="Manual Review","Manual Review",IF($G938="","No Data",IF(NOT(ISNUMBER($H938)),"N/A",IF($H938&lt;TODAY(),"Overdue",IF($H938&lt;=TODAY()+30,"Due within 1 Month",IF($H938&lt;=TODAY()+60,"Due within 2 Months","OK"))))))</f>
        <v>No Data</v>
      </c>
      <c r="K938" s="13"/>
    </row>
    <row r="939" customFormat="false" ht="15" hidden="false" customHeight="false" outlineLevel="0" collapsed="false">
      <c r="A939" s="9" t="str">
        <f aca="false">Vessels!B13</f>
        <v>Vessel 09</v>
      </c>
      <c r="B939" s="9" t="s">
        <v>42</v>
      </c>
      <c r="C939" s="7" t="s">
        <v>79</v>
      </c>
      <c r="D939" s="9" t="s">
        <v>45</v>
      </c>
      <c r="E939" s="9" t="s">
        <v>44</v>
      </c>
      <c r="F939" s="5" t="n">
        <v>12</v>
      </c>
      <c r="G939" s="10"/>
      <c r="H939" s="11" t="str">
        <f aca="false">IFERROR(IF($D939="Manual Review","",IF($G939="","",IF($D939="Direct Expiry",$G939,EDATE($G939,$F939)))),"Check Date")</f>
        <v/>
      </c>
      <c r="I939" s="12" t="str">
        <f aca="true">IF($H939="","",IF(ISNUMBER($H939),$H939-TODAY(),""))</f>
        <v/>
      </c>
      <c r="J939" s="4" t="str">
        <f aca="true">IF($D939="Manual Review","Manual Review",IF($G939="","No Data",IF(NOT(ISNUMBER($H939)),"N/A",IF($H939&lt;TODAY(),"Overdue",IF($H939&lt;=TODAY()+30,"Due within 1 Month",IF($H939&lt;=TODAY()+60,"Due within 2 Months","OK"))))))</f>
        <v>No Data</v>
      </c>
      <c r="K939" s="13"/>
    </row>
    <row r="940" customFormat="false" ht="15" hidden="false" customHeight="false" outlineLevel="0" collapsed="false">
      <c r="A940" s="9" t="str">
        <f aca="false">Vessels!B13</f>
        <v>Vessel 09</v>
      </c>
      <c r="B940" s="9" t="s">
        <v>42</v>
      </c>
      <c r="C940" s="7" t="s">
        <v>80</v>
      </c>
      <c r="D940" s="9" t="s">
        <v>45</v>
      </c>
      <c r="E940" s="9" t="s">
        <v>81</v>
      </c>
      <c r="F940" s="5" t="n">
        <v>36</v>
      </c>
      <c r="G940" s="10"/>
      <c r="H940" s="11" t="str">
        <f aca="false">IFERROR(IF($D940="Manual Review","",IF($G940="","",IF($D940="Direct Expiry",$G940,EDATE($G940,$F940)))),"Check Date")</f>
        <v/>
      </c>
      <c r="I940" s="12" t="str">
        <f aca="true">IF($H940="","",IF(ISNUMBER($H940),$H940-TODAY(),""))</f>
        <v/>
      </c>
      <c r="J940" s="4" t="str">
        <f aca="true">IF($D940="Manual Review","Manual Review",IF($G940="","No Data",IF(NOT(ISNUMBER($H940)),"N/A",IF($H940&lt;TODAY(),"Overdue",IF($H940&lt;=TODAY()+30,"Due within 1 Month",IF($H940&lt;=TODAY()+60,"Due within 2 Months","OK"))))))</f>
        <v>No Data</v>
      </c>
      <c r="K940" s="13"/>
    </row>
    <row r="941" customFormat="false" ht="15" hidden="false" customHeight="false" outlineLevel="0" collapsed="false">
      <c r="A941" s="9" t="str">
        <f aca="false">Vessels!B13</f>
        <v>Vessel 09</v>
      </c>
      <c r="B941" s="9" t="s">
        <v>42</v>
      </c>
      <c r="C941" s="7" t="s">
        <v>80</v>
      </c>
      <c r="D941" s="9" t="s">
        <v>45</v>
      </c>
      <c r="E941" s="9" t="s">
        <v>82</v>
      </c>
      <c r="F941" s="5" t="n">
        <v>24</v>
      </c>
      <c r="G941" s="10"/>
      <c r="H941" s="11" t="str">
        <f aca="false">IFERROR(IF($D941="Manual Review","",IF($G941="","",IF($D941="Direct Expiry",$G941,EDATE($G941,$F941)))),"Check Date")</f>
        <v/>
      </c>
      <c r="I941" s="12" t="str">
        <f aca="true">IF($H941="","",IF(ISNUMBER($H941),$H941-TODAY(),""))</f>
        <v/>
      </c>
      <c r="J941" s="4" t="str">
        <f aca="true">IF($D941="Manual Review","Manual Review",IF($G941="","No Data",IF(NOT(ISNUMBER($H941)),"N/A",IF($H941&lt;TODAY(),"Overdue",IF($H941&lt;=TODAY()+30,"Due within 1 Month",IF($H941&lt;=TODAY()+60,"Due within 2 Months","OK"))))))</f>
        <v>No Data</v>
      </c>
      <c r="K941" s="13"/>
    </row>
    <row r="942" customFormat="false" ht="15" hidden="false" customHeight="false" outlineLevel="0" collapsed="false">
      <c r="A942" s="9" t="str">
        <f aca="false">Vessels!B13</f>
        <v>Vessel 09</v>
      </c>
      <c r="B942" s="9" t="s">
        <v>42</v>
      </c>
      <c r="C942" s="7" t="s">
        <v>83</v>
      </c>
      <c r="D942" s="9" t="s">
        <v>45</v>
      </c>
      <c r="E942" s="9" t="s">
        <v>44</v>
      </c>
      <c r="F942" s="5" t="n">
        <v>12</v>
      </c>
      <c r="G942" s="10"/>
      <c r="H942" s="11" t="str">
        <f aca="false">IFERROR(IF($D942="Manual Review","",IF($G942="","",IF($D942="Direct Expiry",$G942,EDATE($G942,$F942)))),"Check Date")</f>
        <v/>
      </c>
      <c r="I942" s="12" t="str">
        <f aca="true">IF($H942="","",IF(ISNUMBER($H942),$H942-TODAY(),""))</f>
        <v/>
      </c>
      <c r="J942" s="4" t="str">
        <f aca="true">IF($D942="Manual Review","Manual Review",IF($G942="","No Data",IF(NOT(ISNUMBER($H942)),"N/A",IF($H942&lt;TODAY(),"Overdue",IF($H942&lt;=TODAY()+30,"Due within 1 Month",IF($H942&lt;=TODAY()+60,"Due within 2 Months","OK"))))))</f>
        <v>No Data</v>
      </c>
      <c r="K942" s="13"/>
    </row>
    <row r="943" customFormat="false" ht="15" hidden="false" customHeight="false" outlineLevel="0" collapsed="false">
      <c r="A943" s="9" t="str">
        <f aca="false">Vessels!B13</f>
        <v>Vessel 09</v>
      </c>
      <c r="B943" s="9" t="s">
        <v>42</v>
      </c>
      <c r="C943" s="7" t="s">
        <v>83</v>
      </c>
      <c r="D943" s="9" t="s">
        <v>45</v>
      </c>
      <c r="E943" s="9" t="s">
        <v>84</v>
      </c>
      <c r="F943" s="5" t="n">
        <v>60</v>
      </c>
      <c r="G943" s="10"/>
      <c r="H943" s="11" t="str">
        <f aca="false">IFERROR(IF($D943="Manual Review","",IF($G943="","",IF($D943="Direct Expiry",$G943,EDATE($G943,$F943)))),"Check Date")</f>
        <v/>
      </c>
      <c r="I943" s="12" t="str">
        <f aca="true">IF($H943="","",IF(ISNUMBER($H943),$H943-TODAY(),""))</f>
        <v/>
      </c>
      <c r="J943" s="4" t="str">
        <f aca="true">IF($D943="Manual Review","Manual Review",IF($G943="","No Data",IF(NOT(ISNUMBER($H943)),"N/A",IF($H943&lt;TODAY(),"Overdue",IF($H943&lt;=TODAY()+30,"Due within 1 Month",IF($H943&lt;=TODAY()+60,"Due within 2 Months","OK"))))))</f>
        <v>No Data</v>
      </c>
      <c r="K943" s="13"/>
    </row>
    <row r="944" customFormat="false" ht="15" hidden="false" customHeight="false" outlineLevel="0" collapsed="false">
      <c r="A944" s="9" t="str">
        <f aca="false">Vessels!B13</f>
        <v>Vessel 09</v>
      </c>
      <c r="B944" s="9" t="s">
        <v>42</v>
      </c>
      <c r="C944" s="7" t="s">
        <v>85</v>
      </c>
      <c r="D944" s="9" t="s">
        <v>45</v>
      </c>
      <c r="E944" s="9" t="s">
        <v>44</v>
      </c>
      <c r="F944" s="5" t="n">
        <v>12</v>
      </c>
      <c r="G944" s="10"/>
      <c r="H944" s="11" t="str">
        <f aca="false">IFERROR(IF($D944="Manual Review","",IF($G944="","",IF($D944="Direct Expiry",$G944,EDATE($G944,$F944)))),"Check Date")</f>
        <v/>
      </c>
      <c r="I944" s="12" t="str">
        <f aca="true">IF($H944="","",IF(ISNUMBER($H944),$H944-TODAY(),""))</f>
        <v/>
      </c>
      <c r="J944" s="4" t="str">
        <f aca="true">IF($D944="Manual Review","Manual Review",IF($G944="","No Data",IF(NOT(ISNUMBER($H944)),"N/A",IF($H944&lt;TODAY(),"Overdue",IF($H944&lt;=TODAY()+30,"Due within 1 Month",IF($H944&lt;=TODAY()+60,"Due within 2 Months","OK"))))))</f>
        <v>No Data</v>
      </c>
      <c r="K944" s="13"/>
    </row>
    <row r="945" customFormat="false" ht="15" hidden="false" customHeight="false" outlineLevel="0" collapsed="false">
      <c r="A945" s="9" t="str">
        <f aca="false">Vessels!B13</f>
        <v>Vessel 09</v>
      </c>
      <c r="B945" s="9" t="s">
        <v>42</v>
      </c>
      <c r="C945" s="7" t="s">
        <v>85</v>
      </c>
      <c r="D945" s="9" t="s">
        <v>45</v>
      </c>
      <c r="E945" s="9" t="s">
        <v>84</v>
      </c>
      <c r="F945" s="5" t="n">
        <v>60</v>
      </c>
      <c r="G945" s="10"/>
      <c r="H945" s="11" t="str">
        <f aca="false">IFERROR(IF($D945="Manual Review","",IF($G945="","",IF($D945="Direct Expiry",$G945,EDATE($G945,$F945)))),"Check Date")</f>
        <v/>
      </c>
      <c r="I945" s="12" t="str">
        <f aca="true">IF($H945="","",IF(ISNUMBER($H945),$H945-TODAY(),""))</f>
        <v/>
      </c>
      <c r="J945" s="4" t="str">
        <f aca="true">IF($D945="Manual Review","Manual Review",IF($G945="","No Data",IF(NOT(ISNUMBER($H945)),"N/A",IF($H945&lt;TODAY(),"Overdue",IF($H945&lt;=TODAY()+30,"Due within 1 Month",IF($H945&lt;=TODAY()+60,"Due within 2 Months","OK"))))))</f>
        <v>No Data</v>
      </c>
      <c r="K945" s="13"/>
    </row>
    <row r="946" customFormat="false" ht="15" hidden="false" customHeight="false" outlineLevel="0" collapsed="false">
      <c r="A946" s="9" t="str">
        <f aca="false">Vessels!B13</f>
        <v>Vessel 09</v>
      </c>
      <c r="B946" s="9" t="s">
        <v>42</v>
      </c>
      <c r="C946" s="7" t="s">
        <v>86</v>
      </c>
      <c r="D946" s="9" t="s">
        <v>45</v>
      </c>
      <c r="E946" s="9" t="s">
        <v>44</v>
      </c>
      <c r="F946" s="5" t="n">
        <v>12</v>
      </c>
      <c r="G946" s="10"/>
      <c r="H946" s="11" t="str">
        <f aca="false">IFERROR(IF($D946="Manual Review","",IF($G946="","",IF($D946="Direct Expiry",$G946,EDATE($G946,$F946)))),"Check Date")</f>
        <v/>
      </c>
      <c r="I946" s="12" t="str">
        <f aca="true">IF($H946="","",IF(ISNUMBER($H946),$H946-TODAY(),""))</f>
        <v/>
      </c>
      <c r="J946" s="4" t="str">
        <f aca="true">IF($D946="Manual Review","Manual Review",IF($G946="","No Data",IF(NOT(ISNUMBER($H946)),"N/A",IF($H946&lt;TODAY(),"Overdue",IF($H946&lt;=TODAY()+30,"Due within 1 Month",IF($H946&lt;=TODAY()+60,"Due within 2 Months","OK"))))))</f>
        <v>No Data</v>
      </c>
      <c r="K946" s="13"/>
    </row>
    <row r="947" customFormat="false" ht="15" hidden="false" customHeight="false" outlineLevel="0" collapsed="false">
      <c r="A947" s="9" t="str">
        <f aca="false">Vessels!B13</f>
        <v>Vessel 09</v>
      </c>
      <c r="B947" s="9" t="s">
        <v>42</v>
      </c>
      <c r="C947" s="7" t="s">
        <v>87</v>
      </c>
      <c r="D947" s="9" t="s">
        <v>45</v>
      </c>
      <c r="E947" s="9" t="s">
        <v>44</v>
      </c>
      <c r="F947" s="5" t="n">
        <v>12</v>
      </c>
      <c r="G947" s="10"/>
      <c r="H947" s="11" t="str">
        <f aca="false">IFERROR(IF($D947="Manual Review","",IF($G947="","",IF($D947="Direct Expiry",$G947,EDATE($G947,$F947)))),"Check Date")</f>
        <v/>
      </c>
      <c r="I947" s="12" t="str">
        <f aca="true">IF($H947="","",IF(ISNUMBER($H947),$H947-TODAY(),""))</f>
        <v/>
      </c>
      <c r="J947" s="4" t="str">
        <f aca="true">IF($D947="Manual Review","Manual Review",IF($G947="","No Data",IF(NOT(ISNUMBER($H947)),"N/A",IF($H947&lt;TODAY(),"Overdue",IF($H947&lt;=TODAY()+30,"Due within 1 Month",IF($H947&lt;=TODAY()+60,"Due within 2 Months","OK"))))))</f>
        <v>No Data</v>
      </c>
      <c r="K947" s="13"/>
    </row>
    <row r="948" customFormat="false" ht="15" hidden="false" customHeight="false" outlineLevel="0" collapsed="false">
      <c r="A948" s="9" t="str">
        <f aca="false">Vessels!B13</f>
        <v>Vessel 09</v>
      </c>
      <c r="B948" s="9" t="s">
        <v>88</v>
      </c>
      <c r="C948" s="7" t="s">
        <v>89</v>
      </c>
      <c r="D948" s="9" t="s">
        <v>45</v>
      </c>
      <c r="E948" s="9" t="s">
        <v>90</v>
      </c>
      <c r="F948" s="5" t="n">
        <v>36</v>
      </c>
      <c r="G948" s="10"/>
      <c r="H948" s="11" t="str">
        <f aca="false">IFERROR(IF($D948="Manual Review","",IF($G948="","",IF($D948="Direct Expiry",$G948,EDATE($G948,$F948)))),"Check Date")</f>
        <v/>
      </c>
      <c r="I948" s="12" t="str">
        <f aca="true">IF($H948="","",IF(ISNUMBER($H948),$H948-TODAY(),""))</f>
        <v/>
      </c>
      <c r="J948" s="4" t="str">
        <f aca="true">IF($D948="Manual Review","Manual Review",IF($G948="","No Data",IF(NOT(ISNUMBER($H948)),"N/A",IF($H948&lt;TODAY(),"Overdue",IF($H948&lt;=TODAY()+30,"Due within 1 Month",IF($H948&lt;=TODAY()+60,"Due within 2 Months","OK"))))))</f>
        <v>No Data</v>
      </c>
      <c r="K948" s="13"/>
    </row>
    <row r="949" customFormat="false" ht="15" hidden="false" customHeight="false" outlineLevel="0" collapsed="false">
      <c r="A949" s="9" t="str">
        <f aca="false">Vessels!B13</f>
        <v>Vessel 09</v>
      </c>
      <c r="B949" s="9" t="s">
        <v>88</v>
      </c>
      <c r="C949" s="7" t="s">
        <v>91</v>
      </c>
      <c r="D949" s="9" t="s">
        <v>45</v>
      </c>
      <c r="E949" s="9" t="s">
        <v>44</v>
      </c>
      <c r="F949" s="5" t="n">
        <v>12</v>
      </c>
      <c r="G949" s="10"/>
      <c r="H949" s="11" t="str">
        <f aca="false">IFERROR(IF($D949="Manual Review","",IF($G949="","",IF($D949="Direct Expiry",$G949,EDATE($G949,$F949)))),"Check Date")</f>
        <v/>
      </c>
      <c r="I949" s="12" t="str">
        <f aca="true">IF($H949="","",IF(ISNUMBER($H949),$H949-TODAY(),""))</f>
        <v/>
      </c>
      <c r="J949" s="4" t="str">
        <f aca="true">IF($D949="Manual Review","Manual Review",IF($G949="","No Data",IF(NOT(ISNUMBER($H949)),"N/A",IF($H949&lt;TODAY(),"Overdue",IF($H949&lt;=TODAY()+30,"Due within 1 Month",IF($H949&lt;=TODAY()+60,"Due within 2 Months","OK"))))))</f>
        <v>No Data</v>
      </c>
      <c r="K949" s="13"/>
    </row>
    <row r="950" customFormat="false" ht="15" hidden="false" customHeight="false" outlineLevel="0" collapsed="false">
      <c r="A950" s="9" t="str">
        <f aca="false">Vessels!B13</f>
        <v>Vessel 09</v>
      </c>
      <c r="B950" s="9" t="s">
        <v>88</v>
      </c>
      <c r="C950" s="7" t="s">
        <v>91</v>
      </c>
      <c r="D950" s="9" t="s">
        <v>45</v>
      </c>
      <c r="E950" s="9" t="s">
        <v>92</v>
      </c>
      <c r="F950" s="5" t="n">
        <v>120</v>
      </c>
      <c r="G950" s="10"/>
      <c r="H950" s="11" t="str">
        <f aca="false">IFERROR(IF($D950="Manual Review","",IF($G950="","",IF($D950="Direct Expiry",$G950,EDATE($G950,$F950)))),"Check Date")</f>
        <v/>
      </c>
      <c r="I950" s="12" t="str">
        <f aca="true">IF($H950="","",IF(ISNUMBER($H950),$H950-TODAY(),""))</f>
        <v/>
      </c>
      <c r="J950" s="4" t="str">
        <f aca="true">IF($D950="Manual Review","Manual Review",IF($G950="","No Data",IF(NOT(ISNUMBER($H950)),"N/A",IF($H950&lt;TODAY(),"Overdue",IF($H950&lt;=TODAY()+30,"Due within 1 Month",IF($H950&lt;=TODAY()+60,"Due within 2 Months","OK"))))))</f>
        <v>No Data</v>
      </c>
      <c r="K950" s="13"/>
    </row>
    <row r="951" customFormat="false" ht="15" hidden="false" customHeight="false" outlineLevel="0" collapsed="false">
      <c r="A951" s="9" t="str">
        <f aca="false">Vessels!B13</f>
        <v>Vessel 09</v>
      </c>
      <c r="B951" s="9" t="s">
        <v>88</v>
      </c>
      <c r="C951" s="7" t="s">
        <v>93</v>
      </c>
      <c r="D951" s="9" t="s">
        <v>45</v>
      </c>
      <c r="E951" s="9" t="s">
        <v>44</v>
      </c>
      <c r="F951" s="5" t="n">
        <v>12</v>
      </c>
      <c r="G951" s="10"/>
      <c r="H951" s="11" t="str">
        <f aca="false">IFERROR(IF($D951="Manual Review","",IF($G951="","",IF($D951="Direct Expiry",$G951,EDATE($G951,$F951)))),"Check Date")</f>
        <v/>
      </c>
      <c r="I951" s="12" t="str">
        <f aca="true">IF($H951="","",IF(ISNUMBER($H951),$H951-TODAY(),""))</f>
        <v/>
      </c>
      <c r="J951" s="4" t="str">
        <f aca="true">IF($D951="Manual Review","Manual Review",IF($G951="","No Data",IF(NOT(ISNUMBER($H951)),"N/A",IF($H951&lt;TODAY(),"Overdue",IF($H951&lt;=TODAY()+30,"Due within 1 Month",IF($H951&lt;=TODAY()+60,"Due within 2 Months","OK"))))))</f>
        <v>No Data</v>
      </c>
      <c r="K951" s="13"/>
    </row>
    <row r="952" customFormat="false" ht="15" hidden="false" customHeight="false" outlineLevel="0" collapsed="false">
      <c r="A952" s="9" t="str">
        <f aca="false">Vessels!B13</f>
        <v>Vessel 09</v>
      </c>
      <c r="B952" s="9" t="s">
        <v>88</v>
      </c>
      <c r="C952" s="7" t="s">
        <v>93</v>
      </c>
      <c r="D952" s="9" t="s">
        <v>45</v>
      </c>
      <c r="E952" s="9" t="s">
        <v>92</v>
      </c>
      <c r="F952" s="5" t="n">
        <v>120</v>
      </c>
      <c r="G952" s="10"/>
      <c r="H952" s="11" t="str">
        <f aca="false">IFERROR(IF($D952="Manual Review","",IF($G952="","",IF($D952="Direct Expiry",$G952,EDATE($G952,$F952)))),"Check Date")</f>
        <v/>
      </c>
      <c r="I952" s="12" t="str">
        <f aca="true">IF($H952="","",IF(ISNUMBER($H952),$H952-TODAY(),""))</f>
        <v/>
      </c>
      <c r="J952" s="4" t="str">
        <f aca="true">IF($D952="Manual Review","Manual Review",IF($G952="","No Data",IF(NOT(ISNUMBER($H952)),"N/A",IF($H952&lt;TODAY(),"Overdue",IF($H952&lt;=TODAY()+30,"Due within 1 Month",IF($H952&lt;=TODAY()+60,"Due within 2 Months","OK"))))))</f>
        <v>No Data</v>
      </c>
      <c r="K952" s="13"/>
    </row>
    <row r="953" customFormat="false" ht="15" hidden="false" customHeight="false" outlineLevel="0" collapsed="false">
      <c r="A953" s="9" t="str">
        <f aca="false">Vessels!B13</f>
        <v>Vessel 09</v>
      </c>
      <c r="B953" s="9" t="s">
        <v>88</v>
      </c>
      <c r="C953" s="7" t="s">
        <v>94</v>
      </c>
      <c r="D953" s="9" t="s">
        <v>45</v>
      </c>
      <c r="E953" s="9" t="s">
        <v>44</v>
      </c>
      <c r="F953" s="5" t="n">
        <v>12</v>
      </c>
      <c r="G953" s="10"/>
      <c r="H953" s="11" t="str">
        <f aca="false">IFERROR(IF($D953="Manual Review","",IF($G953="","",IF($D953="Direct Expiry",$G953,EDATE($G953,$F953)))),"Check Date")</f>
        <v/>
      </c>
      <c r="I953" s="12" t="str">
        <f aca="true">IF($H953="","",IF(ISNUMBER($H953),$H953-TODAY(),""))</f>
        <v/>
      </c>
      <c r="J953" s="4" t="str">
        <f aca="true">IF($D953="Manual Review","Manual Review",IF($G953="","No Data",IF(NOT(ISNUMBER($H953)),"N/A",IF($H953&lt;TODAY(),"Overdue",IF($H953&lt;=TODAY()+30,"Due within 1 Month",IF($H953&lt;=TODAY()+60,"Due within 2 Months","OK"))))))</f>
        <v>No Data</v>
      </c>
      <c r="K953" s="13"/>
    </row>
    <row r="954" customFormat="false" ht="15" hidden="false" customHeight="false" outlineLevel="0" collapsed="false">
      <c r="A954" s="9" t="str">
        <f aca="false">Vessels!B13</f>
        <v>Vessel 09</v>
      </c>
      <c r="B954" s="9" t="s">
        <v>88</v>
      </c>
      <c r="C954" s="7" t="s">
        <v>94</v>
      </c>
      <c r="D954" s="9" t="s">
        <v>45</v>
      </c>
      <c r="E954" s="9" t="s">
        <v>92</v>
      </c>
      <c r="F954" s="5" t="n">
        <v>120</v>
      </c>
      <c r="G954" s="10"/>
      <c r="H954" s="11" t="str">
        <f aca="false">IFERROR(IF($D954="Manual Review","",IF($G954="","",IF($D954="Direct Expiry",$G954,EDATE($G954,$F954)))),"Check Date")</f>
        <v/>
      </c>
      <c r="I954" s="12" t="str">
        <f aca="true">IF($H954="","",IF(ISNUMBER($H954),$H954-TODAY(),""))</f>
        <v/>
      </c>
      <c r="J954" s="4" t="str">
        <f aca="true">IF($D954="Manual Review","Manual Review",IF($G954="","No Data",IF(NOT(ISNUMBER($H954)),"N/A",IF($H954&lt;TODAY(),"Overdue",IF($H954&lt;=TODAY()+30,"Due within 1 Month",IF($H954&lt;=TODAY()+60,"Due within 2 Months","OK"))))))</f>
        <v>No Data</v>
      </c>
      <c r="K954" s="13"/>
    </row>
    <row r="955" customFormat="false" ht="15" hidden="false" customHeight="false" outlineLevel="0" collapsed="false">
      <c r="A955" s="9" t="str">
        <f aca="false">Vessels!B13</f>
        <v>Vessel 09</v>
      </c>
      <c r="B955" s="9" t="s">
        <v>88</v>
      </c>
      <c r="C955" s="7" t="s">
        <v>95</v>
      </c>
      <c r="D955" s="9" t="s">
        <v>45</v>
      </c>
      <c r="E955" s="9" t="s">
        <v>44</v>
      </c>
      <c r="F955" s="5" t="n">
        <v>12</v>
      </c>
      <c r="G955" s="10"/>
      <c r="H955" s="11" t="str">
        <f aca="false">IFERROR(IF($D955="Manual Review","",IF($G955="","",IF($D955="Direct Expiry",$G955,EDATE($G955,$F955)))),"Check Date")</f>
        <v/>
      </c>
      <c r="I955" s="12" t="str">
        <f aca="true">IF($H955="","",IF(ISNUMBER($H955),$H955-TODAY(),""))</f>
        <v/>
      </c>
      <c r="J955" s="4" t="str">
        <f aca="true">IF($D955="Manual Review","Manual Review",IF($G955="","No Data",IF(NOT(ISNUMBER($H955)),"N/A",IF($H955&lt;TODAY(),"Overdue",IF($H955&lt;=TODAY()+30,"Due within 1 Month",IF($H955&lt;=TODAY()+60,"Due within 2 Months","OK"))))))</f>
        <v>No Data</v>
      </c>
      <c r="K955" s="13"/>
    </row>
    <row r="956" customFormat="false" ht="15" hidden="false" customHeight="false" outlineLevel="0" collapsed="false">
      <c r="A956" s="9" t="str">
        <f aca="false">Vessels!B13</f>
        <v>Vessel 09</v>
      </c>
      <c r="B956" s="9" t="s">
        <v>88</v>
      </c>
      <c r="C956" s="7" t="s">
        <v>95</v>
      </c>
      <c r="D956" s="9" t="s">
        <v>45</v>
      </c>
      <c r="E956" s="9" t="s">
        <v>92</v>
      </c>
      <c r="F956" s="5" t="n">
        <v>120</v>
      </c>
      <c r="G956" s="10"/>
      <c r="H956" s="11" t="str">
        <f aca="false">IFERROR(IF($D956="Manual Review","",IF($G956="","",IF($D956="Direct Expiry",$G956,EDATE($G956,$F956)))),"Check Date")</f>
        <v/>
      </c>
      <c r="I956" s="12" t="str">
        <f aca="true">IF($H956="","",IF(ISNUMBER($H956),$H956-TODAY(),""))</f>
        <v/>
      </c>
      <c r="J956" s="4" t="str">
        <f aca="true">IF($D956="Manual Review","Manual Review",IF($G956="","No Data",IF(NOT(ISNUMBER($H956)),"N/A",IF($H956&lt;TODAY(),"Overdue",IF($H956&lt;=TODAY()+30,"Due within 1 Month",IF($H956&lt;=TODAY()+60,"Due within 2 Months","OK"))))))</f>
        <v>No Data</v>
      </c>
      <c r="K956" s="13"/>
    </row>
    <row r="957" customFormat="false" ht="15" hidden="false" customHeight="false" outlineLevel="0" collapsed="false">
      <c r="A957" s="9" t="str">
        <f aca="false">Vessels!B13</f>
        <v>Vessel 09</v>
      </c>
      <c r="B957" s="9" t="s">
        <v>88</v>
      </c>
      <c r="C957" s="7" t="s">
        <v>96</v>
      </c>
      <c r="D957" s="9" t="s">
        <v>45</v>
      </c>
      <c r="E957" s="9" t="s">
        <v>44</v>
      </c>
      <c r="F957" s="5" t="n">
        <v>12</v>
      </c>
      <c r="G957" s="10"/>
      <c r="H957" s="11" t="str">
        <f aca="false">IFERROR(IF($D957="Manual Review","",IF($G957="","",IF($D957="Direct Expiry",$G957,EDATE($G957,$F957)))),"Check Date")</f>
        <v/>
      </c>
      <c r="I957" s="12" t="str">
        <f aca="true">IF($H957="","",IF(ISNUMBER($H957),$H957-TODAY(),""))</f>
        <v/>
      </c>
      <c r="J957" s="4" t="str">
        <f aca="true">IF($D957="Manual Review","Manual Review",IF($G957="","No Data",IF(NOT(ISNUMBER($H957)),"N/A",IF($H957&lt;TODAY(),"Overdue",IF($H957&lt;=TODAY()+30,"Due within 1 Month",IF($H957&lt;=TODAY()+60,"Due within 2 Months","OK"))))))</f>
        <v>No Data</v>
      </c>
      <c r="K957" s="13"/>
    </row>
    <row r="958" customFormat="false" ht="15" hidden="false" customHeight="false" outlineLevel="0" collapsed="false">
      <c r="A958" s="9" t="str">
        <f aca="false">Vessels!B13</f>
        <v>Vessel 09</v>
      </c>
      <c r="B958" s="9" t="s">
        <v>88</v>
      </c>
      <c r="C958" s="7" t="s">
        <v>96</v>
      </c>
      <c r="D958" s="9" t="s">
        <v>45</v>
      </c>
      <c r="E958" s="9" t="s">
        <v>97</v>
      </c>
      <c r="F958" s="5" t="n">
        <v>120</v>
      </c>
      <c r="G958" s="10"/>
      <c r="H958" s="11" t="str">
        <f aca="false">IFERROR(IF($D958="Manual Review","",IF($G958="","",IF($D958="Direct Expiry",$G958,EDATE($G958,$F958)))),"Check Date")</f>
        <v/>
      </c>
      <c r="I958" s="12" t="str">
        <f aca="true">IF($H958="","",IF(ISNUMBER($H958),$H958-TODAY(),""))</f>
        <v/>
      </c>
      <c r="J958" s="4" t="str">
        <f aca="true">IF($D958="Manual Review","Manual Review",IF($G958="","No Data",IF(NOT(ISNUMBER($H958)),"N/A",IF($H958&lt;TODAY(),"Overdue",IF($H958&lt;=TODAY()+30,"Due within 1 Month",IF($H958&lt;=TODAY()+60,"Due within 2 Months","OK"))))))</f>
        <v>No Data</v>
      </c>
      <c r="K958" s="13"/>
    </row>
    <row r="959" customFormat="false" ht="15" hidden="false" customHeight="false" outlineLevel="0" collapsed="false">
      <c r="A959" s="9" t="str">
        <f aca="false">Vessels!B13</f>
        <v>Vessel 09</v>
      </c>
      <c r="B959" s="9" t="s">
        <v>88</v>
      </c>
      <c r="C959" s="7" t="s">
        <v>98</v>
      </c>
      <c r="D959" s="9" t="s">
        <v>45</v>
      </c>
      <c r="E959" s="9" t="s">
        <v>44</v>
      </c>
      <c r="F959" s="5" t="n">
        <v>12</v>
      </c>
      <c r="G959" s="10"/>
      <c r="H959" s="11" t="str">
        <f aca="false">IFERROR(IF($D959="Manual Review","",IF($G959="","",IF($D959="Direct Expiry",$G959,EDATE($G959,$F959)))),"Check Date")</f>
        <v/>
      </c>
      <c r="I959" s="12" t="str">
        <f aca="true">IF($H959="","",IF(ISNUMBER($H959),$H959-TODAY(),""))</f>
        <v/>
      </c>
      <c r="J959" s="4" t="str">
        <f aca="true">IF($D959="Manual Review","Manual Review",IF($G959="","No Data",IF(NOT(ISNUMBER($H959)),"N/A",IF($H959&lt;TODAY(),"Overdue",IF($H959&lt;=TODAY()+30,"Due within 1 Month",IF($H959&lt;=TODAY()+60,"Due within 2 Months","OK"))))))</f>
        <v>No Data</v>
      </c>
      <c r="K959" s="13"/>
    </row>
    <row r="960" customFormat="false" ht="15" hidden="false" customHeight="false" outlineLevel="0" collapsed="false">
      <c r="A960" s="9" t="str">
        <f aca="false">Vessels!B13</f>
        <v>Vessel 09</v>
      </c>
      <c r="B960" s="9" t="s">
        <v>88</v>
      </c>
      <c r="C960" s="7" t="s">
        <v>98</v>
      </c>
      <c r="D960" s="9" t="s">
        <v>45</v>
      </c>
      <c r="E960" s="9" t="s">
        <v>99</v>
      </c>
      <c r="F960" s="5" t="n">
        <v>60</v>
      </c>
      <c r="G960" s="10"/>
      <c r="H960" s="11" t="str">
        <f aca="false">IFERROR(IF($D960="Manual Review","",IF($G960="","",IF($D960="Direct Expiry",$G960,EDATE($G960,$F960)))),"Check Date")</f>
        <v/>
      </c>
      <c r="I960" s="12" t="str">
        <f aca="true">IF($H960="","",IF(ISNUMBER($H960),$H960-TODAY(),""))</f>
        <v/>
      </c>
      <c r="J960" s="4" t="str">
        <f aca="true">IF($D960="Manual Review","Manual Review",IF($G960="","No Data",IF(NOT(ISNUMBER($H960)),"N/A",IF($H960&lt;TODAY(),"Overdue",IF($H960&lt;=TODAY()+30,"Due within 1 Month",IF($H960&lt;=TODAY()+60,"Due within 2 Months","OK"))))))</f>
        <v>No Data</v>
      </c>
      <c r="K960" s="13"/>
    </row>
    <row r="961" customFormat="false" ht="15" hidden="false" customHeight="false" outlineLevel="0" collapsed="false">
      <c r="A961" s="9" t="str">
        <f aca="false">Vessels!B13</f>
        <v>Vessel 09</v>
      </c>
      <c r="B961" s="9" t="s">
        <v>88</v>
      </c>
      <c r="C961" s="7" t="s">
        <v>100</v>
      </c>
      <c r="D961" s="9" t="s">
        <v>45</v>
      </c>
      <c r="E961" s="9" t="s">
        <v>44</v>
      </c>
      <c r="F961" s="5" t="n">
        <v>12</v>
      </c>
      <c r="G961" s="10"/>
      <c r="H961" s="11" t="str">
        <f aca="false">IFERROR(IF($D961="Manual Review","",IF($G961="","",IF($D961="Direct Expiry",$G961,EDATE($G961,$F961)))),"Check Date")</f>
        <v/>
      </c>
      <c r="I961" s="12" t="str">
        <f aca="true">IF($H961="","",IF(ISNUMBER($H961),$H961-TODAY(),""))</f>
        <v/>
      </c>
      <c r="J961" s="4" t="str">
        <f aca="true">IF($D961="Manual Review","Manual Review",IF($G961="","No Data",IF(NOT(ISNUMBER($H961)),"N/A",IF($H961&lt;TODAY(),"Overdue",IF($H961&lt;=TODAY()+30,"Due within 1 Month",IF($H961&lt;=TODAY()+60,"Due within 2 Months","OK"))))))</f>
        <v>No Data</v>
      </c>
      <c r="K961" s="13"/>
    </row>
    <row r="962" customFormat="false" ht="15" hidden="false" customHeight="false" outlineLevel="0" collapsed="false">
      <c r="A962" s="9" t="str">
        <f aca="false">Vessels!B13</f>
        <v>Vessel 09</v>
      </c>
      <c r="B962" s="9" t="s">
        <v>88</v>
      </c>
      <c r="C962" s="7" t="s">
        <v>100</v>
      </c>
      <c r="D962" s="9" t="s">
        <v>45</v>
      </c>
      <c r="E962" s="9" t="s">
        <v>99</v>
      </c>
      <c r="F962" s="5" t="n">
        <v>60</v>
      </c>
      <c r="G962" s="10"/>
      <c r="H962" s="11" t="str">
        <f aca="false">IFERROR(IF($D962="Manual Review","",IF($G962="","",IF($D962="Direct Expiry",$G962,EDATE($G962,$F962)))),"Check Date")</f>
        <v/>
      </c>
      <c r="I962" s="12" t="str">
        <f aca="true">IF($H962="","",IF(ISNUMBER($H962),$H962-TODAY(),""))</f>
        <v/>
      </c>
      <c r="J962" s="4" t="str">
        <f aca="true">IF($D962="Manual Review","Manual Review",IF($G962="","No Data",IF(NOT(ISNUMBER($H962)),"N/A",IF($H962&lt;TODAY(),"Overdue",IF($H962&lt;=TODAY()+30,"Due within 1 Month",IF($H962&lt;=TODAY()+60,"Due within 2 Months","OK"))))))</f>
        <v>No Data</v>
      </c>
      <c r="K962" s="13"/>
    </row>
    <row r="963" customFormat="false" ht="15" hidden="false" customHeight="false" outlineLevel="0" collapsed="false">
      <c r="A963" s="9" t="str">
        <f aca="false">Vessels!B13</f>
        <v>Vessel 09</v>
      </c>
      <c r="B963" s="9" t="s">
        <v>88</v>
      </c>
      <c r="C963" s="7" t="s">
        <v>101</v>
      </c>
      <c r="D963" s="9" t="s">
        <v>45</v>
      </c>
      <c r="E963" s="9" t="s">
        <v>44</v>
      </c>
      <c r="F963" s="5" t="n">
        <v>12</v>
      </c>
      <c r="G963" s="10"/>
      <c r="H963" s="11" t="str">
        <f aca="false">IFERROR(IF($D963="Manual Review","",IF($G963="","",IF($D963="Direct Expiry",$G963,EDATE($G963,$F963)))),"Check Date")</f>
        <v/>
      </c>
      <c r="I963" s="12" t="str">
        <f aca="true">IF($H963="","",IF(ISNUMBER($H963),$H963-TODAY(),""))</f>
        <v/>
      </c>
      <c r="J963" s="4" t="str">
        <f aca="true">IF($D963="Manual Review","Manual Review",IF($G963="","No Data",IF(NOT(ISNUMBER($H963)),"N/A",IF($H963&lt;TODAY(),"Overdue",IF($H963&lt;=TODAY()+30,"Due within 1 Month",IF($H963&lt;=TODAY()+60,"Due within 2 Months","OK"))))))</f>
        <v>No Data</v>
      </c>
      <c r="K963" s="13"/>
    </row>
    <row r="964" customFormat="false" ht="23.85" hidden="false" customHeight="false" outlineLevel="0" collapsed="false">
      <c r="A964" s="9" t="str">
        <f aca="false">Vessels!B13</f>
        <v>Vessel 09</v>
      </c>
      <c r="B964" s="9" t="s">
        <v>88</v>
      </c>
      <c r="C964" s="7" t="s">
        <v>102</v>
      </c>
      <c r="D964" s="9" t="s">
        <v>45</v>
      </c>
      <c r="E964" s="9" t="s">
        <v>44</v>
      </c>
      <c r="F964" s="5" t="n">
        <v>12</v>
      </c>
      <c r="G964" s="10"/>
      <c r="H964" s="11" t="str">
        <f aca="false">IFERROR(IF($D964="Manual Review","",IF($G964="","",IF($D964="Direct Expiry",$G964,EDATE($G964,$F964)))),"Check Date")</f>
        <v/>
      </c>
      <c r="I964" s="12" t="str">
        <f aca="true">IF($H964="","",IF(ISNUMBER($H964),$H964-TODAY(),""))</f>
        <v/>
      </c>
      <c r="J964" s="4" t="str">
        <f aca="true">IF($D964="Manual Review","Manual Review",IF($G964="","No Data",IF(NOT(ISNUMBER($H964)),"N/A",IF($H964&lt;TODAY(),"Overdue",IF($H964&lt;=TODAY()+30,"Due within 1 Month",IF($H964&lt;=TODAY()+60,"Due within 2 Months","OK"))))))</f>
        <v>No Data</v>
      </c>
      <c r="K964" s="13"/>
    </row>
    <row r="965" customFormat="false" ht="23.85" hidden="false" customHeight="false" outlineLevel="0" collapsed="false">
      <c r="A965" s="9" t="str">
        <f aca="false">Vessels!B13</f>
        <v>Vessel 09</v>
      </c>
      <c r="B965" s="9" t="s">
        <v>88</v>
      </c>
      <c r="C965" s="7" t="s">
        <v>102</v>
      </c>
      <c r="D965" s="9" t="s">
        <v>45</v>
      </c>
      <c r="E965" s="9" t="s">
        <v>97</v>
      </c>
      <c r="F965" s="5" t="n">
        <v>120</v>
      </c>
      <c r="G965" s="10"/>
      <c r="H965" s="11" t="str">
        <f aca="false">IFERROR(IF($D965="Manual Review","",IF($G965="","",IF($D965="Direct Expiry",$G965,EDATE($G965,$F965)))),"Check Date")</f>
        <v/>
      </c>
      <c r="I965" s="12" t="str">
        <f aca="true">IF($H965="","",IF(ISNUMBER($H965),$H965-TODAY(),""))</f>
        <v/>
      </c>
      <c r="J965" s="4" t="str">
        <f aca="true">IF($D965="Manual Review","Manual Review",IF($G965="","No Data",IF(NOT(ISNUMBER($H965)),"N/A",IF($H965&lt;TODAY(),"Overdue",IF($H965&lt;=TODAY()+30,"Due within 1 Month",IF($H965&lt;=TODAY()+60,"Due within 2 Months","OK"))))))</f>
        <v>No Data</v>
      </c>
      <c r="K965" s="13"/>
    </row>
    <row r="966" customFormat="false" ht="15" hidden="false" customHeight="false" outlineLevel="0" collapsed="false">
      <c r="A966" s="9" t="str">
        <f aca="false">Vessels!B13</f>
        <v>Vessel 09</v>
      </c>
      <c r="B966" s="9" t="s">
        <v>88</v>
      </c>
      <c r="C966" s="7" t="s">
        <v>103</v>
      </c>
      <c r="D966" s="9" t="s">
        <v>45</v>
      </c>
      <c r="E966" s="9" t="s">
        <v>44</v>
      </c>
      <c r="F966" s="5" t="n">
        <v>12</v>
      </c>
      <c r="G966" s="10"/>
      <c r="H966" s="11" t="str">
        <f aca="false">IFERROR(IF($D966="Manual Review","",IF($G966="","",IF($D966="Direct Expiry",$G966,EDATE($G966,$F966)))),"Check Date")</f>
        <v/>
      </c>
      <c r="I966" s="12" t="str">
        <f aca="true">IF($H966="","",IF(ISNUMBER($H966),$H966-TODAY(),""))</f>
        <v/>
      </c>
      <c r="J966" s="4" t="str">
        <f aca="true">IF($D966="Manual Review","Manual Review",IF($G966="","No Data",IF(NOT(ISNUMBER($H966)),"N/A",IF($H966&lt;TODAY(),"Overdue",IF($H966&lt;=TODAY()+30,"Due within 1 Month",IF($H966&lt;=TODAY()+60,"Due within 2 Months","OK"))))))</f>
        <v>No Data</v>
      </c>
      <c r="K966" s="13"/>
    </row>
    <row r="967" customFormat="false" ht="15" hidden="false" customHeight="false" outlineLevel="0" collapsed="false">
      <c r="A967" s="9" t="str">
        <f aca="false">Vessels!B13</f>
        <v>Vessel 09</v>
      </c>
      <c r="B967" s="9" t="s">
        <v>88</v>
      </c>
      <c r="C967" s="7" t="s">
        <v>103</v>
      </c>
      <c r="D967" s="9" t="s">
        <v>45</v>
      </c>
      <c r="E967" s="9" t="s">
        <v>97</v>
      </c>
      <c r="F967" s="5" t="n">
        <v>120</v>
      </c>
      <c r="G967" s="10"/>
      <c r="H967" s="11" t="str">
        <f aca="false">IFERROR(IF($D967="Manual Review","",IF($G967="","",IF($D967="Direct Expiry",$G967,EDATE($G967,$F967)))),"Check Date")</f>
        <v/>
      </c>
      <c r="I967" s="12" t="str">
        <f aca="true">IF($H967="","",IF(ISNUMBER($H967),$H967-TODAY(),""))</f>
        <v/>
      </c>
      <c r="J967" s="4" t="str">
        <f aca="true">IF($D967="Manual Review","Manual Review",IF($G967="","No Data",IF(NOT(ISNUMBER($H967)),"N/A",IF($H967&lt;TODAY(),"Overdue",IF($H967&lt;=TODAY()+30,"Due within 1 Month",IF($H967&lt;=TODAY()+60,"Due within 2 Months","OK"))))))</f>
        <v>No Data</v>
      </c>
      <c r="K967" s="13"/>
    </row>
    <row r="968" customFormat="false" ht="15" hidden="false" customHeight="false" outlineLevel="0" collapsed="false">
      <c r="A968" s="9" t="str">
        <f aca="false">Vessels!B13</f>
        <v>Vessel 09</v>
      </c>
      <c r="B968" s="9" t="s">
        <v>88</v>
      </c>
      <c r="C968" s="7" t="s">
        <v>104</v>
      </c>
      <c r="D968" s="9" t="s">
        <v>45</v>
      </c>
      <c r="E968" s="9" t="s">
        <v>44</v>
      </c>
      <c r="F968" s="5" t="n">
        <v>12</v>
      </c>
      <c r="G968" s="10"/>
      <c r="H968" s="11" t="str">
        <f aca="false">IFERROR(IF($D968="Manual Review","",IF($G968="","",IF($D968="Direct Expiry",$G968,EDATE($G968,$F968)))),"Check Date")</f>
        <v/>
      </c>
      <c r="I968" s="12" t="str">
        <f aca="true">IF($H968="","",IF(ISNUMBER($H968),$H968-TODAY(),""))</f>
        <v/>
      </c>
      <c r="J968" s="4" t="str">
        <f aca="true">IF($D968="Manual Review","Manual Review",IF($G968="","No Data",IF(NOT(ISNUMBER($H968)),"N/A",IF($H968&lt;TODAY(),"Overdue",IF($H968&lt;=TODAY()+30,"Due within 1 Month",IF($H968&lt;=TODAY()+60,"Due within 2 Months","OK"))))))</f>
        <v>No Data</v>
      </c>
      <c r="K968" s="13"/>
    </row>
    <row r="969" customFormat="false" ht="15" hidden="false" customHeight="false" outlineLevel="0" collapsed="false">
      <c r="A969" s="9" t="str">
        <f aca="false">Vessels!B13</f>
        <v>Vessel 09</v>
      </c>
      <c r="B969" s="9" t="s">
        <v>88</v>
      </c>
      <c r="C969" s="7" t="s">
        <v>105</v>
      </c>
      <c r="D969" s="9" t="s">
        <v>45</v>
      </c>
      <c r="E969" s="9" t="s">
        <v>44</v>
      </c>
      <c r="F969" s="5" t="n">
        <v>12</v>
      </c>
      <c r="G969" s="10"/>
      <c r="H969" s="11" t="str">
        <f aca="false">IFERROR(IF($D969="Manual Review","",IF($G969="","",IF($D969="Direct Expiry",$G969,EDATE($G969,$F969)))),"Check Date")</f>
        <v/>
      </c>
      <c r="I969" s="12" t="str">
        <f aca="true">IF($H969="","",IF(ISNUMBER($H969),$H969-TODAY(),""))</f>
        <v/>
      </c>
      <c r="J969" s="4" t="str">
        <f aca="true">IF($D969="Manual Review","Manual Review",IF($G969="","No Data",IF(NOT(ISNUMBER($H969)),"N/A",IF($H969&lt;TODAY(),"Overdue",IF($H969&lt;=TODAY()+30,"Due within 1 Month",IF($H969&lt;=TODAY()+60,"Due within 2 Months","OK"))))))</f>
        <v>No Data</v>
      </c>
      <c r="K969" s="13"/>
    </row>
    <row r="970" customFormat="false" ht="15" hidden="false" customHeight="false" outlineLevel="0" collapsed="false">
      <c r="A970" s="9" t="str">
        <f aca="false">Vessels!B13</f>
        <v>Vessel 09</v>
      </c>
      <c r="B970" s="9" t="s">
        <v>88</v>
      </c>
      <c r="C970" s="7" t="s">
        <v>106</v>
      </c>
      <c r="D970" s="9" t="s">
        <v>45</v>
      </c>
      <c r="E970" s="9" t="s">
        <v>44</v>
      </c>
      <c r="F970" s="5" t="n">
        <v>12</v>
      </c>
      <c r="G970" s="10"/>
      <c r="H970" s="11" t="str">
        <f aca="false">IFERROR(IF($D970="Manual Review","",IF($G970="","",IF($D970="Direct Expiry",$G970,EDATE($G970,$F970)))),"Check Date")</f>
        <v/>
      </c>
      <c r="I970" s="12" t="str">
        <f aca="true">IF($H970="","",IF(ISNUMBER($H970),$H970-TODAY(),""))</f>
        <v/>
      </c>
      <c r="J970" s="4" t="str">
        <f aca="true">IF($D970="Manual Review","Manual Review",IF($G970="","No Data",IF(NOT(ISNUMBER($H970)),"N/A",IF($H970&lt;TODAY(),"Overdue",IF($H970&lt;=TODAY()+30,"Due within 1 Month",IF($H970&lt;=TODAY()+60,"Due within 2 Months","OK"))))))</f>
        <v>No Data</v>
      </c>
      <c r="K970" s="13"/>
    </row>
    <row r="971" customFormat="false" ht="15" hidden="false" customHeight="false" outlineLevel="0" collapsed="false">
      <c r="A971" s="9" t="str">
        <f aca="false">Vessels!B13</f>
        <v>Vessel 09</v>
      </c>
      <c r="B971" s="9" t="s">
        <v>88</v>
      </c>
      <c r="C971" s="7" t="s">
        <v>107</v>
      </c>
      <c r="D971" s="9" t="s">
        <v>45</v>
      </c>
      <c r="E971" s="9" t="s">
        <v>44</v>
      </c>
      <c r="F971" s="5" t="n">
        <v>12</v>
      </c>
      <c r="G971" s="10"/>
      <c r="H971" s="11" t="str">
        <f aca="false">IFERROR(IF($D971="Manual Review","",IF($G971="","",IF($D971="Direct Expiry",$G971,EDATE($G971,$F971)))),"Check Date")</f>
        <v/>
      </c>
      <c r="I971" s="12" t="str">
        <f aca="true">IF($H971="","",IF(ISNUMBER($H971),$H971-TODAY(),""))</f>
        <v/>
      </c>
      <c r="J971" s="4" t="str">
        <f aca="true">IF($D971="Manual Review","Manual Review",IF($G971="","No Data",IF(NOT(ISNUMBER($H971)),"N/A",IF($H971&lt;TODAY(),"Overdue",IF($H971&lt;=TODAY()+30,"Due within 1 Month",IF($H971&lt;=TODAY()+60,"Due within 2 Months","OK"))))))</f>
        <v>No Data</v>
      </c>
      <c r="K971" s="13"/>
    </row>
    <row r="972" customFormat="false" ht="15" hidden="false" customHeight="false" outlineLevel="0" collapsed="false">
      <c r="A972" s="9" t="str">
        <f aca="false">Vessels!B13</f>
        <v>Vessel 09</v>
      </c>
      <c r="B972" s="9" t="s">
        <v>88</v>
      </c>
      <c r="C972" s="7" t="s">
        <v>108</v>
      </c>
      <c r="D972" s="9" t="s">
        <v>45</v>
      </c>
      <c r="E972" s="9" t="s">
        <v>109</v>
      </c>
      <c r="F972" s="5" t="n">
        <v>12</v>
      </c>
      <c r="G972" s="10"/>
      <c r="H972" s="11" t="str">
        <f aca="false">IFERROR(IF($D972="Manual Review","",IF($G972="","",IF($D972="Direct Expiry",$G972,EDATE($G972,$F972)))),"Check Date")</f>
        <v/>
      </c>
      <c r="I972" s="12" t="str">
        <f aca="true">IF($H972="","",IF(ISNUMBER($H972),$H972-TODAY(),""))</f>
        <v/>
      </c>
      <c r="J972" s="4" t="str">
        <f aca="true">IF($D972="Manual Review","Manual Review",IF($G972="","No Data",IF(NOT(ISNUMBER($H972)),"N/A",IF($H972&lt;TODAY(),"Overdue",IF($H972&lt;=TODAY()+30,"Due within 1 Month",IF($H972&lt;=TODAY()+60,"Due within 2 Months","OK"))))))</f>
        <v>No Data</v>
      </c>
      <c r="K972" s="13"/>
    </row>
    <row r="973" customFormat="false" ht="15" hidden="false" customHeight="false" outlineLevel="0" collapsed="false">
      <c r="A973" s="9" t="str">
        <f aca="false">Vessels!B13</f>
        <v>Vessel 09</v>
      </c>
      <c r="B973" s="9" t="s">
        <v>88</v>
      </c>
      <c r="C973" s="7" t="s">
        <v>108</v>
      </c>
      <c r="D973" s="9" t="s">
        <v>45</v>
      </c>
      <c r="E973" s="9" t="s">
        <v>110</v>
      </c>
      <c r="F973" s="5" t="n">
        <v>60</v>
      </c>
      <c r="G973" s="10"/>
      <c r="H973" s="11" t="str">
        <f aca="false">IFERROR(IF($D973="Manual Review","",IF($G973="","",IF($D973="Direct Expiry",$G973,EDATE($G973,$F973)))),"Check Date")</f>
        <v/>
      </c>
      <c r="I973" s="12" t="str">
        <f aca="true">IF($H973="","",IF(ISNUMBER($H973),$H973-TODAY(),""))</f>
        <v/>
      </c>
      <c r="J973" s="4" t="str">
        <f aca="true">IF($D973="Manual Review","Manual Review",IF($G973="","No Data",IF(NOT(ISNUMBER($H973)),"N/A",IF($H973&lt;TODAY(),"Overdue",IF($H973&lt;=TODAY()+30,"Due within 1 Month",IF($H973&lt;=TODAY()+60,"Due within 2 Months","OK"))))))</f>
        <v>No Data</v>
      </c>
      <c r="K973" s="13"/>
    </row>
    <row r="974" customFormat="false" ht="15" hidden="false" customHeight="false" outlineLevel="0" collapsed="false">
      <c r="A974" s="9" t="str">
        <f aca="false">Vessels!B13</f>
        <v>Vessel 09</v>
      </c>
      <c r="B974" s="9" t="s">
        <v>88</v>
      </c>
      <c r="C974" s="7" t="s">
        <v>111</v>
      </c>
      <c r="D974" s="9" t="s">
        <v>45</v>
      </c>
      <c r="E974" s="9" t="s">
        <v>44</v>
      </c>
      <c r="F974" s="5" t="n">
        <v>12</v>
      </c>
      <c r="G974" s="10"/>
      <c r="H974" s="11" t="str">
        <f aca="false">IFERROR(IF($D974="Manual Review","",IF($G974="","",IF($D974="Direct Expiry",$G974,EDATE($G974,$F974)))),"Check Date")</f>
        <v/>
      </c>
      <c r="I974" s="12" t="str">
        <f aca="true">IF($H974="","",IF(ISNUMBER($H974),$H974-TODAY(),""))</f>
        <v/>
      </c>
      <c r="J974" s="4" t="str">
        <f aca="true">IF($D974="Manual Review","Manual Review",IF($G974="","No Data",IF(NOT(ISNUMBER($H974)),"N/A",IF($H974&lt;TODAY(),"Overdue",IF($H974&lt;=TODAY()+30,"Due within 1 Month",IF($H974&lt;=TODAY()+60,"Due within 2 Months","OK"))))))</f>
        <v>No Data</v>
      </c>
      <c r="K974" s="13"/>
    </row>
    <row r="975" customFormat="false" ht="15" hidden="false" customHeight="false" outlineLevel="0" collapsed="false">
      <c r="A975" s="9" t="str">
        <f aca="false">Vessels!B13</f>
        <v>Vessel 09</v>
      </c>
      <c r="B975" s="9" t="s">
        <v>88</v>
      </c>
      <c r="C975" s="7" t="s">
        <v>112</v>
      </c>
      <c r="D975" s="9" t="s">
        <v>45</v>
      </c>
      <c r="E975" s="9" t="s">
        <v>44</v>
      </c>
      <c r="F975" s="5" t="n">
        <v>12</v>
      </c>
      <c r="G975" s="10"/>
      <c r="H975" s="11" t="str">
        <f aca="false">IFERROR(IF($D975="Manual Review","",IF($G975="","",IF($D975="Direct Expiry",$G975,EDATE($G975,$F975)))),"Check Date")</f>
        <v/>
      </c>
      <c r="I975" s="12" t="str">
        <f aca="true">IF($H975="","",IF(ISNUMBER($H975),$H975-TODAY(),""))</f>
        <v/>
      </c>
      <c r="J975" s="4" t="str">
        <f aca="true">IF($D975="Manual Review","Manual Review",IF($G975="","No Data",IF(NOT(ISNUMBER($H975)),"N/A",IF($H975&lt;TODAY(),"Overdue",IF($H975&lt;=TODAY()+30,"Due within 1 Month",IF($H975&lt;=TODAY()+60,"Due within 2 Months","OK"))))))</f>
        <v>No Data</v>
      </c>
      <c r="K975" s="13"/>
    </row>
    <row r="976" customFormat="false" ht="15" hidden="false" customHeight="false" outlineLevel="0" collapsed="false">
      <c r="A976" s="9" t="str">
        <f aca="false">Vessels!B13</f>
        <v>Vessel 09</v>
      </c>
      <c r="B976" s="9" t="s">
        <v>88</v>
      </c>
      <c r="C976" s="7" t="s">
        <v>113</v>
      </c>
      <c r="D976" s="9" t="s">
        <v>115</v>
      </c>
      <c r="E976" s="9" t="s">
        <v>114</v>
      </c>
      <c r="F976" s="5"/>
      <c r="G976" s="10"/>
      <c r="H976" s="11" t="str">
        <f aca="false">IFERROR(IF($D976="Manual Review","",IF($G976="","",IF($D976="Direct Expiry",$G976,EDATE($G976,$F976)))),"Check Date")</f>
        <v/>
      </c>
      <c r="I976" s="12" t="str">
        <f aca="true">IF($H976="","",IF(ISNUMBER($H976),$H976-TODAY(),""))</f>
        <v/>
      </c>
      <c r="J976" s="4" t="str">
        <f aca="true">IF($D976="Manual Review","Manual Review",IF($G976="","No Data",IF(NOT(ISNUMBER($H976)),"N/A",IF($H976&lt;TODAY(),"Overdue",IF($H976&lt;=TODAY()+30,"Due within 1 Month",IF($H976&lt;=TODAY()+60,"Due within 2 Months","OK"))))))</f>
        <v>Manual Review</v>
      </c>
      <c r="K976" s="13"/>
    </row>
    <row r="977" customFormat="false" ht="15" hidden="false" customHeight="false" outlineLevel="0" collapsed="false">
      <c r="A977" s="9" t="str">
        <f aca="false">Vessels!B13</f>
        <v>Vessel 09</v>
      </c>
      <c r="B977" s="9" t="s">
        <v>88</v>
      </c>
      <c r="C977" s="7" t="s">
        <v>116</v>
      </c>
      <c r="D977" s="9" t="s">
        <v>115</v>
      </c>
      <c r="E977" s="9" t="s">
        <v>114</v>
      </c>
      <c r="F977" s="5"/>
      <c r="G977" s="10"/>
      <c r="H977" s="11" t="str">
        <f aca="false">IFERROR(IF($D977="Manual Review","",IF($G977="","",IF($D977="Direct Expiry",$G977,EDATE($G977,$F977)))),"Check Date")</f>
        <v/>
      </c>
      <c r="I977" s="12" t="str">
        <f aca="true">IF($H977="","",IF(ISNUMBER($H977),$H977-TODAY(),""))</f>
        <v/>
      </c>
      <c r="J977" s="4" t="str">
        <f aca="true">IF($D977="Manual Review","Manual Review",IF($G977="","No Data",IF(NOT(ISNUMBER($H977)),"N/A",IF($H977&lt;TODAY(),"Overdue",IF($H977&lt;=TODAY()+30,"Due within 1 Month",IF($H977&lt;=TODAY()+60,"Due within 2 Months","OK"))))))</f>
        <v>Manual Review</v>
      </c>
      <c r="K977" s="13"/>
    </row>
    <row r="978" customFormat="false" ht="15" hidden="false" customHeight="false" outlineLevel="0" collapsed="false">
      <c r="A978" s="9" t="str">
        <f aca="false">Vessels!B13</f>
        <v>Vessel 09</v>
      </c>
      <c r="B978" s="9" t="s">
        <v>117</v>
      </c>
      <c r="C978" s="7" t="s">
        <v>118</v>
      </c>
      <c r="D978" s="9" t="s">
        <v>59</v>
      </c>
      <c r="E978" s="9" t="s">
        <v>119</v>
      </c>
      <c r="F978" s="5"/>
      <c r="G978" s="10"/>
      <c r="H978" s="11" t="str">
        <f aca="false">IFERROR(IF($D978="Manual Review","",IF($G978="","",IF($D978="Direct Expiry",$G978,EDATE($G978,$F978)))),"Check Date")</f>
        <v/>
      </c>
      <c r="I978" s="12" t="str">
        <f aca="true">IF($H978="","",IF(ISNUMBER($H978),$H978-TODAY(),""))</f>
        <v/>
      </c>
      <c r="J978" s="4" t="str">
        <f aca="true">IF($D978="Manual Review","Manual Review",IF($G978="","No Data",IF(NOT(ISNUMBER($H978)),"N/A",IF($H978&lt;TODAY(),"Overdue",IF($H978&lt;=TODAY()+30,"Due within 1 Month",IF($H978&lt;=TODAY()+60,"Due within 2 Months","OK"))))))</f>
        <v>No Data</v>
      </c>
      <c r="K978" s="13"/>
    </row>
    <row r="979" customFormat="false" ht="15" hidden="false" customHeight="false" outlineLevel="0" collapsed="false">
      <c r="A979" s="9" t="str">
        <f aca="false">Vessels!B13</f>
        <v>Vessel 09</v>
      </c>
      <c r="B979" s="9" t="s">
        <v>117</v>
      </c>
      <c r="C979" s="7" t="s">
        <v>120</v>
      </c>
      <c r="D979" s="9" t="s">
        <v>45</v>
      </c>
      <c r="E979" s="9" t="s">
        <v>44</v>
      </c>
      <c r="F979" s="5" t="n">
        <v>12</v>
      </c>
      <c r="G979" s="10"/>
      <c r="H979" s="11" t="str">
        <f aca="false">IFERROR(IF($D979="Manual Review","",IF($G979="","",IF($D979="Direct Expiry",$G979,EDATE($G979,$F979)))),"Check Date")</f>
        <v/>
      </c>
      <c r="I979" s="12" t="str">
        <f aca="true">IF($H979="","",IF(ISNUMBER($H979),$H979-TODAY(),""))</f>
        <v/>
      </c>
      <c r="J979" s="4" t="str">
        <f aca="true">IF($D979="Manual Review","Manual Review",IF($G979="","No Data",IF(NOT(ISNUMBER($H979)),"N/A",IF($H979&lt;TODAY(),"Overdue",IF($H979&lt;=TODAY()+30,"Due within 1 Month",IF($H979&lt;=TODAY()+60,"Due within 2 Months","OK"))))))</f>
        <v>No Data</v>
      </c>
      <c r="K979" s="13"/>
    </row>
    <row r="980" customFormat="false" ht="15" hidden="false" customHeight="false" outlineLevel="0" collapsed="false">
      <c r="A980" s="9" t="str">
        <f aca="false">Vessels!B13</f>
        <v>Vessel 09</v>
      </c>
      <c r="B980" s="9" t="s">
        <v>117</v>
      </c>
      <c r="C980" s="7" t="s">
        <v>121</v>
      </c>
      <c r="D980" s="9" t="s">
        <v>45</v>
      </c>
      <c r="E980" s="9" t="s">
        <v>44</v>
      </c>
      <c r="F980" s="5" t="n">
        <v>12</v>
      </c>
      <c r="G980" s="10"/>
      <c r="H980" s="11" t="str">
        <f aca="false">IFERROR(IF($D980="Manual Review","",IF($G980="","",IF($D980="Direct Expiry",$G980,EDATE($G980,$F980)))),"Check Date")</f>
        <v/>
      </c>
      <c r="I980" s="12" t="str">
        <f aca="true">IF($H980="","",IF(ISNUMBER($H980),$H980-TODAY(),""))</f>
        <v/>
      </c>
      <c r="J980" s="4" t="str">
        <f aca="true">IF($D980="Manual Review","Manual Review",IF($G980="","No Data",IF(NOT(ISNUMBER($H980)),"N/A",IF($H980&lt;TODAY(),"Overdue",IF($H980&lt;=TODAY()+30,"Due within 1 Month",IF($H980&lt;=TODAY()+60,"Due within 2 Months","OK"))))))</f>
        <v>No Data</v>
      </c>
      <c r="K980" s="13"/>
    </row>
    <row r="981" customFormat="false" ht="15" hidden="false" customHeight="false" outlineLevel="0" collapsed="false">
      <c r="A981" s="9" t="str">
        <f aca="false">Vessels!B13</f>
        <v>Vessel 09</v>
      </c>
      <c r="B981" s="9" t="s">
        <v>117</v>
      </c>
      <c r="C981" s="7" t="s">
        <v>122</v>
      </c>
      <c r="D981" s="9" t="s">
        <v>45</v>
      </c>
      <c r="E981" s="9" t="s">
        <v>123</v>
      </c>
      <c r="F981" s="5" t="n">
        <v>24</v>
      </c>
      <c r="G981" s="10"/>
      <c r="H981" s="11" t="str">
        <f aca="false">IFERROR(IF($D981="Manual Review","",IF($G981="","",IF($D981="Direct Expiry",$G981,EDATE($G981,$F981)))),"Check Date")</f>
        <v/>
      </c>
      <c r="I981" s="12" t="str">
        <f aca="true">IF($H981="","",IF(ISNUMBER($H981),$H981-TODAY(),""))</f>
        <v/>
      </c>
      <c r="J981" s="4" t="str">
        <f aca="true">IF($D981="Manual Review","Manual Review",IF($G981="","No Data",IF(NOT(ISNUMBER($H981)),"N/A",IF($H981&lt;TODAY(),"Overdue",IF($H981&lt;=TODAY()+30,"Due within 1 Month",IF($H981&lt;=TODAY()+60,"Due within 2 Months","OK"))))))</f>
        <v>No Data</v>
      </c>
      <c r="K981" s="13"/>
    </row>
    <row r="982" customFormat="false" ht="15" hidden="false" customHeight="false" outlineLevel="0" collapsed="false">
      <c r="A982" s="9" t="str">
        <f aca="false">Vessels!B13</f>
        <v>Vessel 09</v>
      </c>
      <c r="B982" s="9" t="s">
        <v>117</v>
      </c>
      <c r="C982" s="7" t="s">
        <v>124</v>
      </c>
      <c r="D982" s="9" t="s">
        <v>59</v>
      </c>
      <c r="E982" s="9" t="s">
        <v>58</v>
      </c>
      <c r="F982" s="5"/>
      <c r="G982" s="10"/>
      <c r="H982" s="11" t="str">
        <f aca="false">IFERROR(IF($D982="Manual Review","",IF($G982="","",IF($D982="Direct Expiry",$G982,EDATE($G982,$F982)))),"Check Date")</f>
        <v/>
      </c>
      <c r="I982" s="12" t="str">
        <f aca="true">IF($H982="","",IF(ISNUMBER($H982),$H982-TODAY(),""))</f>
        <v/>
      </c>
      <c r="J982" s="4" t="str">
        <f aca="true">IF($D982="Manual Review","Manual Review",IF($G982="","No Data",IF(NOT(ISNUMBER($H982)),"N/A",IF($H982&lt;TODAY(),"Overdue",IF($H982&lt;=TODAY()+30,"Due within 1 Month",IF($H982&lt;=TODAY()+60,"Due within 2 Months","OK"))))))</f>
        <v>No Data</v>
      </c>
      <c r="K982" s="13"/>
    </row>
    <row r="983" customFormat="false" ht="15" hidden="false" customHeight="false" outlineLevel="0" collapsed="false">
      <c r="A983" s="9" t="str">
        <f aca="false">Vessels!B13</f>
        <v>Vessel 09</v>
      </c>
      <c r="B983" s="9" t="s">
        <v>117</v>
      </c>
      <c r="C983" s="7" t="s">
        <v>125</v>
      </c>
      <c r="D983" s="9" t="s">
        <v>59</v>
      </c>
      <c r="E983" s="9" t="s">
        <v>58</v>
      </c>
      <c r="F983" s="5"/>
      <c r="G983" s="10"/>
      <c r="H983" s="11" t="str">
        <f aca="false">IFERROR(IF($D983="Manual Review","",IF($G983="","",IF($D983="Direct Expiry",$G983,EDATE($G983,$F983)))),"Check Date")</f>
        <v/>
      </c>
      <c r="I983" s="12" t="str">
        <f aca="true">IF($H983="","",IF(ISNUMBER($H983),$H983-TODAY(),""))</f>
        <v/>
      </c>
      <c r="J983" s="4" t="str">
        <f aca="true">IF($D983="Manual Review","Manual Review",IF($G983="","No Data",IF(NOT(ISNUMBER($H983)),"N/A",IF($H983&lt;TODAY(),"Overdue",IF($H983&lt;=TODAY()+30,"Due within 1 Month",IF($H983&lt;=TODAY()+60,"Due within 2 Months","OK"))))))</f>
        <v>No Data</v>
      </c>
      <c r="K983" s="13"/>
    </row>
    <row r="984" customFormat="false" ht="15" hidden="false" customHeight="false" outlineLevel="0" collapsed="false">
      <c r="A984" s="9" t="str">
        <f aca="false">Vessels!B13</f>
        <v>Vessel 09</v>
      </c>
      <c r="B984" s="9" t="s">
        <v>117</v>
      </c>
      <c r="C984" s="7" t="s">
        <v>126</v>
      </c>
      <c r="D984" s="9" t="s">
        <v>45</v>
      </c>
      <c r="E984" s="9" t="s">
        <v>44</v>
      </c>
      <c r="F984" s="5" t="n">
        <v>12</v>
      </c>
      <c r="G984" s="10"/>
      <c r="H984" s="11" t="str">
        <f aca="false">IFERROR(IF($D984="Manual Review","",IF($G984="","",IF($D984="Direct Expiry",$G984,EDATE($G984,$F984)))),"Check Date")</f>
        <v/>
      </c>
      <c r="I984" s="12" t="str">
        <f aca="true">IF($H984="","",IF(ISNUMBER($H984),$H984-TODAY(),""))</f>
        <v/>
      </c>
      <c r="J984" s="4" t="str">
        <f aca="true">IF($D984="Manual Review","Manual Review",IF($G984="","No Data",IF(NOT(ISNUMBER($H984)),"N/A",IF($H984&lt;TODAY(),"Overdue",IF($H984&lt;=TODAY()+30,"Due within 1 Month",IF($H984&lt;=TODAY()+60,"Due within 2 Months","OK"))))))</f>
        <v>No Data</v>
      </c>
      <c r="K984" s="13"/>
    </row>
    <row r="985" customFormat="false" ht="15" hidden="false" customHeight="false" outlineLevel="0" collapsed="false">
      <c r="A985" s="9" t="str">
        <f aca="false">Vessels!B13</f>
        <v>Vessel 09</v>
      </c>
      <c r="B985" s="9" t="s">
        <v>117</v>
      </c>
      <c r="C985" s="7" t="s">
        <v>127</v>
      </c>
      <c r="D985" s="9" t="s">
        <v>59</v>
      </c>
      <c r="E985" s="9" t="s">
        <v>58</v>
      </c>
      <c r="F985" s="5"/>
      <c r="G985" s="10"/>
      <c r="H985" s="11" t="str">
        <f aca="false">IFERROR(IF($D985="Manual Review","",IF($G985="","",IF($D985="Direct Expiry",$G985,EDATE($G985,$F985)))),"Check Date")</f>
        <v/>
      </c>
      <c r="I985" s="12" t="str">
        <f aca="true">IF($H985="","",IF(ISNUMBER($H985),$H985-TODAY(),""))</f>
        <v/>
      </c>
      <c r="J985" s="4" t="str">
        <f aca="true">IF($D985="Manual Review","Manual Review",IF($G985="","No Data",IF(NOT(ISNUMBER($H985)),"N/A",IF($H985&lt;TODAY(),"Overdue",IF($H985&lt;=TODAY()+30,"Due within 1 Month",IF($H985&lt;=TODAY()+60,"Due within 2 Months","OK"))))))</f>
        <v>No Data</v>
      </c>
      <c r="K985" s="13"/>
    </row>
    <row r="986" customFormat="false" ht="15" hidden="false" customHeight="false" outlineLevel="0" collapsed="false">
      <c r="A986" s="9" t="str">
        <f aca="false">Vessels!B13</f>
        <v>Vessel 09</v>
      </c>
      <c r="B986" s="9" t="s">
        <v>117</v>
      </c>
      <c r="C986" s="7" t="s">
        <v>128</v>
      </c>
      <c r="D986" s="9" t="s">
        <v>59</v>
      </c>
      <c r="E986" s="9" t="s">
        <v>58</v>
      </c>
      <c r="F986" s="5"/>
      <c r="G986" s="10"/>
      <c r="H986" s="11" t="str">
        <f aca="false">IFERROR(IF($D986="Manual Review","",IF($G986="","",IF($D986="Direct Expiry",$G986,EDATE($G986,$F986)))),"Check Date")</f>
        <v/>
      </c>
      <c r="I986" s="12" t="str">
        <f aca="true">IF($H986="","",IF(ISNUMBER($H986),$H986-TODAY(),""))</f>
        <v/>
      </c>
      <c r="J986" s="4" t="str">
        <f aca="true">IF($D986="Manual Review","Manual Review",IF($G986="","No Data",IF(NOT(ISNUMBER($H986)),"N/A",IF($H986&lt;TODAY(),"Overdue",IF($H986&lt;=TODAY()+30,"Due within 1 Month",IF($H986&lt;=TODAY()+60,"Due within 2 Months","OK"))))))</f>
        <v>No Data</v>
      </c>
      <c r="K986" s="13"/>
    </row>
    <row r="987" customFormat="false" ht="15" hidden="false" customHeight="false" outlineLevel="0" collapsed="false">
      <c r="A987" s="9" t="str">
        <f aca="false">Vessels!B13</f>
        <v>Vessel 09</v>
      </c>
      <c r="B987" s="9" t="s">
        <v>117</v>
      </c>
      <c r="C987" s="7" t="s">
        <v>129</v>
      </c>
      <c r="D987" s="9" t="s">
        <v>59</v>
      </c>
      <c r="E987" s="9" t="s">
        <v>58</v>
      </c>
      <c r="F987" s="5"/>
      <c r="G987" s="10"/>
      <c r="H987" s="11" t="str">
        <f aca="false">IFERROR(IF($D987="Manual Review","",IF($G987="","",IF($D987="Direct Expiry",$G987,EDATE($G987,$F987)))),"Check Date")</f>
        <v/>
      </c>
      <c r="I987" s="12" t="str">
        <f aca="true">IF($H987="","",IF(ISNUMBER($H987),$H987-TODAY(),""))</f>
        <v/>
      </c>
      <c r="J987" s="4" t="str">
        <f aca="true">IF($D987="Manual Review","Manual Review",IF($G987="","No Data",IF(NOT(ISNUMBER($H987)),"N/A",IF($H987&lt;TODAY(),"Overdue",IF($H987&lt;=TODAY()+30,"Due within 1 Month",IF($H987&lt;=TODAY()+60,"Due within 2 Months","OK"))))))</f>
        <v>No Data</v>
      </c>
      <c r="K987" s="13"/>
    </row>
    <row r="988" customFormat="false" ht="15" hidden="false" customHeight="false" outlineLevel="0" collapsed="false">
      <c r="A988" s="9" t="str">
        <f aca="false">Vessels!B13</f>
        <v>Vessel 09</v>
      </c>
      <c r="B988" s="9" t="s">
        <v>117</v>
      </c>
      <c r="C988" s="7" t="s">
        <v>130</v>
      </c>
      <c r="D988" s="9" t="s">
        <v>45</v>
      </c>
      <c r="E988" s="9" t="s">
        <v>44</v>
      </c>
      <c r="F988" s="5" t="n">
        <v>12</v>
      </c>
      <c r="G988" s="10"/>
      <c r="H988" s="11" t="str">
        <f aca="false">IFERROR(IF($D988="Manual Review","",IF($G988="","",IF($D988="Direct Expiry",$G988,EDATE($G988,$F988)))),"Check Date")</f>
        <v/>
      </c>
      <c r="I988" s="12" t="str">
        <f aca="true">IF($H988="","",IF(ISNUMBER($H988),$H988-TODAY(),""))</f>
        <v/>
      </c>
      <c r="J988" s="4" t="str">
        <f aca="true">IF($D988="Manual Review","Manual Review",IF($G988="","No Data",IF(NOT(ISNUMBER($H988)),"N/A",IF($H988&lt;TODAY(),"Overdue",IF($H988&lt;=TODAY()+30,"Due within 1 Month",IF($H988&lt;=TODAY()+60,"Due within 2 Months","OK"))))))</f>
        <v>No Data</v>
      </c>
      <c r="K988" s="13"/>
    </row>
    <row r="989" customFormat="false" ht="15" hidden="false" customHeight="false" outlineLevel="0" collapsed="false">
      <c r="A989" s="9" t="str">
        <f aca="false">Vessels!B13</f>
        <v>Vessel 09</v>
      </c>
      <c r="B989" s="9" t="s">
        <v>117</v>
      </c>
      <c r="C989" s="7" t="s">
        <v>131</v>
      </c>
      <c r="D989" s="9" t="s">
        <v>45</v>
      </c>
      <c r="E989" s="9" t="s">
        <v>44</v>
      </c>
      <c r="F989" s="5" t="n">
        <v>12</v>
      </c>
      <c r="G989" s="10"/>
      <c r="H989" s="11" t="str">
        <f aca="false">IFERROR(IF($D989="Manual Review","",IF($G989="","",IF($D989="Direct Expiry",$G989,EDATE($G989,$F989)))),"Check Date")</f>
        <v/>
      </c>
      <c r="I989" s="12" t="str">
        <f aca="true">IF($H989="","",IF(ISNUMBER($H989),$H989-TODAY(),""))</f>
        <v/>
      </c>
      <c r="J989" s="4" t="str">
        <f aca="true">IF($D989="Manual Review","Manual Review",IF($G989="","No Data",IF(NOT(ISNUMBER($H989)),"N/A",IF($H989&lt;TODAY(),"Overdue",IF($H989&lt;=TODAY()+30,"Due within 1 Month",IF($H989&lt;=TODAY()+60,"Due within 2 Months","OK"))))))</f>
        <v>No Data</v>
      </c>
      <c r="K989" s="13"/>
    </row>
    <row r="990" customFormat="false" ht="15" hidden="false" customHeight="false" outlineLevel="0" collapsed="false">
      <c r="A990" s="9" t="str">
        <f aca="false">Vessels!B13</f>
        <v>Vessel 09</v>
      </c>
      <c r="B990" s="9" t="s">
        <v>117</v>
      </c>
      <c r="C990" s="7" t="s">
        <v>132</v>
      </c>
      <c r="D990" s="9" t="s">
        <v>45</v>
      </c>
      <c r="E990" s="9" t="s">
        <v>44</v>
      </c>
      <c r="F990" s="5" t="n">
        <v>12</v>
      </c>
      <c r="G990" s="10"/>
      <c r="H990" s="11" t="str">
        <f aca="false">IFERROR(IF($D990="Manual Review","",IF($G990="","",IF($D990="Direct Expiry",$G990,EDATE($G990,$F990)))),"Check Date")</f>
        <v/>
      </c>
      <c r="I990" s="12" t="str">
        <f aca="true">IF($H990="","",IF(ISNUMBER($H990),$H990-TODAY(),""))</f>
        <v/>
      </c>
      <c r="J990" s="4" t="str">
        <f aca="true">IF($D990="Manual Review","Manual Review",IF($G990="","No Data",IF(NOT(ISNUMBER($H990)),"N/A",IF($H990&lt;TODAY(),"Overdue",IF($H990&lt;=TODAY()+30,"Due within 1 Month",IF($H990&lt;=TODAY()+60,"Due within 2 Months","OK"))))))</f>
        <v>No Data</v>
      </c>
      <c r="K990" s="13"/>
    </row>
    <row r="991" customFormat="false" ht="15" hidden="false" customHeight="false" outlineLevel="0" collapsed="false">
      <c r="A991" s="9" t="str">
        <f aca="false">Vessels!B13</f>
        <v>Vessel 09</v>
      </c>
      <c r="B991" s="9" t="s">
        <v>117</v>
      </c>
      <c r="C991" s="7" t="s">
        <v>133</v>
      </c>
      <c r="D991" s="9" t="s">
        <v>45</v>
      </c>
      <c r="E991" s="9" t="s">
        <v>44</v>
      </c>
      <c r="F991" s="5" t="n">
        <v>12</v>
      </c>
      <c r="G991" s="10"/>
      <c r="H991" s="11" t="str">
        <f aca="false">IFERROR(IF($D991="Manual Review","",IF($G991="","",IF($D991="Direct Expiry",$G991,EDATE($G991,$F991)))),"Check Date")</f>
        <v/>
      </c>
      <c r="I991" s="12" t="str">
        <f aca="true">IF($H991="","",IF(ISNUMBER($H991),$H991-TODAY(),""))</f>
        <v/>
      </c>
      <c r="J991" s="4" t="str">
        <f aca="true">IF($D991="Manual Review","Manual Review",IF($G991="","No Data",IF(NOT(ISNUMBER($H991)),"N/A",IF($H991&lt;TODAY(),"Overdue",IF($H991&lt;=TODAY()+30,"Due within 1 Month",IF($H991&lt;=TODAY()+60,"Due within 2 Months","OK"))))))</f>
        <v>No Data</v>
      </c>
      <c r="K991" s="13"/>
    </row>
    <row r="992" customFormat="false" ht="15" hidden="false" customHeight="false" outlineLevel="0" collapsed="false">
      <c r="A992" s="9" t="str">
        <f aca="false">Vessels!B13</f>
        <v>Vessel 09</v>
      </c>
      <c r="B992" s="9" t="s">
        <v>117</v>
      </c>
      <c r="C992" s="7" t="s">
        <v>134</v>
      </c>
      <c r="D992" s="9" t="s">
        <v>45</v>
      </c>
      <c r="E992" s="9" t="s">
        <v>44</v>
      </c>
      <c r="F992" s="5" t="n">
        <v>12</v>
      </c>
      <c r="G992" s="10"/>
      <c r="H992" s="11" t="str">
        <f aca="false">IFERROR(IF($D992="Manual Review","",IF($G992="","",IF($D992="Direct Expiry",$G992,EDATE($G992,$F992)))),"Check Date")</f>
        <v/>
      </c>
      <c r="I992" s="12" t="str">
        <f aca="true">IF($H992="","",IF(ISNUMBER($H992),$H992-TODAY(),""))</f>
        <v/>
      </c>
      <c r="J992" s="4" t="str">
        <f aca="true">IF($D992="Manual Review","Manual Review",IF($G992="","No Data",IF(NOT(ISNUMBER($H992)),"N/A",IF($H992&lt;TODAY(),"Overdue",IF($H992&lt;=TODAY()+30,"Due within 1 Month",IF($H992&lt;=TODAY()+60,"Due within 2 Months","OK"))))))</f>
        <v>No Data</v>
      </c>
      <c r="K992" s="13"/>
    </row>
    <row r="993" customFormat="false" ht="15" hidden="false" customHeight="false" outlineLevel="0" collapsed="false">
      <c r="A993" s="9" t="str">
        <f aca="false">Vessels!B13</f>
        <v>Vessel 09</v>
      </c>
      <c r="B993" s="9" t="s">
        <v>117</v>
      </c>
      <c r="C993" s="7" t="s">
        <v>135</v>
      </c>
      <c r="D993" s="9" t="s">
        <v>45</v>
      </c>
      <c r="E993" s="9" t="s">
        <v>44</v>
      </c>
      <c r="F993" s="5" t="n">
        <v>12</v>
      </c>
      <c r="G993" s="10"/>
      <c r="H993" s="11" t="str">
        <f aca="false">IFERROR(IF($D993="Manual Review","",IF($G993="","",IF($D993="Direct Expiry",$G993,EDATE($G993,$F993)))),"Check Date")</f>
        <v/>
      </c>
      <c r="I993" s="12" t="str">
        <f aca="true">IF($H993="","",IF(ISNUMBER($H993),$H993-TODAY(),""))</f>
        <v/>
      </c>
      <c r="J993" s="4" t="str">
        <f aca="true">IF($D993="Manual Review","Manual Review",IF($G993="","No Data",IF(NOT(ISNUMBER($H993)),"N/A",IF($H993&lt;TODAY(),"Overdue",IF($H993&lt;=TODAY()+30,"Due within 1 Month",IF($H993&lt;=TODAY()+60,"Due within 2 Months","OK"))))))</f>
        <v>No Data</v>
      </c>
      <c r="K993" s="13"/>
    </row>
    <row r="994" customFormat="false" ht="15" hidden="false" customHeight="false" outlineLevel="0" collapsed="false">
      <c r="A994" s="9" t="str">
        <f aca="false">Vessels!B13</f>
        <v>Vessel 09</v>
      </c>
      <c r="B994" s="9" t="s">
        <v>136</v>
      </c>
      <c r="C994" s="7" t="s">
        <v>137</v>
      </c>
      <c r="D994" s="9" t="s">
        <v>45</v>
      </c>
      <c r="E994" s="9" t="s">
        <v>44</v>
      </c>
      <c r="F994" s="5" t="n">
        <v>12</v>
      </c>
      <c r="G994" s="10"/>
      <c r="H994" s="11" t="str">
        <f aca="false">IFERROR(IF($D994="Manual Review","",IF($G994="","",IF($D994="Direct Expiry",$G994,EDATE($G994,$F994)))),"Check Date")</f>
        <v/>
      </c>
      <c r="I994" s="12" t="str">
        <f aca="true">IF($H994="","",IF(ISNUMBER($H994),$H994-TODAY(),""))</f>
        <v/>
      </c>
      <c r="J994" s="4" t="str">
        <f aca="true">IF($D994="Manual Review","Manual Review",IF($G994="","No Data",IF(NOT(ISNUMBER($H994)),"N/A",IF($H994&lt;TODAY(),"Overdue",IF($H994&lt;=TODAY()+30,"Due within 1 Month",IF($H994&lt;=TODAY()+60,"Due within 2 Months","OK"))))))</f>
        <v>No Data</v>
      </c>
      <c r="K994" s="13"/>
    </row>
    <row r="995" customFormat="false" ht="15" hidden="false" customHeight="false" outlineLevel="0" collapsed="false">
      <c r="A995" s="9" t="str">
        <f aca="false">Vessels!B13</f>
        <v>Vessel 09</v>
      </c>
      <c r="B995" s="9" t="s">
        <v>136</v>
      </c>
      <c r="C995" s="7" t="s">
        <v>138</v>
      </c>
      <c r="D995" s="9" t="s">
        <v>45</v>
      </c>
      <c r="E995" s="9" t="s">
        <v>44</v>
      </c>
      <c r="F995" s="5" t="n">
        <v>12</v>
      </c>
      <c r="G995" s="10"/>
      <c r="H995" s="11" t="str">
        <f aca="false">IFERROR(IF($D995="Manual Review","",IF($G995="","",IF($D995="Direct Expiry",$G995,EDATE($G995,$F995)))),"Check Date")</f>
        <v/>
      </c>
      <c r="I995" s="12" t="str">
        <f aca="true">IF($H995="","",IF(ISNUMBER($H995),$H995-TODAY(),""))</f>
        <v/>
      </c>
      <c r="J995" s="4" t="str">
        <f aca="true">IF($D995="Manual Review","Manual Review",IF($G995="","No Data",IF(NOT(ISNUMBER($H995)),"N/A",IF($H995&lt;TODAY(),"Overdue",IF($H995&lt;=TODAY()+30,"Due within 1 Month",IF($H995&lt;=TODAY()+60,"Due within 2 Months","OK"))))))</f>
        <v>No Data</v>
      </c>
      <c r="K995" s="13"/>
    </row>
    <row r="996" customFormat="false" ht="15" hidden="false" customHeight="false" outlineLevel="0" collapsed="false">
      <c r="A996" s="9" t="str">
        <f aca="false">Vessels!B13</f>
        <v>Vessel 09</v>
      </c>
      <c r="B996" s="9" t="s">
        <v>136</v>
      </c>
      <c r="C996" s="7" t="s">
        <v>139</v>
      </c>
      <c r="D996" s="9" t="s">
        <v>45</v>
      </c>
      <c r="E996" s="9" t="s">
        <v>140</v>
      </c>
      <c r="F996" s="5" t="n">
        <v>12</v>
      </c>
      <c r="G996" s="10"/>
      <c r="H996" s="11" t="str">
        <f aca="false">IFERROR(IF($D996="Manual Review","",IF($G996="","",IF($D996="Direct Expiry",$G996,EDATE($G996,$F996)))),"Check Date")</f>
        <v/>
      </c>
      <c r="I996" s="12" t="str">
        <f aca="true">IF($H996="","",IF(ISNUMBER($H996),$H996-TODAY(),""))</f>
        <v/>
      </c>
      <c r="J996" s="4" t="str">
        <f aca="true">IF($D996="Manual Review","Manual Review",IF($G996="","No Data",IF(NOT(ISNUMBER($H996)),"N/A",IF($H996&lt;TODAY(),"Overdue",IF($H996&lt;=TODAY()+30,"Due within 1 Month",IF($H996&lt;=TODAY()+60,"Due within 2 Months","OK"))))))</f>
        <v>No Data</v>
      </c>
      <c r="K996" s="13"/>
    </row>
    <row r="997" customFormat="false" ht="15" hidden="false" customHeight="false" outlineLevel="0" collapsed="false">
      <c r="A997" s="9" t="str">
        <f aca="false">Vessels!B13</f>
        <v>Vessel 09</v>
      </c>
      <c r="B997" s="9" t="s">
        <v>136</v>
      </c>
      <c r="C997" s="7" t="s">
        <v>141</v>
      </c>
      <c r="D997" s="9" t="s">
        <v>45</v>
      </c>
      <c r="E997" s="9" t="s">
        <v>44</v>
      </c>
      <c r="F997" s="5" t="n">
        <v>12</v>
      </c>
      <c r="G997" s="10"/>
      <c r="H997" s="11" t="str">
        <f aca="false">IFERROR(IF($D997="Manual Review","",IF($G997="","",IF($D997="Direct Expiry",$G997,EDATE($G997,$F997)))),"Check Date")</f>
        <v/>
      </c>
      <c r="I997" s="12" t="str">
        <f aca="true">IF($H997="","",IF(ISNUMBER($H997),$H997-TODAY(),""))</f>
        <v/>
      </c>
      <c r="J997" s="4" t="str">
        <f aca="true">IF($D997="Manual Review","Manual Review",IF($G997="","No Data",IF(NOT(ISNUMBER($H997)),"N/A",IF($H997&lt;TODAY(),"Overdue",IF($H997&lt;=TODAY()+30,"Due within 1 Month",IF($H997&lt;=TODAY()+60,"Due within 2 Months","OK"))))))</f>
        <v>No Data</v>
      </c>
      <c r="K997" s="13"/>
    </row>
    <row r="998" customFormat="false" ht="15" hidden="false" customHeight="false" outlineLevel="0" collapsed="false">
      <c r="A998" s="9" t="str">
        <f aca="false">Vessels!B13</f>
        <v>Vessel 09</v>
      </c>
      <c r="B998" s="9" t="s">
        <v>136</v>
      </c>
      <c r="C998" s="7" t="s">
        <v>142</v>
      </c>
      <c r="D998" s="9" t="s">
        <v>115</v>
      </c>
      <c r="E998" s="9" t="s">
        <v>143</v>
      </c>
      <c r="F998" s="5"/>
      <c r="G998" s="10"/>
      <c r="H998" s="11" t="str">
        <f aca="false">IFERROR(IF($D998="Manual Review","",IF($G998="","",IF($D998="Direct Expiry",$G998,EDATE($G998,$F998)))),"Check Date")</f>
        <v/>
      </c>
      <c r="I998" s="12" t="str">
        <f aca="true">IF($H998="","",IF(ISNUMBER($H998),$H998-TODAY(),""))</f>
        <v/>
      </c>
      <c r="J998" s="4" t="str">
        <f aca="true">IF($D998="Manual Review","Manual Review",IF($G998="","No Data",IF(NOT(ISNUMBER($H998)),"N/A",IF($H998&lt;TODAY(),"Overdue",IF($H998&lt;=TODAY()+30,"Due within 1 Month",IF($H998&lt;=TODAY()+60,"Due within 2 Months","OK"))))))</f>
        <v>Manual Review</v>
      </c>
      <c r="K998" s="13"/>
    </row>
    <row r="999" customFormat="false" ht="15" hidden="false" customHeight="false" outlineLevel="0" collapsed="false">
      <c r="A999" s="9" t="str">
        <f aca="false">Vessels!B13</f>
        <v>Vessel 09</v>
      </c>
      <c r="B999" s="9" t="s">
        <v>136</v>
      </c>
      <c r="C999" s="7" t="s">
        <v>144</v>
      </c>
      <c r="D999" s="9" t="s">
        <v>45</v>
      </c>
      <c r="E999" s="9" t="s">
        <v>44</v>
      </c>
      <c r="F999" s="5" t="n">
        <v>12</v>
      </c>
      <c r="G999" s="10"/>
      <c r="H999" s="11" t="str">
        <f aca="false">IFERROR(IF($D999="Manual Review","",IF($G999="","",IF($D999="Direct Expiry",$G999,EDATE($G999,$F999)))),"Check Date")</f>
        <v/>
      </c>
      <c r="I999" s="12" t="str">
        <f aca="true">IF($H999="","",IF(ISNUMBER($H999),$H999-TODAY(),""))</f>
        <v/>
      </c>
      <c r="J999" s="4" t="str">
        <f aca="true">IF($D999="Manual Review","Manual Review",IF($G999="","No Data",IF(NOT(ISNUMBER($H999)),"N/A",IF($H999&lt;TODAY(),"Overdue",IF($H999&lt;=TODAY()+30,"Due within 1 Month",IF($H999&lt;=TODAY()+60,"Due within 2 Months","OK"))))))</f>
        <v>No Data</v>
      </c>
      <c r="K999" s="13"/>
    </row>
    <row r="1000" customFormat="false" ht="15" hidden="false" customHeight="false" outlineLevel="0" collapsed="false">
      <c r="A1000" s="9" t="str">
        <f aca="false">Vessels!B13</f>
        <v>Vessel 09</v>
      </c>
      <c r="B1000" s="9" t="s">
        <v>136</v>
      </c>
      <c r="C1000" s="7" t="s">
        <v>145</v>
      </c>
      <c r="D1000" s="9" t="s">
        <v>45</v>
      </c>
      <c r="E1000" s="9" t="s">
        <v>44</v>
      </c>
      <c r="F1000" s="5" t="n">
        <v>12</v>
      </c>
      <c r="G1000" s="10"/>
      <c r="H1000" s="11" t="str">
        <f aca="false">IFERROR(IF($D1000="Manual Review","",IF($G1000="","",IF($D1000="Direct Expiry",$G1000,EDATE($G1000,$F1000)))),"Check Date")</f>
        <v/>
      </c>
      <c r="I1000" s="12" t="str">
        <f aca="true">IF($H1000="","",IF(ISNUMBER($H1000),$H1000-TODAY(),""))</f>
        <v/>
      </c>
      <c r="J1000" s="4" t="str">
        <f aca="true">IF($D1000="Manual Review","Manual Review",IF($G1000="","No Data",IF(NOT(ISNUMBER($H1000)),"N/A",IF($H1000&lt;TODAY(),"Overdue",IF($H1000&lt;=TODAY()+30,"Due within 1 Month",IF($H1000&lt;=TODAY()+60,"Due within 2 Months","OK"))))))</f>
        <v>No Data</v>
      </c>
      <c r="K1000" s="13"/>
    </row>
    <row r="1001" customFormat="false" ht="15" hidden="false" customHeight="false" outlineLevel="0" collapsed="false">
      <c r="A1001" s="9" t="str">
        <f aca="false">Vessels!B13</f>
        <v>Vessel 09</v>
      </c>
      <c r="B1001" s="9" t="s">
        <v>136</v>
      </c>
      <c r="C1001" s="7" t="s">
        <v>146</v>
      </c>
      <c r="D1001" s="9" t="s">
        <v>45</v>
      </c>
      <c r="E1001" s="9" t="s">
        <v>44</v>
      </c>
      <c r="F1001" s="5" t="n">
        <v>12</v>
      </c>
      <c r="G1001" s="10"/>
      <c r="H1001" s="11" t="str">
        <f aca="false">IFERROR(IF($D1001="Manual Review","",IF($G1001="","",IF($D1001="Direct Expiry",$G1001,EDATE($G1001,$F1001)))),"Check Date")</f>
        <v/>
      </c>
      <c r="I1001" s="12" t="str">
        <f aca="true">IF($H1001="","",IF(ISNUMBER($H1001),$H1001-TODAY(),""))</f>
        <v/>
      </c>
      <c r="J1001" s="4" t="str">
        <f aca="true">IF($D1001="Manual Review","Manual Review",IF($G1001="","No Data",IF(NOT(ISNUMBER($H1001)),"N/A",IF($H1001&lt;TODAY(),"Overdue",IF($H1001&lt;=TODAY()+30,"Due within 1 Month",IF($H1001&lt;=TODAY()+60,"Due within 2 Months","OK"))))))</f>
        <v>No Data</v>
      </c>
      <c r="K1001" s="13"/>
    </row>
    <row r="1002" customFormat="false" ht="15" hidden="false" customHeight="false" outlineLevel="0" collapsed="false">
      <c r="A1002" s="9" t="str">
        <f aca="false">Vessels!B13</f>
        <v>Vessel 09</v>
      </c>
      <c r="B1002" s="9" t="s">
        <v>136</v>
      </c>
      <c r="C1002" s="7" t="s">
        <v>147</v>
      </c>
      <c r="D1002" s="9" t="s">
        <v>45</v>
      </c>
      <c r="E1002" s="9" t="s">
        <v>44</v>
      </c>
      <c r="F1002" s="5" t="n">
        <v>12</v>
      </c>
      <c r="G1002" s="10"/>
      <c r="H1002" s="11" t="str">
        <f aca="false">IFERROR(IF($D1002="Manual Review","",IF($G1002="","",IF($D1002="Direct Expiry",$G1002,EDATE($G1002,$F1002)))),"Check Date")</f>
        <v/>
      </c>
      <c r="I1002" s="12" t="str">
        <f aca="true">IF($H1002="","",IF(ISNUMBER($H1002),$H1002-TODAY(),""))</f>
        <v/>
      </c>
      <c r="J1002" s="4" t="str">
        <f aca="true">IF($D1002="Manual Review","Manual Review",IF($G1002="","No Data",IF(NOT(ISNUMBER($H1002)),"N/A",IF($H1002&lt;TODAY(),"Overdue",IF($H1002&lt;=TODAY()+30,"Due within 1 Month",IF($H1002&lt;=TODAY()+60,"Due within 2 Months","OK"))))))</f>
        <v>No Data</v>
      </c>
      <c r="K1002" s="13"/>
    </row>
    <row r="1003" customFormat="false" ht="15" hidden="false" customHeight="false" outlineLevel="0" collapsed="false">
      <c r="A1003" s="9" t="str">
        <f aca="false">Vessels!B13</f>
        <v>Vessel 09</v>
      </c>
      <c r="B1003" s="9" t="s">
        <v>136</v>
      </c>
      <c r="C1003" s="7" t="s">
        <v>148</v>
      </c>
      <c r="D1003" s="9" t="s">
        <v>45</v>
      </c>
      <c r="E1003" s="9" t="s">
        <v>44</v>
      </c>
      <c r="F1003" s="5" t="n">
        <v>12</v>
      </c>
      <c r="G1003" s="10"/>
      <c r="H1003" s="11" t="str">
        <f aca="false">IFERROR(IF($D1003="Manual Review","",IF($G1003="","",IF($D1003="Direct Expiry",$G1003,EDATE($G1003,$F1003)))),"Check Date")</f>
        <v/>
      </c>
      <c r="I1003" s="12" t="str">
        <f aca="true">IF($H1003="","",IF(ISNUMBER($H1003),$H1003-TODAY(),""))</f>
        <v/>
      </c>
      <c r="J1003" s="4" t="str">
        <f aca="true">IF($D1003="Manual Review","Manual Review",IF($G1003="","No Data",IF(NOT(ISNUMBER($H1003)),"N/A",IF($H1003&lt;TODAY(),"Overdue",IF($H1003&lt;=TODAY()+30,"Due within 1 Month",IF($H1003&lt;=TODAY()+60,"Due within 2 Months","OK"))))))</f>
        <v>No Data</v>
      </c>
      <c r="K1003" s="13"/>
    </row>
    <row r="1004" customFormat="false" ht="15" hidden="false" customHeight="false" outlineLevel="0" collapsed="false">
      <c r="A1004" s="9" t="str">
        <f aca="false">Vessels!B13</f>
        <v>Vessel 09</v>
      </c>
      <c r="B1004" s="9" t="s">
        <v>136</v>
      </c>
      <c r="C1004" s="7" t="s">
        <v>149</v>
      </c>
      <c r="D1004" s="9" t="s">
        <v>45</v>
      </c>
      <c r="E1004" s="9" t="s">
        <v>44</v>
      </c>
      <c r="F1004" s="5" t="n">
        <v>12</v>
      </c>
      <c r="G1004" s="10"/>
      <c r="H1004" s="11" t="str">
        <f aca="false">IFERROR(IF($D1004="Manual Review","",IF($G1004="","",IF($D1004="Direct Expiry",$G1004,EDATE($G1004,$F1004)))),"Check Date")</f>
        <v/>
      </c>
      <c r="I1004" s="12" t="str">
        <f aca="true">IF($H1004="","",IF(ISNUMBER($H1004),$H1004-TODAY(),""))</f>
        <v/>
      </c>
      <c r="J1004" s="4" t="str">
        <f aca="true">IF($D1004="Manual Review","Manual Review",IF($G1004="","No Data",IF(NOT(ISNUMBER($H1004)),"N/A",IF($H1004&lt;TODAY(),"Overdue",IF($H1004&lt;=TODAY()+30,"Due within 1 Month",IF($H1004&lt;=TODAY()+60,"Due within 2 Months","OK"))))))</f>
        <v>No Data</v>
      </c>
      <c r="K1004" s="13"/>
    </row>
    <row r="1005" customFormat="false" ht="15" hidden="false" customHeight="false" outlineLevel="0" collapsed="false">
      <c r="A1005" s="9" t="str">
        <f aca="false">Vessels!B13</f>
        <v>Vessel 09</v>
      </c>
      <c r="B1005" s="9" t="s">
        <v>136</v>
      </c>
      <c r="C1005" s="7" t="s">
        <v>150</v>
      </c>
      <c r="D1005" s="9" t="s">
        <v>45</v>
      </c>
      <c r="E1005" s="9" t="s">
        <v>44</v>
      </c>
      <c r="F1005" s="5" t="n">
        <v>12</v>
      </c>
      <c r="G1005" s="10"/>
      <c r="H1005" s="11" t="str">
        <f aca="false">IFERROR(IF($D1005="Manual Review","",IF($G1005="","",IF($D1005="Direct Expiry",$G1005,EDATE($G1005,$F1005)))),"Check Date")</f>
        <v/>
      </c>
      <c r="I1005" s="12" t="str">
        <f aca="true">IF($H1005="","",IF(ISNUMBER($H1005),$H1005-TODAY(),""))</f>
        <v/>
      </c>
      <c r="J1005" s="4" t="str">
        <f aca="true">IF($D1005="Manual Review","Manual Review",IF($G1005="","No Data",IF(NOT(ISNUMBER($H1005)),"N/A",IF($H1005&lt;TODAY(),"Overdue",IF($H1005&lt;=TODAY()+30,"Due within 1 Month",IF($H1005&lt;=TODAY()+60,"Due within 2 Months","OK"))))))</f>
        <v>No Data</v>
      </c>
      <c r="K1005" s="13"/>
    </row>
    <row r="1006" customFormat="false" ht="15" hidden="false" customHeight="false" outlineLevel="0" collapsed="false">
      <c r="A1006" s="9" t="str">
        <f aca="false">Vessels!B13</f>
        <v>Vessel 09</v>
      </c>
      <c r="B1006" s="9" t="s">
        <v>136</v>
      </c>
      <c r="C1006" s="7" t="s">
        <v>151</v>
      </c>
      <c r="D1006" s="9" t="s">
        <v>45</v>
      </c>
      <c r="E1006" s="9" t="s">
        <v>44</v>
      </c>
      <c r="F1006" s="5" t="n">
        <v>12</v>
      </c>
      <c r="G1006" s="10"/>
      <c r="H1006" s="11" t="str">
        <f aca="false">IFERROR(IF($D1006="Manual Review","",IF($G1006="","",IF($D1006="Direct Expiry",$G1006,EDATE($G1006,$F1006)))),"Check Date")</f>
        <v/>
      </c>
      <c r="I1006" s="12" t="str">
        <f aca="true">IF($H1006="","",IF(ISNUMBER($H1006),$H1006-TODAY(),""))</f>
        <v/>
      </c>
      <c r="J1006" s="4" t="str">
        <f aca="true">IF($D1006="Manual Review","Manual Review",IF($G1006="","No Data",IF(NOT(ISNUMBER($H1006)),"N/A",IF($H1006&lt;TODAY(),"Overdue",IF($H1006&lt;=TODAY()+30,"Due within 1 Month",IF($H1006&lt;=TODAY()+60,"Due within 2 Months","OK"))))))</f>
        <v>No Data</v>
      </c>
      <c r="K1006" s="13"/>
    </row>
    <row r="1007" customFormat="false" ht="15" hidden="false" customHeight="false" outlineLevel="0" collapsed="false">
      <c r="A1007" s="9" t="str">
        <f aca="false">Vessels!B13</f>
        <v>Vessel 09</v>
      </c>
      <c r="B1007" s="9" t="s">
        <v>136</v>
      </c>
      <c r="C1007" s="7" t="s">
        <v>152</v>
      </c>
      <c r="D1007" s="9" t="s">
        <v>45</v>
      </c>
      <c r="E1007" s="9" t="s">
        <v>44</v>
      </c>
      <c r="F1007" s="5" t="n">
        <v>12</v>
      </c>
      <c r="G1007" s="10"/>
      <c r="H1007" s="11" t="str">
        <f aca="false">IFERROR(IF($D1007="Manual Review","",IF($G1007="","",IF($D1007="Direct Expiry",$G1007,EDATE($G1007,$F1007)))),"Check Date")</f>
        <v/>
      </c>
      <c r="I1007" s="12" t="str">
        <f aca="true">IF($H1007="","",IF(ISNUMBER($H1007),$H1007-TODAY(),""))</f>
        <v/>
      </c>
      <c r="J1007" s="4" t="str">
        <f aca="true">IF($D1007="Manual Review","Manual Review",IF($G1007="","No Data",IF(NOT(ISNUMBER($H1007)),"N/A",IF($H1007&lt;TODAY(),"Overdue",IF($H1007&lt;=TODAY()+30,"Due within 1 Month",IF($H1007&lt;=TODAY()+60,"Due within 2 Months","OK"))))))</f>
        <v>No Data</v>
      </c>
      <c r="K1007" s="13"/>
    </row>
    <row r="1008" customFormat="false" ht="15" hidden="false" customHeight="false" outlineLevel="0" collapsed="false">
      <c r="A1008" s="9" t="str">
        <f aca="false">Vessels!B13</f>
        <v>Vessel 09</v>
      </c>
      <c r="B1008" s="9" t="s">
        <v>136</v>
      </c>
      <c r="C1008" s="7" t="s">
        <v>153</v>
      </c>
      <c r="D1008" s="9" t="s">
        <v>45</v>
      </c>
      <c r="E1008" s="9" t="s">
        <v>44</v>
      </c>
      <c r="F1008" s="5" t="n">
        <v>12</v>
      </c>
      <c r="G1008" s="10"/>
      <c r="H1008" s="11" t="str">
        <f aca="false">IFERROR(IF($D1008="Manual Review","",IF($G1008="","",IF($D1008="Direct Expiry",$G1008,EDATE($G1008,$F1008)))),"Check Date")</f>
        <v/>
      </c>
      <c r="I1008" s="12" t="str">
        <f aca="true">IF($H1008="","",IF(ISNUMBER($H1008),$H1008-TODAY(),""))</f>
        <v/>
      </c>
      <c r="J1008" s="4" t="str">
        <f aca="true">IF($D1008="Manual Review","Manual Review",IF($G1008="","No Data",IF(NOT(ISNUMBER($H1008)),"N/A",IF($H1008&lt;TODAY(),"Overdue",IF($H1008&lt;=TODAY()+30,"Due within 1 Month",IF($H1008&lt;=TODAY()+60,"Due within 2 Months","OK"))))))</f>
        <v>No Data</v>
      </c>
      <c r="K1008" s="13"/>
    </row>
    <row r="1009" customFormat="false" ht="15" hidden="false" customHeight="false" outlineLevel="0" collapsed="false">
      <c r="A1009" s="9" t="str">
        <f aca="false">Vessels!B13</f>
        <v>Vessel 09</v>
      </c>
      <c r="B1009" s="9" t="s">
        <v>136</v>
      </c>
      <c r="C1009" s="7" t="s">
        <v>154</v>
      </c>
      <c r="D1009" s="9" t="s">
        <v>45</v>
      </c>
      <c r="E1009" s="9" t="s">
        <v>44</v>
      </c>
      <c r="F1009" s="5" t="n">
        <v>12</v>
      </c>
      <c r="G1009" s="10"/>
      <c r="H1009" s="11" t="str">
        <f aca="false">IFERROR(IF($D1009="Manual Review","",IF($G1009="","",IF($D1009="Direct Expiry",$G1009,EDATE($G1009,$F1009)))),"Check Date")</f>
        <v/>
      </c>
      <c r="I1009" s="12" t="str">
        <f aca="true">IF($H1009="","",IF(ISNUMBER($H1009),$H1009-TODAY(),""))</f>
        <v/>
      </c>
      <c r="J1009" s="4" t="str">
        <f aca="true">IF($D1009="Manual Review","Manual Review",IF($G1009="","No Data",IF(NOT(ISNUMBER($H1009)),"N/A",IF($H1009&lt;TODAY(),"Overdue",IF($H1009&lt;=TODAY()+30,"Due within 1 Month",IF($H1009&lt;=TODAY()+60,"Due within 2 Months","OK"))))))</f>
        <v>No Data</v>
      </c>
      <c r="K1009" s="13"/>
    </row>
    <row r="1010" customFormat="false" ht="15" hidden="false" customHeight="false" outlineLevel="0" collapsed="false">
      <c r="A1010" s="9" t="str">
        <f aca="false">Vessels!B13</f>
        <v>Vessel 09</v>
      </c>
      <c r="B1010" s="9" t="s">
        <v>136</v>
      </c>
      <c r="C1010" s="7" t="s">
        <v>155</v>
      </c>
      <c r="D1010" s="9" t="s">
        <v>45</v>
      </c>
      <c r="E1010" s="9" t="s">
        <v>44</v>
      </c>
      <c r="F1010" s="5" t="n">
        <v>12</v>
      </c>
      <c r="G1010" s="10"/>
      <c r="H1010" s="11" t="str">
        <f aca="false">IFERROR(IF($D1010="Manual Review","",IF($G1010="","",IF($D1010="Direct Expiry",$G1010,EDATE($G1010,$F1010)))),"Check Date")</f>
        <v/>
      </c>
      <c r="I1010" s="12" t="str">
        <f aca="true">IF($H1010="","",IF(ISNUMBER($H1010),$H1010-TODAY(),""))</f>
        <v/>
      </c>
      <c r="J1010" s="4" t="str">
        <f aca="true">IF($D1010="Manual Review","Manual Review",IF($G1010="","No Data",IF(NOT(ISNUMBER($H1010)),"N/A",IF($H1010&lt;TODAY(),"Overdue",IF($H1010&lt;=TODAY()+30,"Due within 1 Month",IF($H1010&lt;=TODAY()+60,"Due within 2 Months","OK"))))))</f>
        <v>No Data</v>
      </c>
      <c r="K1010" s="13"/>
    </row>
    <row r="1011" customFormat="false" ht="15" hidden="false" customHeight="false" outlineLevel="0" collapsed="false">
      <c r="A1011" s="9" t="str">
        <f aca="false">Vessels!B13</f>
        <v>Vessel 09</v>
      </c>
      <c r="B1011" s="9" t="s">
        <v>136</v>
      </c>
      <c r="C1011" s="7" t="s">
        <v>156</v>
      </c>
      <c r="D1011" s="9" t="s">
        <v>45</v>
      </c>
      <c r="E1011" s="9" t="s">
        <v>44</v>
      </c>
      <c r="F1011" s="5" t="n">
        <v>12</v>
      </c>
      <c r="G1011" s="10"/>
      <c r="H1011" s="11" t="str">
        <f aca="false">IFERROR(IF($D1011="Manual Review","",IF($G1011="","",IF($D1011="Direct Expiry",$G1011,EDATE($G1011,$F1011)))),"Check Date")</f>
        <v/>
      </c>
      <c r="I1011" s="12" t="str">
        <f aca="true">IF($H1011="","",IF(ISNUMBER($H1011),$H1011-TODAY(),""))</f>
        <v/>
      </c>
      <c r="J1011" s="4" t="str">
        <f aca="true">IF($D1011="Manual Review","Manual Review",IF($G1011="","No Data",IF(NOT(ISNUMBER($H1011)),"N/A",IF($H1011&lt;TODAY(),"Overdue",IF($H1011&lt;=TODAY()+30,"Due within 1 Month",IF($H1011&lt;=TODAY()+60,"Due within 2 Months","OK"))))))</f>
        <v>No Data</v>
      </c>
      <c r="K1011" s="13"/>
    </row>
    <row r="1012" customFormat="false" ht="15" hidden="false" customHeight="false" outlineLevel="0" collapsed="false">
      <c r="A1012" s="9" t="str">
        <f aca="false">Vessels!B13</f>
        <v>Vessel 09</v>
      </c>
      <c r="B1012" s="9" t="s">
        <v>136</v>
      </c>
      <c r="C1012" s="7" t="s">
        <v>157</v>
      </c>
      <c r="D1012" s="9" t="s">
        <v>45</v>
      </c>
      <c r="E1012" s="9" t="s">
        <v>44</v>
      </c>
      <c r="F1012" s="5" t="n">
        <v>12</v>
      </c>
      <c r="G1012" s="10"/>
      <c r="H1012" s="11" t="str">
        <f aca="false">IFERROR(IF($D1012="Manual Review","",IF($G1012="","",IF($D1012="Direct Expiry",$G1012,EDATE($G1012,$F1012)))),"Check Date")</f>
        <v/>
      </c>
      <c r="I1012" s="12" t="str">
        <f aca="true">IF($H1012="","",IF(ISNUMBER($H1012),$H1012-TODAY(),""))</f>
        <v/>
      </c>
      <c r="J1012" s="4" t="str">
        <f aca="true">IF($D1012="Manual Review","Manual Review",IF($G1012="","No Data",IF(NOT(ISNUMBER($H1012)),"N/A",IF($H1012&lt;TODAY(),"Overdue",IF($H1012&lt;=TODAY()+30,"Due within 1 Month",IF($H1012&lt;=TODAY()+60,"Due within 2 Months","OK"))))))</f>
        <v>No Data</v>
      </c>
      <c r="K1012" s="13"/>
    </row>
    <row r="1013" customFormat="false" ht="15" hidden="false" customHeight="false" outlineLevel="0" collapsed="false">
      <c r="A1013" s="9" t="str">
        <f aca="false">Vessels!B14</f>
        <v>Vessel 10</v>
      </c>
      <c r="B1013" s="9" t="s">
        <v>42</v>
      </c>
      <c r="C1013" s="7" t="s">
        <v>43</v>
      </c>
      <c r="D1013" s="9" t="s">
        <v>45</v>
      </c>
      <c r="E1013" s="9" t="s">
        <v>44</v>
      </c>
      <c r="F1013" s="5" t="n">
        <v>12</v>
      </c>
      <c r="G1013" s="10"/>
      <c r="H1013" s="11" t="str">
        <f aca="false">IFERROR(IF($D1013="Manual Review","",IF($G1013="","",IF($D1013="Direct Expiry",$G1013,EDATE($G1013,$F1013)))),"Check Date")</f>
        <v/>
      </c>
      <c r="I1013" s="12" t="str">
        <f aca="true">IF($H1013="","",IF(ISNUMBER($H1013),$H1013-TODAY(),""))</f>
        <v/>
      </c>
      <c r="J1013" s="4" t="str">
        <f aca="true">IF($D1013="Manual Review","Manual Review",IF($G1013="","No Data",IF(NOT(ISNUMBER($H1013)),"N/A",IF($H1013&lt;TODAY(),"Overdue",IF($H1013&lt;=TODAY()+30,"Due within 1 Month",IF($H1013&lt;=TODAY()+60,"Due within 2 Months","OK"))))))</f>
        <v>No Data</v>
      </c>
      <c r="K1013" s="13"/>
    </row>
    <row r="1014" customFormat="false" ht="15" hidden="false" customHeight="false" outlineLevel="0" collapsed="false">
      <c r="A1014" s="9" t="str">
        <f aca="false">Vessels!B14</f>
        <v>Vessel 10</v>
      </c>
      <c r="B1014" s="9" t="s">
        <v>42</v>
      </c>
      <c r="C1014" s="7" t="s">
        <v>43</v>
      </c>
      <c r="D1014" s="9" t="s">
        <v>45</v>
      </c>
      <c r="E1014" s="9" t="s">
        <v>46</v>
      </c>
      <c r="F1014" s="5" t="n">
        <v>60</v>
      </c>
      <c r="G1014" s="10"/>
      <c r="H1014" s="11" t="str">
        <f aca="false">IFERROR(IF($D1014="Manual Review","",IF($G1014="","",IF($D1014="Direct Expiry",$G1014,EDATE($G1014,$F1014)))),"Check Date")</f>
        <v/>
      </c>
      <c r="I1014" s="12" t="str">
        <f aca="true">IF($H1014="","",IF(ISNUMBER($H1014),$H1014-TODAY(),""))</f>
        <v/>
      </c>
      <c r="J1014" s="4" t="str">
        <f aca="true">IF($D1014="Manual Review","Manual Review",IF($G1014="","No Data",IF(NOT(ISNUMBER($H1014)),"N/A",IF($H1014&lt;TODAY(),"Overdue",IF($H1014&lt;=TODAY()+30,"Due within 1 Month",IF($H1014&lt;=TODAY()+60,"Due within 2 Months","OK"))))))</f>
        <v>No Data</v>
      </c>
      <c r="K1014" s="13"/>
    </row>
    <row r="1015" customFormat="false" ht="15" hidden="false" customHeight="false" outlineLevel="0" collapsed="false">
      <c r="A1015" s="9" t="str">
        <f aca="false">Vessels!B14</f>
        <v>Vessel 10</v>
      </c>
      <c r="B1015" s="9" t="s">
        <v>42</v>
      </c>
      <c r="C1015" s="7" t="s">
        <v>47</v>
      </c>
      <c r="D1015" s="9" t="s">
        <v>45</v>
      </c>
      <c r="E1015" s="9" t="s">
        <v>44</v>
      </c>
      <c r="F1015" s="5" t="n">
        <v>12</v>
      </c>
      <c r="G1015" s="10"/>
      <c r="H1015" s="11" t="str">
        <f aca="false">IFERROR(IF($D1015="Manual Review","",IF($G1015="","",IF($D1015="Direct Expiry",$G1015,EDATE($G1015,$F1015)))),"Check Date")</f>
        <v/>
      </c>
      <c r="I1015" s="12" t="str">
        <f aca="true">IF($H1015="","",IF(ISNUMBER($H1015),$H1015-TODAY(),""))</f>
        <v/>
      </c>
      <c r="J1015" s="4" t="str">
        <f aca="true">IF($D1015="Manual Review","Manual Review",IF($G1015="","No Data",IF(NOT(ISNUMBER($H1015)),"N/A",IF($H1015&lt;TODAY(),"Overdue",IF($H1015&lt;=TODAY()+30,"Due within 1 Month",IF($H1015&lt;=TODAY()+60,"Due within 2 Months","OK"))))))</f>
        <v>No Data</v>
      </c>
      <c r="K1015" s="13"/>
    </row>
    <row r="1016" customFormat="false" ht="15" hidden="false" customHeight="false" outlineLevel="0" collapsed="false">
      <c r="A1016" s="9" t="str">
        <f aca="false">Vessels!B14</f>
        <v>Vessel 10</v>
      </c>
      <c r="B1016" s="9" t="s">
        <v>42</v>
      </c>
      <c r="C1016" s="7" t="s">
        <v>47</v>
      </c>
      <c r="D1016" s="9" t="s">
        <v>45</v>
      </c>
      <c r="E1016" s="9" t="s">
        <v>46</v>
      </c>
      <c r="F1016" s="5" t="n">
        <v>60</v>
      </c>
      <c r="G1016" s="10"/>
      <c r="H1016" s="11" t="str">
        <f aca="false">IFERROR(IF($D1016="Manual Review","",IF($G1016="","",IF($D1016="Direct Expiry",$G1016,EDATE($G1016,$F1016)))),"Check Date")</f>
        <v/>
      </c>
      <c r="I1016" s="12" t="str">
        <f aca="true">IF($H1016="","",IF(ISNUMBER($H1016),$H1016-TODAY(),""))</f>
        <v/>
      </c>
      <c r="J1016" s="4" t="str">
        <f aca="true">IF($D1016="Manual Review","Manual Review",IF($G1016="","No Data",IF(NOT(ISNUMBER($H1016)),"N/A",IF($H1016&lt;TODAY(),"Overdue",IF($H1016&lt;=TODAY()+30,"Due within 1 Month",IF($H1016&lt;=TODAY()+60,"Due within 2 Months","OK"))))))</f>
        <v>No Data</v>
      </c>
      <c r="K1016" s="13"/>
    </row>
    <row r="1017" customFormat="false" ht="15" hidden="false" customHeight="false" outlineLevel="0" collapsed="false">
      <c r="A1017" s="9" t="str">
        <f aca="false">Vessels!B14</f>
        <v>Vessel 10</v>
      </c>
      <c r="B1017" s="9" t="s">
        <v>42</v>
      </c>
      <c r="C1017" s="7" t="s">
        <v>48</v>
      </c>
      <c r="D1017" s="9" t="s">
        <v>45</v>
      </c>
      <c r="E1017" s="9" t="s">
        <v>44</v>
      </c>
      <c r="F1017" s="5" t="n">
        <v>12</v>
      </c>
      <c r="G1017" s="10"/>
      <c r="H1017" s="11" t="str">
        <f aca="false">IFERROR(IF($D1017="Manual Review","",IF($G1017="","",IF($D1017="Direct Expiry",$G1017,EDATE($G1017,$F1017)))),"Check Date")</f>
        <v/>
      </c>
      <c r="I1017" s="12" t="str">
        <f aca="true">IF($H1017="","",IF(ISNUMBER($H1017),$H1017-TODAY(),""))</f>
        <v/>
      </c>
      <c r="J1017" s="4" t="str">
        <f aca="true">IF($D1017="Manual Review","Manual Review",IF($G1017="","No Data",IF(NOT(ISNUMBER($H1017)),"N/A",IF($H1017&lt;TODAY(),"Overdue",IF($H1017&lt;=TODAY()+30,"Due within 1 Month",IF($H1017&lt;=TODAY()+60,"Due within 2 Months","OK"))))))</f>
        <v>No Data</v>
      </c>
      <c r="K1017" s="13"/>
    </row>
    <row r="1018" customFormat="false" ht="15" hidden="false" customHeight="false" outlineLevel="0" collapsed="false">
      <c r="A1018" s="9" t="str">
        <f aca="false">Vessels!B14</f>
        <v>Vessel 10</v>
      </c>
      <c r="B1018" s="9" t="s">
        <v>42</v>
      </c>
      <c r="C1018" s="7" t="s">
        <v>48</v>
      </c>
      <c r="D1018" s="9" t="s">
        <v>45</v>
      </c>
      <c r="E1018" s="9" t="s">
        <v>49</v>
      </c>
      <c r="F1018" s="5" t="n">
        <v>60</v>
      </c>
      <c r="G1018" s="10"/>
      <c r="H1018" s="11" t="str">
        <f aca="false">IFERROR(IF($D1018="Manual Review","",IF($G1018="","",IF($D1018="Direct Expiry",$G1018,EDATE($G1018,$F1018)))),"Check Date")</f>
        <v/>
      </c>
      <c r="I1018" s="12" t="str">
        <f aca="true">IF($H1018="","",IF(ISNUMBER($H1018),$H1018-TODAY(),""))</f>
        <v/>
      </c>
      <c r="J1018" s="4" t="str">
        <f aca="true">IF($D1018="Manual Review","Manual Review",IF($G1018="","No Data",IF(NOT(ISNUMBER($H1018)),"N/A",IF($H1018&lt;TODAY(),"Overdue",IF($H1018&lt;=TODAY()+30,"Due within 1 Month",IF($H1018&lt;=TODAY()+60,"Due within 2 Months","OK"))))))</f>
        <v>No Data</v>
      </c>
      <c r="K1018" s="13"/>
    </row>
    <row r="1019" customFormat="false" ht="15" hidden="false" customHeight="false" outlineLevel="0" collapsed="false">
      <c r="A1019" s="9" t="str">
        <f aca="false">Vessels!B14</f>
        <v>Vessel 10</v>
      </c>
      <c r="B1019" s="9" t="s">
        <v>42</v>
      </c>
      <c r="C1019" s="7" t="s">
        <v>50</v>
      </c>
      <c r="D1019" s="9" t="s">
        <v>45</v>
      </c>
      <c r="E1019" s="9" t="s">
        <v>44</v>
      </c>
      <c r="F1019" s="5" t="n">
        <v>12</v>
      </c>
      <c r="G1019" s="10"/>
      <c r="H1019" s="11" t="str">
        <f aca="false">IFERROR(IF($D1019="Manual Review","",IF($G1019="","",IF($D1019="Direct Expiry",$G1019,EDATE($G1019,$F1019)))),"Check Date")</f>
        <v/>
      </c>
      <c r="I1019" s="12" t="str">
        <f aca="true">IF($H1019="","",IF(ISNUMBER($H1019),$H1019-TODAY(),""))</f>
        <v/>
      </c>
      <c r="J1019" s="4" t="str">
        <f aca="true">IF($D1019="Manual Review","Manual Review",IF($G1019="","No Data",IF(NOT(ISNUMBER($H1019)),"N/A",IF($H1019&lt;TODAY(),"Overdue",IF($H1019&lt;=TODAY()+30,"Due within 1 Month",IF($H1019&lt;=TODAY()+60,"Due within 2 Months","OK"))))))</f>
        <v>No Data</v>
      </c>
      <c r="K1019" s="13"/>
    </row>
    <row r="1020" customFormat="false" ht="15" hidden="false" customHeight="false" outlineLevel="0" collapsed="false">
      <c r="A1020" s="9" t="str">
        <f aca="false">Vessels!B14</f>
        <v>Vessel 10</v>
      </c>
      <c r="B1020" s="9" t="s">
        <v>42</v>
      </c>
      <c r="C1020" s="7" t="s">
        <v>50</v>
      </c>
      <c r="D1020" s="9" t="s">
        <v>45</v>
      </c>
      <c r="E1020" s="9" t="s">
        <v>49</v>
      </c>
      <c r="F1020" s="5" t="n">
        <v>60</v>
      </c>
      <c r="G1020" s="10"/>
      <c r="H1020" s="11" t="str">
        <f aca="false">IFERROR(IF($D1020="Manual Review","",IF($G1020="","",IF($D1020="Direct Expiry",$G1020,EDATE($G1020,$F1020)))),"Check Date")</f>
        <v/>
      </c>
      <c r="I1020" s="12" t="str">
        <f aca="true">IF($H1020="","",IF(ISNUMBER($H1020),$H1020-TODAY(),""))</f>
        <v/>
      </c>
      <c r="J1020" s="4" t="str">
        <f aca="true">IF($D1020="Manual Review","Manual Review",IF($G1020="","No Data",IF(NOT(ISNUMBER($H1020)),"N/A",IF($H1020&lt;TODAY(),"Overdue",IF($H1020&lt;=TODAY()+30,"Due within 1 Month",IF($H1020&lt;=TODAY()+60,"Due within 2 Months","OK"))))))</f>
        <v>No Data</v>
      </c>
      <c r="K1020" s="13"/>
    </row>
    <row r="1021" customFormat="false" ht="15" hidden="false" customHeight="false" outlineLevel="0" collapsed="false">
      <c r="A1021" s="9" t="str">
        <f aca="false">Vessels!B14</f>
        <v>Vessel 10</v>
      </c>
      <c r="B1021" s="9" t="s">
        <v>42</v>
      </c>
      <c r="C1021" s="7" t="s">
        <v>51</v>
      </c>
      <c r="D1021" s="9" t="s">
        <v>45</v>
      </c>
      <c r="E1021" s="9" t="s">
        <v>46</v>
      </c>
      <c r="F1021" s="5" t="n">
        <v>60</v>
      </c>
      <c r="G1021" s="10"/>
      <c r="H1021" s="11" t="str">
        <f aca="false">IFERROR(IF($D1021="Manual Review","",IF($G1021="","",IF($D1021="Direct Expiry",$G1021,EDATE($G1021,$F1021)))),"Check Date")</f>
        <v/>
      </c>
      <c r="I1021" s="12" t="str">
        <f aca="true">IF($H1021="","",IF(ISNUMBER($H1021),$H1021-TODAY(),""))</f>
        <v/>
      </c>
      <c r="J1021" s="4" t="str">
        <f aca="true">IF($D1021="Manual Review","Manual Review",IF($G1021="","No Data",IF(NOT(ISNUMBER($H1021)),"N/A",IF($H1021&lt;TODAY(),"Overdue",IF($H1021&lt;=TODAY()+30,"Due within 1 Month",IF($H1021&lt;=TODAY()+60,"Due within 2 Months","OK"))))))</f>
        <v>No Data</v>
      </c>
      <c r="K1021" s="13"/>
    </row>
    <row r="1022" customFormat="false" ht="15" hidden="false" customHeight="false" outlineLevel="0" collapsed="false">
      <c r="A1022" s="9" t="str">
        <f aca="false">Vessels!B14</f>
        <v>Vessel 10</v>
      </c>
      <c r="B1022" s="9" t="s">
        <v>42</v>
      </c>
      <c r="C1022" s="7" t="s">
        <v>52</v>
      </c>
      <c r="D1022" s="9" t="s">
        <v>45</v>
      </c>
      <c r="E1022" s="9" t="s">
        <v>46</v>
      </c>
      <c r="F1022" s="5" t="n">
        <v>60</v>
      </c>
      <c r="G1022" s="10"/>
      <c r="H1022" s="11" t="str">
        <f aca="false">IFERROR(IF($D1022="Manual Review","",IF($G1022="","",IF($D1022="Direct Expiry",$G1022,EDATE($G1022,$F1022)))),"Check Date")</f>
        <v/>
      </c>
      <c r="I1022" s="12" t="str">
        <f aca="true">IF($H1022="","",IF(ISNUMBER($H1022),$H1022-TODAY(),""))</f>
        <v/>
      </c>
      <c r="J1022" s="4" t="str">
        <f aca="true">IF($D1022="Manual Review","Manual Review",IF($G1022="","No Data",IF(NOT(ISNUMBER($H1022)),"N/A",IF($H1022&lt;TODAY(),"Overdue",IF($H1022&lt;=TODAY()+30,"Due within 1 Month",IF($H1022&lt;=TODAY()+60,"Due within 2 Months","OK"))))))</f>
        <v>No Data</v>
      </c>
      <c r="K1022" s="13"/>
    </row>
    <row r="1023" customFormat="false" ht="15" hidden="false" customHeight="false" outlineLevel="0" collapsed="false">
      <c r="A1023" s="9" t="str">
        <f aca="false">Vessels!B14</f>
        <v>Vessel 10</v>
      </c>
      <c r="B1023" s="9" t="s">
        <v>42</v>
      </c>
      <c r="C1023" s="7" t="s">
        <v>53</v>
      </c>
      <c r="D1023" s="9" t="s">
        <v>45</v>
      </c>
      <c r="E1023" s="9" t="s">
        <v>46</v>
      </c>
      <c r="F1023" s="5" t="n">
        <v>60</v>
      </c>
      <c r="G1023" s="10"/>
      <c r="H1023" s="11" t="str">
        <f aca="false">IFERROR(IF($D1023="Manual Review","",IF($G1023="","",IF($D1023="Direct Expiry",$G1023,EDATE($G1023,$F1023)))),"Check Date")</f>
        <v/>
      </c>
      <c r="I1023" s="12" t="str">
        <f aca="true">IF($H1023="","",IF(ISNUMBER($H1023),$H1023-TODAY(),""))</f>
        <v/>
      </c>
      <c r="J1023" s="4" t="str">
        <f aca="true">IF($D1023="Manual Review","Manual Review",IF($G1023="","No Data",IF(NOT(ISNUMBER($H1023)),"N/A",IF($H1023&lt;TODAY(),"Overdue",IF($H1023&lt;=TODAY()+30,"Due within 1 Month",IF($H1023&lt;=TODAY()+60,"Due within 2 Months","OK"))))))</f>
        <v>No Data</v>
      </c>
      <c r="K1023" s="13"/>
    </row>
    <row r="1024" customFormat="false" ht="15" hidden="false" customHeight="false" outlineLevel="0" collapsed="false">
      <c r="A1024" s="9" t="str">
        <f aca="false">Vessels!B14</f>
        <v>Vessel 10</v>
      </c>
      <c r="B1024" s="9" t="s">
        <v>42</v>
      </c>
      <c r="C1024" s="7" t="s">
        <v>54</v>
      </c>
      <c r="D1024" s="9" t="s">
        <v>45</v>
      </c>
      <c r="E1024" s="9" t="s">
        <v>46</v>
      </c>
      <c r="F1024" s="5" t="n">
        <v>60</v>
      </c>
      <c r="G1024" s="10"/>
      <c r="H1024" s="11" t="str">
        <f aca="false">IFERROR(IF($D1024="Manual Review","",IF($G1024="","",IF($D1024="Direct Expiry",$G1024,EDATE($G1024,$F1024)))),"Check Date")</f>
        <v/>
      </c>
      <c r="I1024" s="12" t="str">
        <f aca="true">IF($H1024="","",IF(ISNUMBER($H1024),$H1024-TODAY(),""))</f>
        <v/>
      </c>
      <c r="J1024" s="4" t="str">
        <f aca="true">IF($D1024="Manual Review","Manual Review",IF($G1024="","No Data",IF(NOT(ISNUMBER($H1024)),"N/A",IF($H1024&lt;TODAY(),"Overdue",IF($H1024&lt;=TODAY()+30,"Due within 1 Month",IF($H1024&lt;=TODAY()+60,"Due within 2 Months","OK"))))))</f>
        <v>No Data</v>
      </c>
      <c r="K1024" s="13"/>
    </row>
    <row r="1025" customFormat="false" ht="15" hidden="false" customHeight="false" outlineLevel="0" collapsed="false">
      <c r="A1025" s="9" t="str">
        <f aca="false">Vessels!B14</f>
        <v>Vessel 10</v>
      </c>
      <c r="B1025" s="9" t="s">
        <v>42</v>
      </c>
      <c r="C1025" s="7" t="s">
        <v>55</v>
      </c>
      <c r="D1025" s="9" t="s">
        <v>45</v>
      </c>
      <c r="E1025" s="9" t="s">
        <v>46</v>
      </c>
      <c r="F1025" s="5" t="n">
        <v>60</v>
      </c>
      <c r="G1025" s="10"/>
      <c r="H1025" s="11" t="str">
        <f aca="false">IFERROR(IF($D1025="Manual Review","",IF($G1025="","",IF($D1025="Direct Expiry",$G1025,EDATE($G1025,$F1025)))),"Check Date")</f>
        <v/>
      </c>
      <c r="I1025" s="12" t="str">
        <f aca="true">IF($H1025="","",IF(ISNUMBER($H1025),$H1025-TODAY(),""))</f>
        <v/>
      </c>
      <c r="J1025" s="4" t="str">
        <f aca="true">IF($D1025="Manual Review","Manual Review",IF($G1025="","No Data",IF(NOT(ISNUMBER($H1025)),"N/A",IF($H1025&lt;TODAY(),"Overdue",IF($H1025&lt;=TODAY()+30,"Due within 1 Month",IF($H1025&lt;=TODAY()+60,"Due within 2 Months","OK"))))))</f>
        <v>No Data</v>
      </c>
      <c r="K1025" s="13"/>
    </row>
    <row r="1026" customFormat="false" ht="15" hidden="false" customHeight="false" outlineLevel="0" collapsed="false">
      <c r="A1026" s="9" t="str">
        <f aca="false">Vessels!B14</f>
        <v>Vessel 10</v>
      </c>
      <c r="B1026" s="9" t="s">
        <v>42</v>
      </c>
      <c r="C1026" s="7" t="s">
        <v>56</v>
      </c>
      <c r="D1026" s="9" t="s">
        <v>45</v>
      </c>
      <c r="E1026" s="9" t="s">
        <v>46</v>
      </c>
      <c r="F1026" s="5" t="n">
        <v>60</v>
      </c>
      <c r="G1026" s="10"/>
      <c r="H1026" s="11" t="str">
        <f aca="false">IFERROR(IF($D1026="Manual Review","",IF($G1026="","",IF($D1026="Direct Expiry",$G1026,EDATE($G1026,$F1026)))),"Check Date")</f>
        <v/>
      </c>
      <c r="I1026" s="12" t="str">
        <f aca="true">IF($H1026="","",IF(ISNUMBER($H1026),$H1026-TODAY(),""))</f>
        <v/>
      </c>
      <c r="J1026" s="4" t="str">
        <f aca="true">IF($D1026="Manual Review","Manual Review",IF($G1026="","No Data",IF(NOT(ISNUMBER($H1026)),"N/A",IF($H1026&lt;TODAY(),"Overdue",IF($H1026&lt;=TODAY()+30,"Due within 1 Month",IF($H1026&lt;=TODAY()+60,"Due within 2 Months","OK"))))))</f>
        <v>No Data</v>
      </c>
      <c r="K1026" s="13"/>
    </row>
    <row r="1027" customFormat="false" ht="15" hidden="false" customHeight="false" outlineLevel="0" collapsed="false">
      <c r="A1027" s="9" t="str">
        <f aca="false">Vessels!B14</f>
        <v>Vessel 10</v>
      </c>
      <c r="B1027" s="9" t="s">
        <v>42</v>
      </c>
      <c r="C1027" s="7" t="s">
        <v>57</v>
      </c>
      <c r="D1027" s="9" t="s">
        <v>59</v>
      </c>
      <c r="E1027" s="9" t="s">
        <v>58</v>
      </c>
      <c r="F1027" s="5"/>
      <c r="G1027" s="10"/>
      <c r="H1027" s="11" t="str">
        <f aca="false">IFERROR(IF($D1027="Manual Review","",IF($G1027="","",IF($D1027="Direct Expiry",$G1027,EDATE($G1027,$F1027)))),"Check Date")</f>
        <v/>
      </c>
      <c r="I1027" s="12" t="str">
        <f aca="true">IF($H1027="","",IF(ISNUMBER($H1027),$H1027-TODAY(),""))</f>
        <v/>
      </c>
      <c r="J1027" s="4" t="str">
        <f aca="true">IF($D1027="Manual Review","Manual Review",IF($G1027="","No Data",IF(NOT(ISNUMBER($H1027)),"N/A",IF($H1027&lt;TODAY(),"Overdue",IF($H1027&lt;=TODAY()+30,"Due within 1 Month",IF($H1027&lt;=TODAY()+60,"Due within 2 Months","OK"))))))</f>
        <v>No Data</v>
      </c>
      <c r="K1027" s="13"/>
    </row>
    <row r="1028" customFormat="false" ht="15" hidden="false" customHeight="false" outlineLevel="0" collapsed="false">
      <c r="A1028" s="9" t="str">
        <f aca="false">Vessels!B14</f>
        <v>Vessel 10</v>
      </c>
      <c r="B1028" s="9" t="s">
        <v>42</v>
      </c>
      <c r="C1028" s="7" t="s">
        <v>60</v>
      </c>
      <c r="D1028" s="9" t="s">
        <v>45</v>
      </c>
      <c r="E1028" s="9" t="s">
        <v>44</v>
      </c>
      <c r="F1028" s="5" t="n">
        <v>12</v>
      </c>
      <c r="G1028" s="10"/>
      <c r="H1028" s="11" t="str">
        <f aca="false">IFERROR(IF($D1028="Manual Review","",IF($G1028="","",IF($D1028="Direct Expiry",$G1028,EDATE($G1028,$F1028)))),"Check Date")</f>
        <v/>
      </c>
      <c r="I1028" s="12" t="str">
        <f aca="true">IF($H1028="","",IF(ISNUMBER($H1028),$H1028-TODAY(),""))</f>
        <v/>
      </c>
      <c r="J1028" s="4" t="str">
        <f aca="true">IF($D1028="Manual Review","Manual Review",IF($G1028="","No Data",IF(NOT(ISNUMBER($H1028)),"N/A",IF($H1028&lt;TODAY(),"Overdue",IF($H1028&lt;=TODAY()+30,"Due within 1 Month",IF($H1028&lt;=TODAY()+60,"Due within 2 Months","OK"))))))</f>
        <v>No Data</v>
      </c>
      <c r="K1028" s="13"/>
    </row>
    <row r="1029" customFormat="false" ht="15" hidden="false" customHeight="false" outlineLevel="0" collapsed="false">
      <c r="A1029" s="9" t="str">
        <f aca="false">Vessels!B14</f>
        <v>Vessel 10</v>
      </c>
      <c r="B1029" s="9" t="s">
        <v>42</v>
      </c>
      <c r="C1029" s="7" t="s">
        <v>60</v>
      </c>
      <c r="D1029" s="9" t="s">
        <v>45</v>
      </c>
      <c r="E1029" s="9" t="s">
        <v>46</v>
      </c>
      <c r="F1029" s="5" t="n">
        <v>60</v>
      </c>
      <c r="G1029" s="10"/>
      <c r="H1029" s="11" t="str">
        <f aca="false">IFERROR(IF($D1029="Manual Review","",IF($G1029="","",IF($D1029="Direct Expiry",$G1029,EDATE($G1029,$F1029)))),"Check Date")</f>
        <v/>
      </c>
      <c r="I1029" s="12" t="str">
        <f aca="true">IF($H1029="","",IF(ISNUMBER($H1029),$H1029-TODAY(),""))</f>
        <v/>
      </c>
      <c r="J1029" s="4" t="str">
        <f aca="true">IF($D1029="Manual Review","Manual Review",IF($G1029="","No Data",IF(NOT(ISNUMBER($H1029)),"N/A",IF($H1029&lt;TODAY(),"Overdue",IF($H1029&lt;=TODAY()+30,"Due within 1 Month",IF($H1029&lt;=TODAY()+60,"Due within 2 Months","OK"))))))</f>
        <v>No Data</v>
      </c>
      <c r="K1029" s="13"/>
    </row>
    <row r="1030" customFormat="false" ht="15" hidden="false" customHeight="false" outlineLevel="0" collapsed="false">
      <c r="A1030" s="9" t="str">
        <f aca="false">Vessels!B14</f>
        <v>Vessel 10</v>
      </c>
      <c r="B1030" s="9" t="s">
        <v>42</v>
      </c>
      <c r="C1030" s="7" t="s">
        <v>61</v>
      </c>
      <c r="D1030" s="9" t="s">
        <v>45</v>
      </c>
      <c r="E1030" s="9" t="s">
        <v>44</v>
      </c>
      <c r="F1030" s="5" t="n">
        <v>12</v>
      </c>
      <c r="G1030" s="10"/>
      <c r="H1030" s="11" t="str">
        <f aca="false">IFERROR(IF($D1030="Manual Review","",IF($G1030="","",IF($D1030="Direct Expiry",$G1030,EDATE($G1030,$F1030)))),"Check Date")</f>
        <v/>
      </c>
      <c r="I1030" s="12" t="str">
        <f aca="true">IF($H1030="","",IF(ISNUMBER($H1030),$H1030-TODAY(),""))</f>
        <v/>
      </c>
      <c r="J1030" s="4" t="str">
        <f aca="true">IF($D1030="Manual Review","Manual Review",IF($G1030="","No Data",IF(NOT(ISNUMBER($H1030)),"N/A",IF($H1030&lt;TODAY(),"Overdue",IF($H1030&lt;=TODAY()+30,"Due within 1 Month",IF($H1030&lt;=TODAY()+60,"Due within 2 Months","OK"))))))</f>
        <v>No Data</v>
      </c>
      <c r="K1030" s="13"/>
    </row>
    <row r="1031" customFormat="false" ht="15" hidden="false" customHeight="false" outlineLevel="0" collapsed="false">
      <c r="A1031" s="9" t="str">
        <f aca="false">Vessels!B14</f>
        <v>Vessel 10</v>
      </c>
      <c r="B1031" s="9" t="s">
        <v>42</v>
      </c>
      <c r="C1031" s="7" t="s">
        <v>61</v>
      </c>
      <c r="D1031" s="9" t="s">
        <v>45</v>
      </c>
      <c r="E1031" s="9" t="s">
        <v>46</v>
      </c>
      <c r="F1031" s="5" t="n">
        <v>60</v>
      </c>
      <c r="G1031" s="10"/>
      <c r="H1031" s="11" t="str">
        <f aca="false">IFERROR(IF($D1031="Manual Review","",IF($G1031="","",IF($D1031="Direct Expiry",$G1031,EDATE($G1031,$F1031)))),"Check Date")</f>
        <v/>
      </c>
      <c r="I1031" s="12" t="str">
        <f aca="true">IF($H1031="","",IF(ISNUMBER($H1031),$H1031-TODAY(),""))</f>
        <v/>
      </c>
      <c r="J1031" s="4" t="str">
        <f aca="true">IF($D1031="Manual Review","Manual Review",IF($G1031="","No Data",IF(NOT(ISNUMBER($H1031)),"N/A",IF($H1031&lt;TODAY(),"Overdue",IF($H1031&lt;=TODAY()+30,"Due within 1 Month",IF($H1031&lt;=TODAY()+60,"Due within 2 Months","OK"))))))</f>
        <v>No Data</v>
      </c>
      <c r="K1031" s="13"/>
    </row>
    <row r="1032" customFormat="false" ht="15" hidden="false" customHeight="false" outlineLevel="0" collapsed="false">
      <c r="A1032" s="9" t="str">
        <f aca="false">Vessels!B14</f>
        <v>Vessel 10</v>
      </c>
      <c r="B1032" s="9" t="s">
        <v>42</v>
      </c>
      <c r="C1032" s="7" t="s">
        <v>62</v>
      </c>
      <c r="D1032" s="9" t="s">
        <v>45</v>
      </c>
      <c r="E1032" s="9" t="s">
        <v>44</v>
      </c>
      <c r="F1032" s="5" t="n">
        <v>12</v>
      </c>
      <c r="G1032" s="10"/>
      <c r="H1032" s="11" t="str">
        <f aca="false">IFERROR(IF($D1032="Manual Review","",IF($G1032="","",IF($D1032="Direct Expiry",$G1032,EDATE($G1032,$F1032)))),"Check Date")</f>
        <v/>
      </c>
      <c r="I1032" s="12" t="str">
        <f aca="true">IF($H1032="","",IF(ISNUMBER($H1032),$H1032-TODAY(),""))</f>
        <v/>
      </c>
      <c r="J1032" s="4" t="str">
        <f aca="true">IF($D1032="Manual Review","Manual Review",IF($G1032="","No Data",IF(NOT(ISNUMBER($H1032)),"N/A",IF($H1032&lt;TODAY(),"Overdue",IF($H1032&lt;=TODAY()+30,"Due within 1 Month",IF($H1032&lt;=TODAY()+60,"Due within 2 Months","OK"))))))</f>
        <v>No Data</v>
      </c>
      <c r="K1032" s="13"/>
    </row>
    <row r="1033" customFormat="false" ht="15" hidden="false" customHeight="false" outlineLevel="0" collapsed="false">
      <c r="A1033" s="9" t="str">
        <f aca="false">Vessels!B14</f>
        <v>Vessel 10</v>
      </c>
      <c r="B1033" s="9" t="s">
        <v>42</v>
      </c>
      <c r="C1033" s="7" t="s">
        <v>62</v>
      </c>
      <c r="D1033" s="9" t="s">
        <v>45</v>
      </c>
      <c r="E1033" s="9" t="s">
        <v>49</v>
      </c>
      <c r="F1033" s="5" t="n">
        <v>60</v>
      </c>
      <c r="G1033" s="10"/>
      <c r="H1033" s="11" t="str">
        <f aca="false">IFERROR(IF($D1033="Manual Review","",IF($G1033="","",IF($D1033="Direct Expiry",$G1033,EDATE($G1033,$F1033)))),"Check Date")</f>
        <v/>
      </c>
      <c r="I1033" s="12" t="str">
        <f aca="true">IF($H1033="","",IF(ISNUMBER($H1033),$H1033-TODAY(),""))</f>
        <v/>
      </c>
      <c r="J1033" s="4" t="str">
        <f aca="true">IF($D1033="Manual Review","Manual Review",IF($G1033="","No Data",IF(NOT(ISNUMBER($H1033)),"N/A",IF($H1033&lt;TODAY(),"Overdue",IF($H1033&lt;=TODAY()+30,"Due within 1 Month",IF($H1033&lt;=TODAY()+60,"Due within 2 Months","OK"))))))</f>
        <v>No Data</v>
      </c>
      <c r="K1033" s="13"/>
    </row>
    <row r="1034" customFormat="false" ht="15" hidden="false" customHeight="false" outlineLevel="0" collapsed="false">
      <c r="A1034" s="9" t="str">
        <f aca="false">Vessels!B14</f>
        <v>Vessel 10</v>
      </c>
      <c r="B1034" s="9" t="s">
        <v>42</v>
      </c>
      <c r="C1034" s="7" t="s">
        <v>63</v>
      </c>
      <c r="D1034" s="9" t="s">
        <v>45</v>
      </c>
      <c r="E1034" s="9" t="s">
        <v>44</v>
      </c>
      <c r="F1034" s="5" t="n">
        <v>12</v>
      </c>
      <c r="G1034" s="10"/>
      <c r="H1034" s="11" t="str">
        <f aca="false">IFERROR(IF($D1034="Manual Review","",IF($G1034="","",IF($D1034="Direct Expiry",$G1034,EDATE($G1034,$F1034)))),"Check Date")</f>
        <v/>
      </c>
      <c r="I1034" s="12" t="str">
        <f aca="true">IF($H1034="","",IF(ISNUMBER($H1034),$H1034-TODAY(),""))</f>
        <v/>
      </c>
      <c r="J1034" s="4" t="str">
        <f aca="true">IF($D1034="Manual Review","Manual Review",IF($G1034="","No Data",IF(NOT(ISNUMBER($H1034)),"N/A",IF($H1034&lt;TODAY(),"Overdue",IF($H1034&lt;=TODAY()+30,"Due within 1 Month",IF($H1034&lt;=TODAY()+60,"Due within 2 Months","OK"))))))</f>
        <v>No Data</v>
      </c>
      <c r="K1034" s="13"/>
    </row>
    <row r="1035" customFormat="false" ht="15" hidden="false" customHeight="false" outlineLevel="0" collapsed="false">
      <c r="A1035" s="9" t="str">
        <f aca="false">Vessels!B14</f>
        <v>Vessel 10</v>
      </c>
      <c r="B1035" s="9" t="s">
        <v>42</v>
      </c>
      <c r="C1035" s="7" t="s">
        <v>63</v>
      </c>
      <c r="D1035" s="9" t="s">
        <v>45</v>
      </c>
      <c r="E1035" s="9" t="s">
        <v>49</v>
      </c>
      <c r="F1035" s="5" t="n">
        <v>60</v>
      </c>
      <c r="G1035" s="10"/>
      <c r="H1035" s="11" t="str">
        <f aca="false">IFERROR(IF($D1035="Manual Review","",IF($G1035="","",IF($D1035="Direct Expiry",$G1035,EDATE($G1035,$F1035)))),"Check Date")</f>
        <v/>
      </c>
      <c r="I1035" s="12" t="str">
        <f aca="true">IF($H1035="","",IF(ISNUMBER($H1035),$H1035-TODAY(),""))</f>
        <v/>
      </c>
      <c r="J1035" s="4" t="str">
        <f aca="true">IF($D1035="Manual Review","Manual Review",IF($G1035="","No Data",IF(NOT(ISNUMBER($H1035)),"N/A",IF($H1035&lt;TODAY(),"Overdue",IF($H1035&lt;=TODAY()+30,"Due within 1 Month",IF($H1035&lt;=TODAY()+60,"Due within 2 Months","OK"))))))</f>
        <v>No Data</v>
      </c>
      <c r="K1035" s="13"/>
    </row>
    <row r="1036" customFormat="false" ht="15" hidden="false" customHeight="false" outlineLevel="0" collapsed="false">
      <c r="A1036" s="9" t="str">
        <f aca="false">Vessels!B14</f>
        <v>Vessel 10</v>
      </c>
      <c r="B1036" s="9" t="s">
        <v>42</v>
      </c>
      <c r="C1036" s="7" t="s">
        <v>64</v>
      </c>
      <c r="D1036" s="9" t="s">
        <v>45</v>
      </c>
      <c r="E1036" s="9" t="s">
        <v>46</v>
      </c>
      <c r="F1036" s="5" t="n">
        <v>60</v>
      </c>
      <c r="G1036" s="10"/>
      <c r="H1036" s="11" t="str">
        <f aca="false">IFERROR(IF($D1036="Manual Review","",IF($G1036="","",IF($D1036="Direct Expiry",$G1036,EDATE($G1036,$F1036)))),"Check Date")</f>
        <v/>
      </c>
      <c r="I1036" s="12" t="str">
        <f aca="true">IF($H1036="","",IF(ISNUMBER($H1036),$H1036-TODAY(),""))</f>
        <v/>
      </c>
      <c r="J1036" s="4" t="str">
        <f aca="true">IF($D1036="Manual Review","Manual Review",IF($G1036="","No Data",IF(NOT(ISNUMBER($H1036)),"N/A",IF($H1036&lt;TODAY(),"Overdue",IF($H1036&lt;=TODAY()+30,"Due within 1 Month",IF($H1036&lt;=TODAY()+60,"Due within 2 Months","OK"))))))</f>
        <v>No Data</v>
      </c>
      <c r="K1036" s="13"/>
    </row>
    <row r="1037" customFormat="false" ht="15" hidden="false" customHeight="false" outlineLevel="0" collapsed="false">
      <c r="A1037" s="9" t="str">
        <f aca="false">Vessels!B14</f>
        <v>Vessel 10</v>
      </c>
      <c r="B1037" s="9" t="s">
        <v>42</v>
      </c>
      <c r="C1037" s="7" t="s">
        <v>65</v>
      </c>
      <c r="D1037" s="9" t="s">
        <v>45</v>
      </c>
      <c r="E1037" s="9" t="s">
        <v>46</v>
      </c>
      <c r="F1037" s="5" t="n">
        <v>60</v>
      </c>
      <c r="G1037" s="10"/>
      <c r="H1037" s="11" t="str">
        <f aca="false">IFERROR(IF($D1037="Manual Review","",IF($G1037="","",IF($D1037="Direct Expiry",$G1037,EDATE($G1037,$F1037)))),"Check Date")</f>
        <v/>
      </c>
      <c r="I1037" s="12" t="str">
        <f aca="true">IF($H1037="","",IF(ISNUMBER($H1037),$H1037-TODAY(),""))</f>
        <v/>
      </c>
      <c r="J1037" s="4" t="str">
        <f aca="true">IF($D1037="Manual Review","Manual Review",IF($G1037="","No Data",IF(NOT(ISNUMBER($H1037)),"N/A",IF($H1037&lt;TODAY(),"Overdue",IF($H1037&lt;=TODAY()+30,"Due within 1 Month",IF($H1037&lt;=TODAY()+60,"Due within 2 Months","OK"))))))</f>
        <v>No Data</v>
      </c>
      <c r="K1037" s="13"/>
    </row>
    <row r="1038" customFormat="false" ht="15" hidden="false" customHeight="false" outlineLevel="0" collapsed="false">
      <c r="A1038" s="9" t="str">
        <f aca="false">Vessels!B14</f>
        <v>Vessel 10</v>
      </c>
      <c r="B1038" s="9" t="s">
        <v>42</v>
      </c>
      <c r="C1038" s="7" t="s">
        <v>66</v>
      </c>
      <c r="D1038" s="9" t="s">
        <v>45</v>
      </c>
      <c r="E1038" s="9" t="s">
        <v>46</v>
      </c>
      <c r="F1038" s="5" t="n">
        <v>60</v>
      </c>
      <c r="G1038" s="10"/>
      <c r="H1038" s="11" t="str">
        <f aca="false">IFERROR(IF($D1038="Manual Review","",IF($G1038="","",IF($D1038="Direct Expiry",$G1038,EDATE($G1038,$F1038)))),"Check Date")</f>
        <v/>
      </c>
      <c r="I1038" s="12" t="str">
        <f aca="true">IF($H1038="","",IF(ISNUMBER($H1038),$H1038-TODAY(),""))</f>
        <v/>
      </c>
      <c r="J1038" s="4" t="str">
        <f aca="true">IF($D1038="Manual Review","Manual Review",IF($G1038="","No Data",IF(NOT(ISNUMBER($H1038)),"N/A",IF($H1038&lt;TODAY(),"Overdue",IF($H1038&lt;=TODAY()+30,"Due within 1 Month",IF($H1038&lt;=TODAY()+60,"Due within 2 Months","OK"))))))</f>
        <v>No Data</v>
      </c>
      <c r="K1038" s="13"/>
    </row>
    <row r="1039" customFormat="false" ht="15" hidden="false" customHeight="false" outlineLevel="0" collapsed="false">
      <c r="A1039" s="9" t="str">
        <f aca="false">Vessels!B14</f>
        <v>Vessel 10</v>
      </c>
      <c r="B1039" s="9" t="s">
        <v>42</v>
      </c>
      <c r="C1039" s="7" t="s">
        <v>67</v>
      </c>
      <c r="D1039" s="9" t="s">
        <v>45</v>
      </c>
      <c r="E1039" s="9" t="s">
        <v>46</v>
      </c>
      <c r="F1039" s="5" t="n">
        <v>60</v>
      </c>
      <c r="G1039" s="10"/>
      <c r="H1039" s="11" t="str">
        <f aca="false">IFERROR(IF($D1039="Manual Review","",IF($G1039="","",IF($D1039="Direct Expiry",$G1039,EDATE($G1039,$F1039)))),"Check Date")</f>
        <v/>
      </c>
      <c r="I1039" s="12" t="str">
        <f aca="true">IF($H1039="","",IF(ISNUMBER($H1039),$H1039-TODAY(),""))</f>
        <v/>
      </c>
      <c r="J1039" s="4" t="str">
        <f aca="true">IF($D1039="Manual Review","Manual Review",IF($G1039="","No Data",IF(NOT(ISNUMBER($H1039)),"N/A",IF($H1039&lt;TODAY(),"Overdue",IF($H1039&lt;=TODAY()+30,"Due within 1 Month",IF($H1039&lt;=TODAY()+60,"Due within 2 Months","OK"))))))</f>
        <v>No Data</v>
      </c>
      <c r="K1039" s="13"/>
    </row>
    <row r="1040" customFormat="false" ht="15" hidden="false" customHeight="false" outlineLevel="0" collapsed="false">
      <c r="A1040" s="9" t="str">
        <f aca="false">Vessels!B14</f>
        <v>Vessel 10</v>
      </c>
      <c r="B1040" s="9" t="s">
        <v>42</v>
      </c>
      <c r="C1040" s="7" t="s">
        <v>68</v>
      </c>
      <c r="D1040" s="9" t="s">
        <v>45</v>
      </c>
      <c r="E1040" s="9" t="s">
        <v>46</v>
      </c>
      <c r="F1040" s="5" t="n">
        <v>60</v>
      </c>
      <c r="G1040" s="10"/>
      <c r="H1040" s="11" t="str">
        <f aca="false">IFERROR(IF($D1040="Manual Review","",IF($G1040="","",IF($D1040="Direct Expiry",$G1040,EDATE($G1040,$F1040)))),"Check Date")</f>
        <v/>
      </c>
      <c r="I1040" s="12" t="str">
        <f aca="true">IF($H1040="","",IF(ISNUMBER($H1040),$H1040-TODAY(),""))</f>
        <v/>
      </c>
      <c r="J1040" s="4" t="str">
        <f aca="true">IF($D1040="Manual Review","Manual Review",IF($G1040="","No Data",IF(NOT(ISNUMBER($H1040)),"N/A",IF($H1040&lt;TODAY(),"Overdue",IF($H1040&lt;=TODAY()+30,"Due within 1 Month",IF($H1040&lt;=TODAY()+60,"Due within 2 Months","OK"))))))</f>
        <v>No Data</v>
      </c>
      <c r="K1040" s="13"/>
    </row>
    <row r="1041" customFormat="false" ht="15" hidden="false" customHeight="false" outlineLevel="0" collapsed="false">
      <c r="A1041" s="9" t="str">
        <f aca="false">Vessels!B14</f>
        <v>Vessel 10</v>
      </c>
      <c r="B1041" s="9" t="s">
        <v>42</v>
      </c>
      <c r="C1041" s="7" t="s">
        <v>69</v>
      </c>
      <c r="D1041" s="9" t="s">
        <v>45</v>
      </c>
      <c r="E1041" s="9" t="s">
        <v>46</v>
      </c>
      <c r="F1041" s="5" t="n">
        <v>60</v>
      </c>
      <c r="G1041" s="10"/>
      <c r="H1041" s="11" t="str">
        <f aca="false">IFERROR(IF($D1041="Manual Review","",IF($G1041="","",IF($D1041="Direct Expiry",$G1041,EDATE($G1041,$F1041)))),"Check Date")</f>
        <v/>
      </c>
      <c r="I1041" s="12" t="str">
        <f aca="true">IF($H1041="","",IF(ISNUMBER($H1041),$H1041-TODAY(),""))</f>
        <v/>
      </c>
      <c r="J1041" s="4" t="str">
        <f aca="true">IF($D1041="Manual Review","Manual Review",IF($G1041="","No Data",IF(NOT(ISNUMBER($H1041)),"N/A",IF($H1041&lt;TODAY(),"Overdue",IF($H1041&lt;=TODAY()+30,"Due within 1 Month",IF($H1041&lt;=TODAY()+60,"Due within 2 Months","OK"))))))</f>
        <v>No Data</v>
      </c>
      <c r="K1041" s="13"/>
    </row>
    <row r="1042" customFormat="false" ht="15" hidden="false" customHeight="false" outlineLevel="0" collapsed="false">
      <c r="A1042" s="9" t="str">
        <f aca="false">Vessels!B14</f>
        <v>Vessel 10</v>
      </c>
      <c r="B1042" s="9" t="s">
        <v>42</v>
      </c>
      <c r="C1042" s="7" t="s">
        <v>70</v>
      </c>
      <c r="D1042" s="9" t="s">
        <v>59</v>
      </c>
      <c r="E1042" s="9" t="s">
        <v>58</v>
      </c>
      <c r="F1042" s="5"/>
      <c r="G1042" s="10"/>
      <c r="H1042" s="11" t="str">
        <f aca="false">IFERROR(IF($D1042="Manual Review","",IF($G1042="","",IF($D1042="Direct Expiry",$G1042,EDATE($G1042,$F1042)))),"Check Date")</f>
        <v/>
      </c>
      <c r="I1042" s="12" t="str">
        <f aca="true">IF($H1042="","",IF(ISNUMBER($H1042),$H1042-TODAY(),""))</f>
        <v/>
      </c>
      <c r="J1042" s="4" t="str">
        <f aca="true">IF($D1042="Manual Review","Manual Review",IF($G1042="","No Data",IF(NOT(ISNUMBER($H1042)),"N/A",IF($H1042&lt;TODAY(),"Overdue",IF($H1042&lt;=TODAY()+30,"Due within 1 Month",IF($H1042&lt;=TODAY()+60,"Due within 2 Months","OK"))))))</f>
        <v>No Data</v>
      </c>
      <c r="K1042" s="13"/>
    </row>
    <row r="1043" customFormat="false" ht="15" hidden="false" customHeight="false" outlineLevel="0" collapsed="false">
      <c r="A1043" s="9" t="str">
        <f aca="false">Vessels!B14</f>
        <v>Vessel 10</v>
      </c>
      <c r="B1043" s="9" t="s">
        <v>42</v>
      </c>
      <c r="C1043" s="7" t="s">
        <v>71</v>
      </c>
      <c r="D1043" s="9" t="s">
        <v>45</v>
      </c>
      <c r="E1043" s="9" t="s">
        <v>44</v>
      </c>
      <c r="F1043" s="5" t="n">
        <v>12</v>
      </c>
      <c r="G1043" s="10"/>
      <c r="H1043" s="11" t="str">
        <f aca="false">IFERROR(IF($D1043="Manual Review","",IF($G1043="","",IF($D1043="Direct Expiry",$G1043,EDATE($G1043,$F1043)))),"Check Date")</f>
        <v/>
      </c>
      <c r="I1043" s="12" t="str">
        <f aca="true">IF($H1043="","",IF(ISNUMBER($H1043),$H1043-TODAY(),""))</f>
        <v/>
      </c>
      <c r="J1043" s="4" t="str">
        <f aca="true">IF($D1043="Manual Review","Manual Review",IF($G1043="","No Data",IF(NOT(ISNUMBER($H1043)),"N/A",IF($H1043&lt;TODAY(),"Overdue",IF($H1043&lt;=TODAY()+30,"Due within 1 Month",IF($H1043&lt;=TODAY()+60,"Due within 2 Months","OK"))))))</f>
        <v>No Data</v>
      </c>
      <c r="K1043" s="13"/>
    </row>
    <row r="1044" customFormat="false" ht="15" hidden="false" customHeight="false" outlineLevel="0" collapsed="false">
      <c r="A1044" s="9" t="str">
        <f aca="false">Vessels!B14</f>
        <v>Vessel 10</v>
      </c>
      <c r="B1044" s="9" t="s">
        <v>42</v>
      </c>
      <c r="C1044" s="7" t="s">
        <v>72</v>
      </c>
      <c r="D1044" s="9" t="s">
        <v>59</v>
      </c>
      <c r="E1044" s="9" t="s">
        <v>58</v>
      </c>
      <c r="F1044" s="5"/>
      <c r="G1044" s="10"/>
      <c r="H1044" s="11" t="str">
        <f aca="false">IFERROR(IF($D1044="Manual Review","",IF($G1044="","",IF($D1044="Direct Expiry",$G1044,EDATE($G1044,$F1044)))),"Check Date")</f>
        <v/>
      </c>
      <c r="I1044" s="12" t="str">
        <f aca="true">IF($H1044="","",IF(ISNUMBER($H1044),$H1044-TODAY(),""))</f>
        <v/>
      </c>
      <c r="J1044" s="4" t="str">
        <f aca="true">IF($D1044="Manual Review","Manual Review",IF($G1044="","No Data",IF(NOT(ISNUMBER($H1044)),"N/A",IF($H1044&lt;TODAY(),"Overdue",IF($H1044&lt;=TODAY()+30,"Due within 1 Month",IF($H1044&lt;=TODAY()+60,"Due within 2 Months","OK"))))))</f>
        <v>No Data</v>
      </c>
      <c r="K1044" s="13"/>
    </row>
    <row r="1045" customFormat="false" ht="15" hidden="false" customHeight="false" outlineLevel="0" collapsed="false">
      <c r="A1045" s="9" t="str">
        <f aca="false">Vessels!B14</f>
        <v>Vessel 10</v>
      </c>
      <c r="B1045" s="9" t="s">
        <v>42</v>
      </c>
      <c r="C1045" s="7" t="s">
        <v>73</v>
      </c>
      <c r="D1045" s="9" t="s">
        <v>45</v>
      </c>
      <c r="E1045" s="9" t="s">
        <v>44</v>
      </c>
      <c r="F1045" s="5" t="n">
        <v>12</v>
      </c>
      <c r="G1045" s="10"/>
      <c r="H1045" s="11" t="str">
        <f aca="false">IFERROR(IF($D1045="Manual Review","",IF($G1045="","",IF($D1045="Direct Expiry",$G1045,EDATE($G1045,$F1045)))),"Check Date")</f>
        <v/>
      </c>
      <c r="I1045" s="12" t="str">
        <f aca="true">IF($H1045="","",IF(ISNUMBER($H1045),$H1045-TODAY(),""))</f>
        <v/>
      </c>
      <c r="J1045" s="4" t="str">
        <f aca="true">IF($D1045="Manual Review","Manual Review",IF($G1045="","No Data",IF(NOT(ISNUMBER($H1045)),"N/A",IF($H1045&lt;TODAY(),"Overdue",IF($H1045&lt;=TODAY()+30,"Due within 1 Month",IF($H1045&lt;=TODAY()+60,"Due within 2 Months","OK"))))))</f>
        <v>No Data</v>
      </c>
      <c r="K1045" s="13"/>
    </row>
    <row r="1046" customFormat="false" ht="15" hidden="false" customHeight="false" outlineLevel="0" collapsed="false">
      <c r="A1046" s="9" t="str">
        <f aca="false">Vessels!B14</f>
        <v>Vessel 10</v>
      </c>
      <c r="B1046" s="9" t="s">
        <v>42</v>
      </c>
      <c r="C1046" s="7" t="s">
        <v>74</v>
      </c>
      <c r="D1046" s="9" t="s">
        <v>59</v>
      </c>
      <c r="E1046" s="9" t="s">
        <v>58</v>
      </c>
      <c r="F1046" s="5"/>
      <c r="G1046" s="10"/>
      <c r="H1046" s="11" t="str">
        <f aca="false">IFERROR(IF($D1046="Manual Review","",IF($G1046="","",IF($D1046="Direct Expiry",$G1046,EDATE($G1046,$F1046)))),"Check Date")</f>
        <v/>
      </c>
      <c r="I1046" s="12" t="str">
        <f aca="true">IF($H1046="","",IF(ISNUMBER($H1046),$H1046-TODAY(),""))</f>
        <v/>
      </c>
      <c r="J1046" s="4" t="str">
        <f aca="true">IF($D1046="Manual Review","Manual Review",IF($G1046="","No Data",IF(NOT(ISNUMBER($H1046)),"N/A",IF($H1046&lt;TODAY(),"Overdue",IF($H1046&lt;=TODAY()+30,"Due within 1 Month",IF($H1046&lt;=TODAY()+60,"Due within 2 Months","OK"))))))</f>
        <v>No Data</v>
      </c>
      <c r="K1046" s="13"/>
    </row>
    <row r="1047" customFormat="false" ht="15" hidden="false" customHeight="false" outlineLevel="0" collapsed="false">
      <c r="A1047" s="9" t="str">
        <f aca="false">Vessels!B14</f>
        <v>Vessel 10</v>
      </c>
      <c r="B1047" s="9" t="s">
        <v>42</v>
      </c>
      <c r="C1047" s="7" t="s">
        <v>75</v>
      </c>
      <c r="D1047" s="9" t="s">
        <v>45</v>
      </c>
      <c r="E1047" s="9" t="s">
        <v>44</v>
      </c>
      <c r="F1047" s="5" t="n">
        <v>12</v>
      </c>
      <c r="G1047" s="10"/>
      <c r="H1047" s="11" t="str">
        <f aca="false">IFERROR(IF($D1047="Manual Review","",IF($G1047="","",IF($D1047="Direct Expiry",$G1047,EDATE($G1047,$F1047)))),"Check Date")</f>
        <v/>
      </c>
      <c r="I1047" s="12" t="str">
        <f aca="true">IF($H1047="","",IF(ISNUMBER($H1047),$H1047-TODAY(),""))</f>
        <v/>
      </c>
      <c r="J1047" s="4" t="str">
        <f aca="true">IF($D1047="Manual Review","Manual Review",IF($G1047="","No Data",IF(NOT(ISNUMBER($H1047)),"N/A",IF($H1047&lt;TODAY(),"Overdue",IF($H1047&lt;=TODAY()+30,"Due within 1 Month",IF($H1047&lt;=TODAY()+60,"Due within 2 Months","OK"))))))</f>
        <v>No Data</v>
      </c>
      <c r="K1047" s="13"/>
    </row>
    <row r="1048" customFormat="false" ht="15" hidden="false" customHeight="false" outlineLevel="0" collapsed="false">
      <c r="A1048" s="9" t="str">
        <f aca="false">Vessels!B14</f>
        <v>Vessel 10</v>
      </c>
      <c r="B1048" s="9" t="s">
        <v>42</v>
      </c>
      <c r="C1048" s="7" t="s">
        <v>76</v>
      </c>
      <c r="D1048" s="9" t="s">
        <v>59</v>
      </c>
      <c r="E1048" s="9" t="s">
        <v>58</v>
      </c>
      <c r="F1048" s="5"/>
      <c r="G1048" s="10"/>
      <c r="H1048" s="11" t="str">
        <f aca="false">IFERROR(IF($D1048="Manual Review","",IF($G1048="","",IF($D1048="Direct Expiry",$G1048,EDATE($G1048,$F1048)))),"Check Date")</f>
        <v/>
      </c>
      <c r="I1048" s="12" t="str">
        <f aca="true">IF($H1048="","",IF(ISNUMBER($H1048),$H1048-TODAY(),""))</f>
        <v/>
      </c>
      <c r="J1048" s="4" t="str">
        <f aca="true">IF($D1048="Manual Review","Manual Review",IF($G1048="","No Data",IF(NOT(ISNUMBER($H1048)),"N/A",IF($H1048&lt;TODAY(),"Overdue",IF($H1048&lt;=TODAY()+30,"Due within 1 Month",IF($H1048&lt;=TODAY()+60,"Due within 2 Months","OK"))))))</f>
        <v>No Data</v>
      </c>
      <c r="K1048" s="13"/>
    </row>
    <row r="1049" customFormat="false" ht="15" hidden="false" customHeight="false" outlineLevel="0" collapsed="false">
      <c r="A1049" s="9" t="str">
        <f aca="false">Vessels!B14</f>
        <v>Vessel 10</v>
      </c>
      <c r="B1049" s="9" t="s">
        <v>42</v>
      </c>
      <c r="C1049" s="7" t="s">
        <v>77</v>
      </c>
      <c r="D1049" s="9" t="s">
        <v>59</v>
      </c>
      <c r="E1049" s="9" t="s">
        <v>58</v>
      </c>
      <c r="F1049" s="5"/>
      <c r="G1049" s="10"/>
      <c r="H1049" s="11" t="str">
        <f aca="false">IFERROR(IF($D1049="Manual Review","",IF($G1049="","",IF($D1049="Direct Expiry",$G1049,EDATE($G1049,$F1049)))),"Check Date")</f>
        <v/>
      </c>
      <c r="I1049" s="12" t="str">
        <f aca="true">IF($H1049="","",IF(ISNUMBER($H1049),$H1049-TODAY(),""))</f>
        <v/>
      </c>
      <c r="J1049" s="4" t="str">
        <f aca="true">IF($D1049="Manual Review","Manual Review",IF($G1049="","No Data",IF(NOT(ISNUMBER($H1049)),"N/A",IF($H1049&lt;TODAY(),"Overdue",IF($H1049&lt;=TODAY()+30,"Due within 1 Month",IF($H1049&lt;=TODAY()+60,"Due within 2 Months","OK"))))))</f>
        <v>No Data</v>
      </c>
      <c r="K1049" s="13"/>
    </row>
    <row r="1050" customFormat="false" ht="15" hidden="false" customHeight="false" outlineLevel="0" collapsed="false">
      <c r="A1050" s="9" t="str">
        <f aca="false">Vessels!B14</f>
        <v>Vessel 10</v>
      </c>
      <c r="B1050" s="9" t="s">
        <v>42</v>
      </c>
      <c r="C1050" s="7" t="s">
        <v>78</v>
      </c>
      <c r="D1050" s="9" t="s">
        <v>59</v>
      </c>
      <c r="E1050" s="9" t="s">
        <v>58</v>
      </c>
      <c r="F1050" s="5"/>
      <c r="G1050" s="10"/>
      <c r="H1050" s="11" t="str">
        <f aca="false">IFERROR(IF($D1050="Manual Review","",IF($G1050="","",IF($D1050="Direct Expiry",$G1050,EDATE($G1050,$F1050)))),"Check Date")</f>
        <v/>
      </c>
      <c r="I1050" s="12" t="str">
        <f aca="true">IF($H1050="","",IF(ISNUMBER($H1050),$H1050-TODAY(),""))</f>
        <v/>
      </c>
      <c r="J1050" s="4" t="str">
        <f aca="true">IF($D1050="Manual Review","Manual Review",IF($G1050="","No Data",IF(NOT(ISNUMBER($H1050)),"N/A",IF($H1050&lt;TODAY(),"Overdue",IF($H1050&lt;=TODAY()+30,"Due within 1 Month",IF($H1050&lt;=TODAY()+60,"Due within 2 Months","OK"))))))</f>
        <v>No Data</v>
      </c>
      <c r="K1050" s="13"/>
    </row>
    <row r="1051" customFormat="false" ht="15" hidden="false" customHeight="false" outlineLevel="0" collapsed="false">
      <c r="A1051" s="9" t="str">
        <f aca="false">Vessels!B14</f>
        <v>Vessel 10</v>
      </c>
      <c r="B1051" s="9" t="s">
        <v>42</v>
      </c>
      <c r="C1051" s="7" t="s">
        <v>79</v>
      </c>
      <c r="D1051" s="9" t="s">
        <v>45</v>
      </c>
      <c r="E1051" s="9" t="s">
        <v>44</v>
      </c>
      <c r="F1051" s="5" t="n">
        <v>12</v>
      </c>
      <c r="G1051" s="10"/>
      <c r="H1051" s="11" t="str">
        <f aca="false">IFERROR(IF($D1051="Manual Review","",IF($G1051="","",IF($D1051="Direct Expiry",$G1051,EDATE($G1051,$F1051)))),"Check Date")</f>
        <v/>
      </c>
      <c r="I1051" s="12" t="str">
        <f aca="true">IF($H1051="","",IF(ISNUMBER($H1051),$H1051-TODAY(),""))</f>
        <v/>
      </c>
      <c r="J1051" s="4" t="str">
        <f aca="true">IF($D1051="Manual Review","Manual Review",IF($G1051="","No Data",IF(NOT(ISNUMBER($H1051)),"N/A",IF($H1051&lt;TODAY(),"Overdue",IF($H1051&lt;=TODAY()+30,"Due within 1 Month",IF($H1051&lt;=TODAY()+60,"Due within 2 Months","OK"))))))</f>
        <v>No Data</v>
      </c>
      <c r="K1051" s="13"/>
    </row>
    <row r="1052" customFormat="false" ht="15" hidden="false" customHeight="false" outlineLevel="0" collapsed="false">
      <c r="A1052" s="9" t="str">
        <f aca="false">Vessels!B14</f>
        <v>Vessel 10</v>
      </c>
      <c r="B1052" s="9" t="s">
        <v>42</v>
      </c>
      <c r="C1052" s="7" t="s">
        <v>80</v>
      </c>
      <c r="D1052" s="9" t="s">
        <v>45</v>
      </c>
      <c r="E1052" s="9" t="s">
        <v>81</v>
      </c>
      <c r="F1052" s="5" t="n">
        <v>36</v>
      </c>
      <c r="G1052" s="10"/>
      <c r="H1052" s="11" t="str">
        <f aca="false">IFERROR(IF($D1052="Manual Review","",IF($G1052="","",IF($D1052="Direct Expiry",$G1052,EDATE($G1052,$F1052)))),"Check Date")</f>
        <v/>
      </c>
      <c r="I1052" s="12" t="str">
        <f aca="true">IF($H1052="","",IF(ISNUMBER($H1052),$H1052-TODAY(),""))</f>
        <v/>
      </c>
      <c r="J1052" s="4" t="str">
        <f aca="true">IF($D1052="Manual Review","Manual Review",IF($G1052="","No Data",IF(NOT(ISNUMBER($H1052)),"N/A",IF($H1052&lt;TODAY(),"Overdue",IF($H1052&lt;=TODAY()+30,"Due within 1 Month",IF($H1052&lt;=TODAY()+60,"Due within 2 Months","OK"))))))</f>
        <v>No Data</v>
      </c>
      <c r="K1052" s="13"/>
    </row>
    <row r="1053" customFormat="false" ht="15" hidden="false" customHeight="false" outlineLevel="0" collapsed="false">
      <c r="A1053" s="9" t="str">
        <f aca="false">Vessels!B14</f>
        <v>Vessel 10</v>
      </c>
      <c r="B1053" s="9" t="s">
        <v>42</v>
      </c>
      <c r="C1053" s="7" t="s">
        <v>80</v>
      </c>
      <c r="D1053" s="9" t="s">
        <v>45</v>
      </c>
      <c r="E1053" s="9" t="s">
        <v>82</v>
      </c>
      <c r="F1053" s="5" t="n">
        <v>24</v>
      </c>
      <c r="G1053" s="10"/>
      <c r="H1053" s="11" t="str">
        <f aca="false">IFERROR(IF($D1053="Manual Review","",IF($G1053="","",IF($D1053="Direct Expiry",$G1053,EDATE($G1053,$F1053)))),"Check Date")</f>
        <v/>
      </c>
      <c r="I1053" s="12" t="str">
        <f aca="true">IF($H1053="","",IF(ISNUMBER($H1053),$H1053-TODAY(),""))</f>
        <v/>
      </c>
      <c r="J1053" s="4" t="str">
        <f aca="true">IF($D1053="Manual Review","Manual Review",IF($G1053="","No Data",IF(NOT(ISNUMBER($H1053)),"N/A",IF($H1053&lt;TODAY(),"Overdue",IF($H1053&lt;=TODAY()+30,"Due within 1 Month",IF($H1053&lt;=TODAY()+60,"Due within 2 Months","OK"))))))</f>
        <v>No Data</v>
      </c>
      <c r="K1053" s="13"/>
    </row>
    <row r="1054" customFormat="false" ht="15" hidden="false" customHeight="false" outlineLevel="0" collapsed="false">
      <c r="A1054" s="9" t="str">
        <f aca="false">Vessels!B14</f>
        <v>Vessel 10</v>
      </c>
      <c r="B1054" s="9" t="s">
        <v>42</v>
      </c>
      <c r="C1054" s="7" t="s">
        <v>83</v>
      </c>
      <c r="D1054" s="9" t="s">
        <v>45</v>
      </c>
      <c r="E1054" s="9" t="s">
        <v>44</v>
      </c>
      <c r="F1054" s="5" t="n">
        <v>12</v>
      </c>
      <c r="G1054" s="10"/>
      <c r="H1054" s="11" t="str">
        <f aca="false">IFERROR(IF($D1054="Manual Review","",IF($G1054="","",IF($D1054="Direct Expiry",$G1054,EDATE($G1054,$F1054)))),"Check Date")</f>
        <v/>
      </c>
      <c r="I1054" s="12" t="str">
        <f aca="true">IF($H1054="","",IF(ISNUMBER($H1054),$H1054-TODAY(),""))</f>
        <v/>
      </c>
      <c r="J1054" s="4" t="str">
        <f aca="true">IF($D1054="Manual Review","Manual Review",IF($G1054="","No Data",IF(NOT(ISNUMBER($H1054)),"N/A",IF($H1054&lt;TODAY(),"Overdue",IF($H1054&lt;=TODAY()+30,"Due within 1 Month",IF($H1054&lt;=TODAY()+60,"Due within 2 Months","OK"))))))</f>
        <v>No Data</v>
      </c>
      <c r="K1054" s="13"/>
    </row>
    <row r="1055" customFormat="false" ht="15" hidden="false" customHeight="false" outlineLevel="0" collapsed="false">
      <c r="A1055" s="9" t="str">
        <f aca="false">Vessels!B14</f>
        <v>Vessel 10</v>
      </c>
      <c r="B1055" s="9" t="s">
        <v>42</v>
      </c>
      <c r="C1055" s="7" t="s">
        <v>83</v>
      </c>
      <c r="D1055" s="9" t="s">
        <v>45</v>
      </c>
      <c r="E1055" s="9" t="s">
        <v>84</v>
      </c>
      <c r="F1055" s="5" t="n">
        <v>60</v>
      </c>
      <c r="G1055" s="10"/>
      <c r="H1055" s="11" t="str">
        <f aca="false">IFERROR(IF($D1055="Manual Review","",IF($G1055="","",IF($D1055="Direct Expiry",$G1055,EDATE($G1055,$F1055)))),"Check Date")</f>
        <v/>
      </c>
      <c r="I1055" s="12" t="str">
        <f aca="true">IF($H1055="","",IF(ISNUMBER($H1055),$H1055-TODAY(),""))</f>
        <v/>
      </c>
      <c r="J1055" s="4" t="str">
        <f aca="true">IF($D1055="Manual Review","Manual Review",IF($G1055="","No Data",IF(NOT(ISNUMBER($H1055)),"N/A",IF($H1055&lt;TODAY(),"Overdue",IF($H1055&lt;=TODAY()+30,"Due within 1 Month",IF($H1055&lt;=TODAY()+60,"Due within 2 Months","OK"))))))</f>
        <v>No Data</v>
      </c>
      <c r="K1055" s="13"/>
    </row>
    <row r="1056" customFormat="false" ht="15" hidden="false" customHeight="false" outlineLevel="0" collapsed="false">
      <c r="A1056" s="9" t="str">
        <f aca="false">Vessels!B14</f>
        <v>Vessel 10</v>
      </c>
      <c r="B1056" s="9" t="s">
        <v>42</v>
      </c>
      <c r="C1056" s="7" t="s">
        <v>85</v>
      </c>
      <c r="D1056" s="9" t="s">
        <v>45</v>
      </c>
      <c r="E1056" s="9" t="s">
        <v>44</v>
      </c>
      <c r="F1056" s="5" t="n">
        <v>12</v>
      </c>
      <c r="G1056" s="10"/>
      <c r="H1056" s="11" t="str">
        <f aca="false">IFERROR(IF($D1056="Manual Review","",IF($G1056="","",IF($D1056="Direct Expiry",$G1056,EDATE($G1056,$F1056)))),"Check Date")</f>
        <v/>
      </c>
      <c r="I1056" s="12" t="str">
        <f aca="true">IF($H1056="","",IF(ISNUMBER($H1056),$H1056-TODAY(),""))</f>
        <v/>
      </c>
      <c r="J1056" s="4" t="str">
        <f aca="true">IF($D1056="Manual Review","Manual Review",IF($G1056="","No Data",IF(NOT(ISNUMBER($H1056)),"N/A",IF($H1056&lt;TODAY(),"Overdue",IF($H1056&lt;=TODAY()+30,"Due within 1 Month",IF($H1056&lt;=TODAY()+60,"Due within 2 Months","OK"))))))</f>
        <v>No Data</v>
      </c>
      <c r="K1056" s="13"/>
    </row>
    <row r="1057" customFormat="false" ht="15" hidden="false" customHeight="false" outlineLevel="0" collapsed="false">
      <c r="A1057" s="9" t="str">
        <f aca="false">Vessels!B14</f>
        <v>Vessel 10</v>
      </c>
      <c r="B1057" s="9" t="s">
        <v>42</v>
      </c>
      <c r="C1057" s="7" t="s">
        <v>85</v>
      </c>
      <c r="D1057" s="9" t="s">
        <v>45</v>
      </c>
      <c r="E1057" s="9" t="s">
        <v>84</v>
      </c>
      <c r="F1057" s="5" t="n">
        <v>60</v>
      </c>
      <c r="G1057" s="10"/>
      <c r="H1057" s="11" t="str">
        <f aca="false">IFERROR(IF($D1057="Manual Review","",IF($G1057="","",IF($D1057="Direct Expiry",$G1057,EDATE($G1057,$F1057)))),"Check Date")</f>
        <v/>
      </c>
      <c r="I1057" s="12" t="str">
        <f aca="true">IF($H1057="","",IF(ISNUMBER($H1057),$H1057-TODAY(),""))</f>
        <v/>
      </c>
      <c r="J1057" s="4" t="str">
        <f aca="true">IF($D1057="Manual Review","Manual Review",IF($G1057="","No Data",IF(NOT(ISNUMBER($H1057)),"N/A",IF($H1057&lt;TODAY(),"Overdue",IF($H1057&lt;=TODAY()+30,"Due within 1 Month",IF($H1057&lt;=TODAY()+60,"Due within 2 Months","OK"))))))</f>
        <v>No Data</v>
      </c>
      <c r="K1057" s="13"/>
    </row>
    <row r="1058" customFormat="false" ht="15" hidden="false" customHeight="false" outlineLevel="0" collapsed="false">
      <c r="A1058" s="9" t="str">
        <f aca="false">Vessels!B14</f>
        <v>Vessel 10</v>
      </c>
      <c r="B1058" s="9" t="s">
        <v>42</v>
      </c>
      <c r="C1058" s="7" t="s">
        <v>86</v>
      </c>
      <c r="D1058" s="9" t="s">
        <v>45</v>
      </c>
      <c r="E1058" s="9" t="s">
        <v>44</v>
      </c>
      <c r="F1058" s="5" t="n">
        <v>12</v>
      </c>
      <c r="G1058" s="10"/>
      <c r="H1058" s="11" t="str">
        <f aca="false">IFERROR(IF($D1058="Manual Review","",IF($G1058="","",IF($D1058="Direct Expiry",$G1058,EDATE($G1058,$F1058)))),"Check Date")</f>
        <v/>
      </c>
      <c r="I1058" s="12" t="str">
        <f aca="true">IF($H1058="","",IF(ISNUMBER($H1058),$H1058-TODAY(),""))</f>
        <v/>
      </c>
      <c r="J1058" s="4" t="str">
        <f aca="true">IF($D1058="Manual Review","Manual Review",IF($G1058="","No Data",IF(NOT(ISNUMBER($H1058)),"N/A",IF($H1058&lt;TODAY(),"Overdue",IF($H1058&lt;=TODAY()+30,"Due within 1 Month",IF($H1058&lt;=TODAY()+60,"Due within 2 Months","OK"))))))</f>
        <v>No Data</v>
      </c>
      <c r="K1058" s="13"/>
    </row>
    <row r="1059" customFormat="false" ht="15" hidden="false" customHeight="false" outlineLevel="0" collapsed="false">
      <c r="A1059" s="9" t="str">
        <f aca="false">Vessels!B14</f>
        <v>Vessel 10</v>
      </c>
      <c r="B1059" s="9" t="s">
        <v>42</v>
      </c>
      <c r="C1059" s="7" t="s">
        <v>87</v>
      </c>
      <c r="D1059" s="9" t="s">
        <v>45</v>
      </c>
      <c r="E1059" s="9" t="s">
        <v>44</v>
      </c>
      <c r="F1059" s="5" t="n">
        <v>12</v>
      </c>
      <c r="G1059" s="10"/>
      <c r="H1059" s="11" t="str">
        <f aca="false">IFERROR(IF($D1059="Manual Review","",IF($G1059="","",IF($D1059="Direct Expiry",$G1059,EDATE($G1059,$F1059)))),"Check Date")</f>
        <v/>
      </c>
      <c r="I1059" s="12" t="str">
        <f aca="true">IF($H1059="","",IF(ISNUMBER($H1059),$H1059-TODAY(),""))</f>
        <v/>
      </c>
      <c r="J1059" s="4" t="str">
        <f aca="true">IF($D1059="Manual Review","Manual Review",IF($G1059="","No Data",IF(NOT(ISNUMBER($H1059)),"N/A",IF($H1059&lt;TODAY(),"Overdue",IF($H1059&lt;=TODAY()+30,"Due within 1 Month",IF($H1059&lt;=TODAY()+60,"Due within 2 Months","OK"))))))</f>
        <v>No Data</v>
      </c>
      <c r="K1059" s="13"/>
    </row>
    <row r="1060" customFormat="false" ht="15" hidden="false" customHeight="false" outlineLevel="0" collapsed="false">
      <c r="A1060" s="9" t="str">
        <f aca="false">Vessels!B14</f>
        <v>Vessel 10</v>
      </c>
      <c r="B1060" s="9" t="s">
        <v>88</v>
      </c>
      <c r="C1060" s="7" t="s">
        <v>89</v>
      </c>
      <c r="D1060" s="9" t="s">
        <v>45</v>
      </c>
      <c r="E1060" s="9" t="s">
        <v>90</v>
      </c>
      <c r="F1060" s="5" t="n">
        <v>36</v>
      </c>
      <c r="G1060" s="10"/>
      <c r="H1060" s="11" t="str">
        <f aca="false">IFERROR(IF($D1060="Manual Review","",IF($G1060="","",IF($D1060="Direct Expiry",$G1060,EDATE($G1060,$F1060)))),"Check Date")</f>
        <v/>
      </c>
      <c r="I1060" s="12" t="str">
        <f aca="true">IF($H1060="","",IF(ISNUMBER($H1060),$H1060-TODAY(),""))</f>
        <v/>
      </c>
      <c r="J1060" s="4" t="str">
        <f aca="true">IF($D1060="Manual Review","Manual Review",IF($G1060="","No Data",IF(NOT(ISNUMBER($H1060)),"N/A",IF($H1060&lt;TODAY(),"Overdue",IF($H1060&lt;=TODAY()+30,"Due within 1 Month",IF($H1060&lt;=TODAY()+60,"Due within 2 Months","OK"))))))</f>
        <v>No Data</v>
      </c>
      <c r="K1060" s="13"/>
    </row>
    <row r="1061" customFormat="false" ht="15" hidden="false" customHeight="false" outlineLevel="0" collapsed="false">
      <c r="A1061" s="9" t="str">
        <f aca="false">Vessels!B14</f>
        <v>Vessel 10</v>
      </c>
      <c r="B1061" s="9" t="s">
        <v>88</v>
      </c>
      <c r="C1061" s="7" t="s">
        <v>91</v>
      </c>
      <c r="D1061" s="9" t="s">
        <v>45</v>
      </c>
      <c r="E1061" s="9" t="s">
        <v>44</v>
      </c>
      <c r="F1061" s="5" t="n">
        <v>12</v>
      </c>
      <c r="G1061" s="10"/>
      <c r="H1061" s="11" t="str">
        <f aca="false">IFERROR(IF($D1061="Manual Review","",IF($G1061="","",IF($D1061="Direct Expiry",$G1061,EDATE($G1061,$F1061)))),"Check Date")</f>
        <v/>
      </c>
      <c r="I1061" s="12" t="str">
        <f aca="true">IF($H1061="","",IF(ISNUMBER($H1061),$H1061-TODAY(),""))</f>
        <v/>
      </c>
      <c r="J1061" s="4" t="str">
        <f aca="true">IF($D1061="Manual Review","Manual Review",IF($G1061="","No Data",IF(NOT(ISNUMBER($H1061)),"N/A",IF($H1061&lt;TODAY(),"Overdue",IF($H1061&lt;=TODAY()+30,"Due within 1 Month",IF($H1061&lt;=TODAY()+60,"Due within 2 Months","OK"))))))</f>
        <v>No Data</v>
      </c>
      <c r="K1061" s="13"/>
    </row>
    <row r="1062" customFormat="false" ht="15" hidden="false" customHeight="false" outlineLevel="0" collapsed="false">
      <c r="A1062" s="9" t="str">
        <f aca="false">Vessels!B14</f>
        <v>Vessel 10</v>
      </c>
      <c r="B1062" s="9" t="s">
        <v>88</v>
      </c>
      <c r="C1062" s="7" t="s">
        <v>91</v>
      </c>
      <c r="D1062" s="9" t="s">
        <v>45</v>
      </c>
      <c r="E1062" s="9" t="s">
        <v>92</v>
      </c>
      <c r="F1062" s="5" t="n">
        <v>120</v>
      </c>
      <c r="G1062" s="10"/>
      <c r="H1062" s="11" t="str">
        <f aca="false">IFERROR(IF($D1062="Manual Review","",IF($G1062="","",IF($D1062="Direct Expiry",$G1062,EDATE($G1062,$F1062)))),"Check Date")</f>
        <v/>
      </c>
      <c r="I1062" s="12" t="str">
        <f aca="true">IF($H1062="","",IF(ISNUMBER($H1062),$H1062-TODAY(),""))</f>
        <v/>
      </c>
      <c r="J1062" s="4" t="str">
        <f aca="true">IF($D1062="Manual Review","Manual Review",IF($G1062="","No Data",IF(NOT(ISNUMBER($H1062)),"N/A",IF($H1062&lt;TODAY(),"Overdue",IF($H1062&lt;=TODAY()+30,"Due within 1 Month",IF($H1062&lt;=TODAY()+60,"Due within 2 Months","OK"))))))</f>
        <v>No Data</v>
      </c>
      <c r="K1062" s="13"/>
    </row>
    <row r="1063" customFormat="false" ht="15" hidden="false" customHeight="false" outlineLevel="0" collapsed="false">
      <c r="A1063" s="9" t="str">
        <f aca="false">Vessels!B14</f>
        <v>Vessel 10</v>
      </c>
      <c r="B1063" s="9" t="s">
        <v>88</v>
      </c>
      <c r="C1063" s="7" t="s">
        <v>93</v>
      </c>
      <c r="D1063" s="9" t="s">
        <v>45</v>
      </c>
      <c r="E1063" s="9" t="s">
        <v>44</v>
      </c>
      <c r="F1063" s="5" t="n">
        <v>12</v>
      </c>
      <c r="G1063" s="10"/>
      <c r="H1063" s="11" t="str">
        <f aca="false">IFERROR(IF($D1063="Manual Review","",IF($G1063="","",IF($D1063="Direct Expiry",$G1063,EDATE($G1063,$F1063)))),"Check Date")</f>
        <v/>
      </c>
      <c r="I1063" s="12" t="str">
        <f aca="true">IF($H1063="","",IF(ISNUMBER($H1063),$H1063-TODAY(),""))</f>
        <v/>
      </c>
      <c r="J1063" s="4" t="str">
        <f aca="true">IF($D1063="Manual Review","Manual Review",IF($G1063="","No Data",IF(NOT(ISNUMBER($H1063)),"N/A",IF($H1063&lt;TODAY(),"Overdue",IF($H1063&lt;=TODAY()+30,"Due within 1 Month",IF($H1063&lt;=TODAY()+60,"Due within 2 Months","OK"))))))</f>
        <v>No Data</v>
      </c>
      <c r="K1063" s="13"/>
    </row>
    <row r="1064" customFormat="false" ht="15" hidden="false" customHeight="false" outlineLevel="0" collapsed="false">
      <c r="A1064" s="9" t="str">
        <f aca="false">Vessels!B14</f>
        <v>Vessel 10</v>
      </c>
      <c r="B1064" s="9" t="s">
        <v>88</v>
      </c>
      <c r="C1064" s="7" t="s">
        <v>93</v>
      </c>
      <c r="D1064" s="9" t="s">
        <v>45</v>
      </c>
      <c r="E1064" s="9" t="s">
        <v>92</v>
      </c>
      <c r="F1064" s="5" t="n">
        <v>120</v>
      </c>
      <c r="G1064" s="10"/>
      <c r="H1064" s="11" t="str">
        <f aca="false">IFERROR(IF($D1064="Manual Review","",IF($G1064="","",IF($D1064="Direct Expiry",$G1064,EDATE($G1064,$F1064)))),"Check Date")</f>
        <v/>
      </c>
      <c r="I1064" s="12" t="str">
        <f aca="true">IF($H1064="","",IF(ISNUMBER($H1064),$H1064-TODAY(),""))</f>
        <v/>
      </c>
      <c r="J1064" s="4" t="str">
        <f aca="true">IF($D1064="Manual Review","Manual Review",IF($G1064="","No Data",IF(NOT(ISNUMBER($H1064)),"N/A",IF($H1064&lt;TODAY(),"Overdue",IF($H1064&lt;=TODAY()+30,"Due within 1 Month",IF($H1064&lt;=TODAY()+60,"Due within 2 Months","OK"))))))</f>
        <v>No Data</v>
      </c>
      <c r="K1064" s="13"/>
    </row>
    <row r="1065" customFormat="false" ht="15" hidden="false" customHeight="false" outlineLevel="0" collapsed="false">
      <c r="A1065" s="9" t="str">
        <f aca="false">Vessels!B14</f>
        <v>Vessel 10</v>
      </c>
      <c r="B1065" s="9" t="s">
        <v>88</v>
      </c>
      <c r="C1065" s="7" t="s">
        <v>94</v>
      </c>
      <c r="D1065" s="9" t="s">
        <v>45</v>
      </c>
      <c r="E1065" s="9" t="s">
        <v>44</v>
      </c>
      <c r="F1065" s="5" t="n">
        <v>12</v>
      </c>
      <c r="G1065" s="10"/>
      <c r="H1065" s="11" t="str">
        <f aca="false">IFERROR(IF($D1065="Manual Review","",IF($G1065="","",IF($D1065="Direct Expiry",$G1065,EDATE($G1065,$F1065)))),"Check Date")</f>
        <v/>
      </c>
      <c r="I1065" s="12" t="str">
        <f aca="true">IF($H1065="","",IF(ISNUMBER($H1065),$H1065-TODAY(),""))</f>
        <v/>
      </c>
      <c r="J1065" s="4" t="str">
        <f aca="true">IF($D1065="Manual Review","Manual Review",IF($G1065="","No Data",IF(NOT(ISNUMBER($H1065)),"N/A",IF($H1065&lt;TODAY(),"Overdue",IF($H1065&lt;=TODAY()+30,"Due within 1 Month",IF($H1065&lt;=TODAY()+60,"Due within 2 Months","OK"))))))</f>
        <v>No Data</v>
      </c>
      <c r="K1065" s="13"/>
    </row>
    <row r="1066" customFormat="false" ht="15" hidden="false" customHeight="false" outlineLevel="0" collapsed="false">
      <c r="A1066" s="9" t="str">
        <f aca="false">Vessels!B14</f>
        <v>Vessel 10</v>
      </c>
      <c r="B1066" s="9" t="s">
        <v>88</v>
      </c>
      <c r="C1066" s="7" t="s">
        <v>94</v>
      </c>
      <c r="D1066" s="9" t="s">
        <v>45</v>
      </c>
      <c r="E1066" s="9" t="s">
        <v>92</v>
      </c>
      <c r="F1066" s="5" t="n">
        <v>120</v>
      </c>
      <c r="G1066" s="10"/>
      <c r="H1066" s="11" t="str">
        <f aca="false">IFERROR(IF($D1066="Manual Review","",IF($G1066="","",IF($D1066="Direct Expiry",$G1066,EDATE($G1066,$F1066)))),"Check Date")</f>
        <v/>
      </c>
      <c r="I1066" s="12" t="str">
        <f aca="true">IF($H1066="","",IF(ISNUMBER($H1066),$H1066-TODAY(),""))</f>
        <v/>
      </c>
      <c r="J1066" s="4" t="str">
        <f aca="true">IF($D1066="Manual Review","Manual Review",IF($G1066="","No Data",IF(NOT(ISNUMBER($H1066)),"N/A",IF($H1066&lt;TODAY(),"Overdue",IF($H1066&lt;=TODAY()+30,"Due within 1 Month",IF($H1066&lt;=TODAY()+60,"Due within 2 Months","OK"))))))</f>
        <v>No Data</v>
      </c>
      <c r="K1066" s="13"/>
    </row>
    <row r="1067" customFormat="false" ht="15" hidden="false" customHeight="false" outlineLevel="0" collapsed="false">
      <c r="A1067" s="9" t="str">
        <f aca="false">Vessels!B14</f>
        <v>Vessel 10</v>
      </c>
      <c r="B1067" s="9" t="s">
        <v>88</v>
      </c>
      <c r="C1067" s="7" t="s">
        <v>95</v>
      </c>
      <c r="D1067" s="9" t="s">
        <v>45</v>
      </c>
      <c r="E1067" s="9" t="s">
        <v>44</v>
      </c>
      <c r="F1067" s="5" t="n">
        <v>12</v>
      </c>
      <c r="G1067" s="10"/>
      <c r="H1067" s="11" t="str">
        <f aca="false">IFERROR(IF($D1067="Manual Review","",IF($G1067="","",IF($D1067="Direct Expiry",$G1067,EDATE($G1067,$F1067)))),"Check Date")</f>
        <v/>
      </c>
      <c r="I1067" s="12" t="str">
        <f aca="true">IF($H1067="","",IF(ISNUMBER($H1067),$H1067-TODAY(),""))</f>
        <v/>
      </c>
      <c r="J1067" s="4" t="str">
        <f aca="true">IF($D1067="Manual Review","Manual Review",IF($G1067="","No Data",IF(NOT(ISNUMBER($H1067)),"N/A",IF($H1067&lt;TODAY(),"Overdue",IF($H1067&lt;=TODAY()+30,"Due within 1 Month",IF($H1067&lt;=TODAY()+60,"Due within 2 Months","OK"))))))</f>
        <v>No Data</v>
      </c>
      <c r="K1067" s="13"/>
    </row>
    <row r="1068" customFormat="false" ht="15" hidden="false" customHeight="false" outlineLevel="0" collapsed="false">
      <c r="A1068" s="9" t="str">
        <f aca="false">Vessels!B14</f>
        <v>Vessel 10</v>
      </c>
      <c r="B1068" s="9" t="s">
        <v>88</v>
      </c>
      <c r="C1068" s="7" t="s">
        <v>95</v>
      </c>
      <c r="D1068" s="9" t="s">
        <v>45</v>
      </c>
      <c r="E1068" s="9" t="s">
        <v>92</v>
      </c>
      <c r="F1068" s="5" t="n">
        <v>120</v>
      </c>
      <c r="G1068" s="10"/>
      <c r="H1068" s="11" t="str">
        <f aca="false">IFERROR(IF($D1068="Manual Review","",IF($G1068="","",IF($D1068="Direct Expiry",$G1068,EDATE($G1068,$F1068)))),"Check Date")</f>
        <v/>
      </c>
      <c r="I1068" s="12" t="str">
        <f aca="true">IF($H1068="","",IF(ISNUMBER($H1068),$H1068-TODAY(),""))</f>
        <v/>
      </c>
      <c r="J1068" s="4" t="str">
        <f aca="true">IF($D1068="Manual Review","Manual Review",IF($G1068="","No Data",IF(NOT(ISNUMBER($H1068)),"N/A",IF($H1068&lt;TODAY(),"Overdue",IF($H1068&lt;=TODAY()+30,"Due within 1 Month",IF($H1068&lt;=TODAY()+60,"Due within 2 Months","OK"))))))</f>
        <v>No Data</v>
      </c>
      <c r="K1068" s="13"/>
    </row>
    <row r="1069" customFormat="false" ht="15" hidden="false" customHeight="false" outlineLevel="0" collapsed="false">
      <c r="A1069" s="9" t="str">
        <f aca="false">Vessels!B14</f>
        <v>Vessel 10</v>
      </c>
      <c r="B1069" s="9" t="s">
        <v>88</v>
      </c>
      <c r="C1069" s="7" t="s">
        <v>96</v>
      </c>
      <c r="D1069" s="9" t="s">
        <v>45</v>
      </c>
      <c r="E1069" s="9" t="s">
        <v>44</v>
      </c>
      <c r="F1069" s="5" t="n">
        <v>12</v>
      </c>
      <c r="G1069" s="10"/>
      <c r="H1069" s="11" t="str">
        <f aca="false">IFERROR(IF($D1069="Manual Review","",IF($G1069="","",IF($D1069="Direct Expiry",$G1069,EDATE($G1069,$F1069)))),"Check Date")</f>
        <v/>
      </c>
      <c r="I1069" s="12" t="str">
        <f aca="true">IF($H1069="","",IF(ISNUMBER($H1069),$H1069-TODAY(),""))</f>
        <v/>
      </c>
      <c r="J1069" s="4" t="str">
        <f aca="true">IF($D1069="Manual Review","Manual Review",IF($G1069="","No Data",IF(NOT(ISNUMBER($H1069)),"N/A",IF($H1069&lt;TODAY(),"Overdue",IF($H1069&lt;=TODAY()+30,"Due within 1 Month",IF($H1069&lt;=TODAY()+60,"Due within 2 Months","OK"))))))</f>
        <v>No Data</v>
      </c>
      <c r="K1069" s="13"/>
    </row>
    <row r="1070" customFormat="false" ht="15" hidden="false" customHeight="false" outlineLevel="0" collapsed="false">
      <c r="A1070" s="9" t="str">
        <f aca="false">Vessels!B14</f>
        <v>Vessel 10</v>
      </c>
      <c r="B1070" s="9" t="s">
        <v>88</v>
      </c>
      <c r="C1070" s="7" t="s">
        <v>96</v>
      </c>
      <c r="D1070" s="9" t="s">
        <v>45</v>
      </c>
      <c r="E1070" s="9" t="s">
        <v>97</v>
      </c>
      <c r="F1070" s="5" t="n">
        <v>120</v>
      </c>
      <c r="G1070" s="10"/>
      <c r="H1070" s="11" t="str">
        <f aca="false">IFERROR(IF($D1070="Manual Review","",IF($G1070="","",IF($D1070="Direct Expiry",$G1070,EDATE($G1070,$F1070)))),"Check Date")</f>
        <v/>
      </c>
      <c r="I1070" s="12" t="str">
        <f aca="true">IF($H1070="","",IF(ISNUMBER($H1070),$H1070-TODAY(),""))</f>
        <v/>
      </c>
      <c r="J1070" s="4" t="str">
        <f aca="true">IF($D1070="Manual Review","Manual Review",IF($G1070="","No Data",IF(NOT(ISNUMBER($H1070)),"N/A",IF($H1070&lt;TODAY(),"Overdue",IF($H1070&lt;=TODAY()+30,"Due within 1 Month",IF($H1070&lt;=TODAY()+60,"Due within 2 Months","OK"))))))</f>
        <v>No Data</v>
      </c>
      <c r="K1070" s="13"/>
    </row>
    <row r="1071" customFormat="false" ht="15" hidden="false" customHeight="false" outlineLevel="0" collapsed="false">
      <c r="A1071" s="9" t="str">
        <f aca="false">Vessels!B14</f>
        <v>Vessel 10</v>
      </c>
      <c r="B1071" s="9" t="s">
        <v>88</v>
      </c>
      <c r="C1071" s="7" t="s">
        <v>98</v>
      </c>
      <c r="D1071" s="9" t="s">
        <v>45</v>
      </c>
      <c r="E1071" s="9" t="s">
        <v>44</v>
      </c>
      <c r="F1071" s="5" t="n">
        <v>12</v>
      </c>
      <c r="G1071" s="10"/>
      <c r="H1071" s="11" t="str">
        <f aca="false">IFERROR(IF($D1071="Manual Review","",IF($G1071="","",IF($D1071="Direct Expiry",$G1071,EDATE($G1071,$F1071)))),"Check Date")</f>
        <v/>
      </c>
      <c r="I1071" s="12" t="str">
        <f aca="true">IF($H1071="","",IF(ISNUMBER($H1071),$H1071-TODAY(),""))</f>
        <v/>
      </c>
      <c r="J1071" s="4" t="str">
        <f aca="true">IF($D1071="Manual Review","Manual Review",IF($G1071="","No Data",IF(NOT(ISNUMBER($H1071)),"N/A",IF($H1071&lt;TODAY(),"Overdue",IF($H1071&lt;=TODAY()+30,"Due within 1 Month",IF($H1071&lt;=TODAY()+60,"Due within 2 Months","OK"))))))</f>
        <v>No Data</v>
      </c>
      <c r="K1071" s="13"/>
    </row>
    <row r="1072" customFormat="false" ht="15" hidden="false" customHeight="false" outlineLevel="0" collapsed="false">
      <c r="A1072" s="9" t="str">
        <f aca="false">Vessels!B14</f>
        <v>Vessel 10</v>
      </c>
      <c r="B1072" s="9" t="s">
        <v>88</v>
      </c>
      <c r="C1072" s="7" t="s">
        <v>98</v>
      </c>
      <c r="D1072" s="9" t="s">
        <v>45</v>
      </c>
      <c r="E1072" s="9" t="s">
        <v>99</v>
      </c>
      <c r="F1072" s="5" t="n">
        <v>60</v>
      </c>
      <c r="G1072" s="10"/>
      <c r="H1072" s="11" t="str">
        <f aca="false">IFERROR(IF($D1072="Manual Review","",IF($G1072="","",IF($D1072="Direct Expiry",$G1072,EDATE($G1072,$F1072)))),"Check Date")</f>
        <v/>
      </c>
      <c r="I1072" s="12" t="str">
        <f aca="true">IF($H1072="","",IF(ISNUMBER($H1072),$H1072-TODAY(),""))</f>
        <v/>
      </c>
      <c r="J1072" s="4" t="str">
        <f aca="true">IF($D1072="Manual Review","Manual Review",IF($G1072="","No Data",IF(NOT(ISNUMBER($H1072)),"N/A",IF($H1072&lt;TODAY(),"Overdue",IF($H1072&lt;=TODAY()+30,"Due within 1 Month",IF($H1072&lt;=TODAY()+60,"Due within 2 Months","OK"))))))</f>
        <v>No Data</v>
      </c>
      <c r="K1072" s="13"/>
    </row>
    <row r="1073" customFormat="false" ht="15" hidden="false" customHeight="false" outlineLevel="0" collapsed="false">
      <c r="A1073" s="9" t="str">
        <f aca="false">Vessels!B14</f>
        <v>Vessel 10</v>
      </c>
      <c r="B1073" s="9" t="s">
        <v>88</v>
      </c>
      <c r="C1073" s="7" t="s">
        <v>100</v>
      </c>
      <c r="D1073" s="9" t="s">
        <v>45</v>
      </c>
      <c r="E1073" s="9" t="s">
        <v>44</v>
      </c>
      <c r="F1073" s="5" t="n">
        <v>12</v>
      </c>
      <c r="G1073" s="10"/>
      <c r="H1073" s="11" t="str">
        <f aca="false">IFERROR(IF($D1073="Manual Review","",IF($G1073="","",IF($D1073="Direct Expiry",$G1073,EDATE($G1073,$F1073)))),"Check Date")</f>
        <v/>
      </c>
      <c r="I1073" s="12" t="str">
        <f aca="true">IF($H1073="","",IF(ISNUMBER($H1073),$H1073-TODAY(),""))</f>
        <v/>
      </c>
      <c r="J1073" s="4" t="str">
        <f aca="true">IF($D1073="Manual Review","Manual Review",IF($G1073="","No Data",IF(NOT(ISNUMBER($H1073)),"N/A",IF($H1073&lt;TODAY(),"Overdue",IF($H1073&lt;=TODAY()+30,"Due within 1 Month",IF($H1073&lt;=TODAY()+60,"Due within 2 Months","OK"))))))</f>
        <v>No Data</v>
      </c>
      <c r="K1073" s="13"/>
    </row>
    <row r="1074" customFormat="false" ht="15" hidden="false" customHeight="false" outlineLevel="0" collapsed="false">
      <c r="A1074" s="9" t="str">
        <f aca="false">Vessels!B14</f>
        <v>Vessel 10</v>
      </c>
      <c r="B1074" s="9" t="s">
        <v>88</v>
      </c>
      <c r="C1074" s="7" t="s">
        <v>100</v>
      </c>
      <c r="D1074" s="9" t="s">
        <v>45</v>
      </c>
      <c r="E1074" s="9" t="s">
        <v>99</v>
      </c>
      <c r="F1074" s="5" t="n">
        <v>60</v>
      </c>
      <c r="G1074" s="10"/>
      <c r="H1074" s="11" t="str">
        <f aca="false">IFERROR(IF($D1074="Manual Review","",IF($G1074="","",IF($D1074="Direct Expiry",$G1074,EDATE($G1074,$F1074)))),"Check Date")</f>
        <v/>
      </c>
      <c r="I1074" s="12" t="str">
        <f aca="true">IF($H1074="","",IF(ISNUMBER($H1074),$H1074-TODAY(),""))</f>
        <v/>
      </c>
      <c r="J1074" s="4" t="str">
        <f aca="true">IF($D1074="Manual Review","Manual Review",IF($G1074="","No Data",IF(NOT(ISNUMBER($H1074)),"N/A",IF($H1074&lt;TODAY(),"Overdue",IF($H1074&lt;=TODAY()+30,"Due within 1 Month",IF($H1074&lt;=TODAY()+60,"Due within 2 Months","OK"))))))</f>
        <v>No Data</v>
      </c>
      <c r="K1074" s="13"/>
    </row>
    <row r="1075" customFormat="false" ht="15" hidden="false" customHeight="false" outlineLevel="0" collapsed="false">
      <c r="A1075" s="9" t="str">
        <f aca="false">Vessels!B14</f>
        <v>Vessel 10</v>
      </c>
      <c r="B1075" s="9" t="s">
        <v>88</v>
      </c>
      <c r="C1075" s="7" t="s">
        <v>101</v>
      </c>
      <c r="D1075" s="9" t="s">
        <v>45</v>
      </c>
      <c r="E1075" s="9" t="s">
        <v>44</v>
      </c>
      <c r="F1075" s="5" t="n">
        <v>12</v>
      </c>
      <c r="G1075" s="10"/>
      <c r="H1075" s="11" t="str">
        <f aca="false">IFERROR(IF($D1075="Manual Review","",IF($G1075="","",IF($D1075="Direct Expiry",$G1075,EDATE($G1075,$F1075)))),"Check Date")</f>
        <v/>
      </c>
      <c r="I1075" s="12" t="str">
        <f aca="true">IF($H1075="","",IF(ISNUMBER($H1075),$H1075-TODAY(),""))</f>
        <v/>
      </c>
      <c r="J1075" s="4" t="str">
        <f aca="true">IF($D1075="Manual Review","Manual Review",IF($G1075="","No Data",IF(NOT(ISNUMBER($H1075)),"N/A",IF($H1075&lt;TODAY(),"Overdue",IF($H1075&lt;=TODAY()+30,"Due within 1 Month",IF($H1075&lt;=TODAY()+60,"Due within 2 Months","OK"))))))</f>
        <v>No Data</v>
      </c>
      <c r="K1075" s="13"/>
    </row>
    <row r="1076" customFormat="false" ht="23.85" hidden="false" customHeight="false" outlineLevel="0" collapsed="false">
      <c r="A1076" s="9" t="str">
        <f aca="false">Vessels!B14</f>
        <v>Vessel 10</v>
      </c>
      <c r="B1076" s="9" t="s">
        <v>88</v>
      </c>
      <c r="C1076" s="7" t="s">
        <v>102</v>
      </c>
      <c r="D1076" s="9" t="s">
        <v>45</v>
      </c>
      <c r="E1076" s="9" t="s">
        <v>44</v>
      </c>
      <c r="F1076" s="5" t="n">
        <v>12</v>
      </c>
      <c r="G1076" s="10"/>
      <c r="H1076" s="11" t="str">
        <f aca="false">IFERROR(IF($D1076="Manual Review","",IF($G1076="","",IF($D1076="Direct Expiry",$G1076,EDATE($G1076,$F1076)))),"Check Date")</f>
        <v/>
      </c>
      <c r="I1076" s="12" t="str">
        <f aca="true">IF($H1076="","",IF(ISNUMBER($H1076),$H1076-TODAY(),""))</f>
        <v/>
      </c>
      <c r="J1076" s="4" t="str">
        <f aca="true">IF($D1076="Manual Review","Manual Review",IF($G1076="","No Data",IF(NOT(ISNUMBER($H1076)),"N/A",IF($H1076&lt;TODAY(),"Overdue",IF($H1076&lt;=TODAY()+30,"Due within 1 Month",IF($H1076&lt;=TODAY()+60,"Due within 2 Months","OK"))))))</f>
        <v>No Data</v>
      </c>
      <c r="K1076" s="13"/>
    </row>
    <row r="1077" customFormat="false" ht="23.85" hidden="false" customHeight="false" outlineLevel="0" collapsed="false">
      <c r="A1077" s="9" t="str">
        <f aca="false">Vessels!B14</f>
        <v>Vessel 10</v>
      </c>
      <c r="B1077" s="9" t="s">
        <v>88</v>
      </c>
      <c r="C1077" s="7" t="s">
        <v>102</v>
      </c>
      <c r="D1077" s="9" t="s">
        <v>45</v>
      </c>
      <c r="E1077" s="9" t="s">
        <v>97</v>
      </c>
      <c r="F1077" s="5" t="n">
        <v>120</v>
      </c>
      <c r="G1077" s="10"/>
      <c r="H1077" s="11" t="str">
        <f aca="false">IFERROR(IF($D1077="Manual Review","",IF($G1077="","",IF($D1077="Direct Expiry",$G1077,EDATE($G1077,$F1077)))),"Check Date")</f>
        <v/>
      </c>
      <c r="I1077" s="12" t="str">
        <f aca="true">IF($H1077="","",IF(ISNUMBER($H1077),$H1077-TODAY(),""))</f>
        <v/>
      </c>
      <c r="J1077" s="4" t="str">
        <f aca="true">IF($D1077="Manual Review","Manual Review",IF($G1077="","No Data",IF(NOT(ISNUMBER($H1077)),"N/A",IF($H1077&lt;TODAY(),"Overdue",IF($H1077&lt;=TODAY()+30,"Due within 1 Month",IF($H1077&lt;=TODAY()+60,"Due within 2 Months","OK"))))))</f>
        <v>No Data</v>
      </c>
      <c r="K1077" s="13"/>
    </row>
    <row r="1078" customFormat="false" ht="15" hidden="false" customHeight="false" outlineLevel="0" collapsed="false">
      <c r="A1078" s="9" t="str">
        <f aca="false">Vessels!B14</f>
        <v>Vessel 10</v>
      </c>
      <c r="B1078" s="9" t="s">
        <v>88</v>
      </c>
      <c r="C1078" s="7" t="s">
        <v>103</v>
      </c>
      <c r="D1078" s="9" t="s">
        <v>45</v>
      </c>
      <c r="E1078" s="9" t="s">
        <v>44</v>
      </c>
      <c r="F1078" s="5" t="n">
        <v>12</v>
      </c>
      <c r="G1078" s="10"/>
      <c r="H1078" s="11" t="str">
        <f aca="false">IFERROR(IF($D1078="Manual Review","",IF($G1078="","",IF($D1078="Direct Expiry",$G1078,EDATE($G1078,$F1078)))),"Check Date")</f>
        <v/>
      </c>
      <c r="I1078" s="12" t="str">
        <f aca="true">IF($H1078="","",IF(ISNUMBER($H1078),$H1078-TODAY(),""))</f>
        <v/>
      </c>
      <c r="J1078" s="4" t="str">
        <f aca="true">IF($D1078="Manual Review","Manual Review",IF($G1078="","No Data",IF(NOT(ISNUMBER($H1078)),"N/A",IF($H1078&lt;TODAY(),"Overdue",IF($H1078&lt;=TODAY()+30,"Due within 1 Month",IF($H1078&lt;=TODAY()+60,"Due within 2 Months","OK"))))))</f>
        <v>No Data</v>
      </c>
      <c r="K1078" s="13"/>
    </row>
    <row r="1079" customFormat="false" ht="15" hidden="false" customHeight="false" outlineLevel="0" collapsed="false">
      <c r="A1079" s="9" t="str">
        <f aca="false">Vessels!B14</f>
        <v>Vessel 10</v>
      </c>
      <c r="B1079" s="9" t="s">
        <v>88</v>
      </c>
      <c r="C1079" s="7" t="s">
        <v>103</v>
      </c>
      <c r="D1079" s="9" t="s">
        <v>45</v>
      </c>
      <c r="E1079" s="9" t="s">
        <v>97</v>
      </c>
      <c r="F1079" s="5" t="n">
        <v>120</v>
      </c>
      <c r="G1079" s="10"/>
      <c r="H1079" s="11" t="str">
        <f aca="false">IFERROR(IF($D1079="Manual Review","",IF($G1079="","",IF($D1079="Direct Expiry",$G1079,EDATE($G1079,$F1079)))),"Check Date")</f>
        <v/>
      </c>
      <c r="I1079" s="12" t="str">
        <f aca="true">IF($H1079="","",IF(ISNUMBER($H1079),$H1079-TODAY(),""))</f>
        <v/>
      </c>
      <c r="J1079" s="4" t="str">
        <f aca="true">IF($D1079="Manual Review","Manual Review",IF($G1079="","No Data",IF(NOT(ISNUMBER($H1079)),"N/A",IF($H1079&lt;TODAY(),"Overdue",IF($H1079&lt;=TODAY()+30,"Due within 1 Month",IF($H1079&lt;=TODAY()+60,"Due within 2 Months","OK"))))))</f>
        <v>No Data</v>
      </c>
      <c r="K1079" s="13"/>
    </row>
    <row r="1080" customFormat="false" ht="15" hidden="false" customHeight="false" outlineLevel="0" collapsed="false">
      <c r="A1080" s="9" t="str">
        <f aca="false">Vessels!B14</f>
        <v>Vessel 10</v>
      </c>
      <c r="B1080" s="9" t="s">
        <v>88</v>
      </c>
      <c r="C1080" s="7" t="s">
        <v>104</v>
      </c>
      <c r="D1080" s="9" t="s">
        <v>45</v>
      </c>
      <c r="E1080" s="9" t="s">
        <v>44</v>
      </c>
      <c r="F1080" s="5" t="n">
        <v>12</v>
      </c>
      <c r="G1080" s="10"/>
      <c r="H1080" s="11" t="str">
        <f aca="false">IFERROR(IF($D1080="Manual Review","",IF($G1080="","",IF($D1080="Direct Expiry",$G1080,EDATE($G1080,$F1080)))),"Check Date")</f>
        <v/>
      </c>
      <c r="I1080" s="12" t="str">
        <f aca="true">IF($H1080="","",IF(ISNUMBER($H1080),$H1080-TODAY(),""))</f>
        <v/>
      </c>
      <c r="J1080" s="4" t="str">
        <f aca="true">IF($D1080="Manual Review","Manual Review",IF($G1080="","No Data",IF(NOT(ISNUMBER($H1080)),"N/A",IF($H1080&lt;TODAY(),"Overdue",IF($H1080&lt;=TODAY()+30,"Due within 1 Month",IF($H1080&lt;=TODAY()+60,"Due within 2 Months","OK"))))))</f>
        <v>No Data</v>
      </c>
      <c r="K1080" s="13"/>
    </row>
    <row r="1081" customFormat="false" ht="15" hidden="false" customHeight="false" outlineLevel="0" collapsed="false">
      <c r="A1081" s="9" t="str">
        <f aca="false">Vessels!B14</f>
        <v>Vessel 10</v>
      </c>
      <c r="B1081" s="9" t="s">
        <v>88</v>
      </c>
      <c r="C1081" s="7" t="s">
        <v>105</v>
      </c>
      <c r="D1081" s="9" t="s">
        <v>45</v>
      </c>
      <c r="E1081" s="9" t="s">
        <v>44</v>
      </c>
      <c r="F1081" s="5" t="n">
        <v>12</v>
      </c>
      <c r="G1081" s="10"/>
      <c r="H1081" s="11" t="str">
        <f aca="false">IFERROR(IF($D1081="Manual Review","",IF($G1081="","",IF($D1081="Direct Expiry",$G1081,EDATE($G1081,$F1081)))),"Check Date")</f>
        <v/>
      </c>
      <c r="I1081" s="12" t="str">
        <f aca="true">IF($H1081="","",IF(ISNUMBER($H1081),$H1081-TODAY(),""))</f>
        <v/>
      </c>
      <c r="J1081" s="4" t="str">
        <f aca="true">IF($D1081="Manual Review","Manual Review",IF($G1081="","No Data",IF(NOT(ISNUMBER($H1081)),"N/A",IF($H1081&lt;TODAY(),"Overdue",IF($H1081&lt;=TODAY()+30,"Due within 1 Month",IF($H1081&lt;=TODAY()+60,"Due within 2 Months","OK"))))))</f>
        <v>No Data</v>
      </c>
      <c r="K1081" s="13"/>
    </row>
    <row r="1082" customFormat="false" ht="15" hidden="false" customHeight="false" outlineLevel="0" collapsed="false">
      <c r="A1082" s="9" t="str">
        <f aca="false">Vessels!B14</f>
        <v>Vessel 10</v>
      </c>
      <c r="B1082" s="9" t="s">
        <v>88</v>
      </c>
      <c r="C1082" s="7" t="s">
        <v>106</v>
      </c>
      <c r="D1082" s="9" t="s">
        <v>45</v>
      </c>
      <c r="E1082" s="9" t="s">
        <v>44</v>
      </c>
      <c r="F1082" s="5" t="n">
        <v>12</v>
      </c>
      <c r="G1082" s="10"/>
      <c r="H1082" s="11" t="str">
        <f aca="false">IFERROR(IF($D1082="Manual Review","",IF($G1082="","",IF($D1082="Direct Expiry",$G1082,EDATE($G1082,$F1082)))),"Check Date")</f>
        <v/>
      </c>
      <c r="I1082" s="12" t="str">
        <f aca="true">IF($H1082="","",IF(ISNUMBER($H1082),$H1082-TODAY(),""))</f>
        <v/>
      </c>
      <c r="J1082" s="4" t="str">
        <f aca="true">IF($D1082="Manual Review","Manual Review",IF($G1082="","No Data",IF(NOT(ISNUMBER($H1082)),"N/A",IF($H1082&lt;TODAY(),"Overdue",IF($H1082&lt;=TODAY()+30,"Due within 1 Month",IF($H1082&lt;=TODAY()+60,"Due within 2 Months","OK"))))))</f>
        <v>No Data</v>
      </c>
      <c r="K1082" s="13"/>
    </row>
    <row r="1083" customFormat="false" ht="15" hidden="false" customHeight="false" outlineLevel="0" collapsed="false">
      <c r="A1083" s="9" t="str">
        <f aca="false">Vessels!B14</f>
        <v>Vessel 10</v>
      </c>
      <c r="B1083" s="9" t="s">
        <v>88</v>
      </c>
      <c r="C1083" s="7" t="s">
        <v>107</v>
      </c>
      <c r="D1083" s="9" t="s">
        <v>45</v>
      </c>
      <c r="E1083" s="9" t="s">
        <v>44</v>
      </c>
      <c r="F1083" s="5" t="n">
        <v>12</v>
      </c>
      <c r="G1083" s="10"/>
      <c r="H1083" s="11" t="str">
        <f aca="false">IFERROR(IF($D1083="Manual Review","",IF($G1083="","",IF($D1083="Direct Expiry",$G1083,EDATE($G1083,$F1083)))),"Check Date")</f>
        <v/>
      </c>
      <c r="I1083" s="12" t="str">
        <f aca="true">IF($H1083="","",IF(ISNUMBER($H1083),$H1083-TODAY(),""))</f>
        <v/>
      </c>
      <c r="J1083" s="4" t="str">
        <f aca="true">IF($D1083="Manual Review","Manual Review",IF($G1083="","No Data",IF(NOT(ISNUMBER($H1083)),"N/A",IF($H1083&lt;TODAY(),"Overdue",IF($H1083&lt;=TODAY()+30,"Due within 1 Month",IF($H1083&lt;=TODAY()+60,"Due within 2 Months","OK"))))))</f>
        <v>No Data</v>
      </c>
      <c r="K1083" s="13"/>
    </row>
    <row r="1084" customFormat="false" ht="15" hidden="false" customHeight="false" outlineLevel="0" collapsed="false">
      <c r="A1084" s="9" t="str">
        <f aca="false">Vessels!B14</f>
        <v>Vessel 10</v>
      </c>
      <c r="B1084" s="9" t="s">
        <v>88</v>
      </c>
      <c r="C1084" s="7" t="s">
        <v>108</v>
      </c>
      <c r="D1084" s="9" t="s">
        <v>45</v>
      </c>
      <c r="E1084" s="9" t="s">
        <v>109</v>
      </c>
      <c r="F1084" s="5" t="n">
        <v>12</v>
      </c>
      <c r="G1084" s="10"/>
      <c r="H1084" s="11" t="str">
        <f aca="false">IFERROR(IF($D1084="Manual Review","",IF($G1084="","",IF($D1084="Direct Expiry",$G1084,EDATE($G1084,$F1084)))),"Check Date")</f>
        <v/>
      </c>
      <c r="I1084" s="12" t="str">
        <f aca="true">IF($H1084="","",IF(ISNUMBER($H1084),$H1084-TODAY(),""))</f>
        <v/>
      </c>
      <c r="J1084" s="4" t="str">
        <f aca="true">IF($D1084="Manual Review","Manual Review",IF($G1084="","No Data",IF(NOT(ISNUMBER($H1084)),"N/A",IF($H1084&lt;TODAY(),"Overdue",IF($H1084&lt;=TODAY()+30,"Due within 1 Month",IF($H1084&lt;=TODAY()+60,"Due within 2 Months","OK"))))))</f>
        <v>No Data</v>
      </c>
      <c r="K1084" s="13"/>
    </row>
    <row r="1085" customFormat="false" ht="15" hidden="false" customHeight="false" outlineLevel="0" collapsed="false">
      <c r="A1085" s="9" t="str">
        <f aca="false">Vessels!B14</f>
        <v>Vessel 10</v>
      </c>
      <c r="B1085" s="9" t="s">
        <v>88</v>
      </c>
      <c r="C1085" s="7" t="s">
        <v>108</v>
      </c>
      <c r="D1085" s="9" t="s">
        <v>45</v>
      </c>
      <c r="E1085" s="9" t="s">
        <v>110</v>
      </c>
      <c r="F1085" s="5" t="n">
        <v>60</v>
      </c>
      <c r="G1085" s="10"/>
      <c r="H1085" s="11" t="str">
        <f aca="false">IFERROR(IF($D1085="Manual Review","",IF($G1085="","",IF($D1085="Direct Expiry",$G1085,EDATE($G1085,$F1085)))),"Check Date")</f>
        <v/>
      </c>
      <c r="I1085" s="12" t="str">
        <f aca="true">IF($H1085="","",IF(ISNUMBER($H1085),$H1085-TODAY(),""))</f>
        <v/>
      </c>
      <c r="J1085" s="4" t="str">
        <f aca="true">IF($D1085="Manual Review","Manual Review",IF($G1085="","No Data",IF(NOT(ISNUMBER($H1085)),"N/A",IF($H1085&lt;TODAY(),"Overdue",IF($H1085&lt;=TODAY()+30,"Due within 1 Month",IF($H1085&lt;=TODAY()+60,"Due within 2 Months","OK"))))))</f>
        <v>No Data</v>
      </c>
      <c r="K1085" s="13"/>
    </row>
    <row r="1086" customFormat="false" ht="15" hidden="false" customHeight="false" outlineLevel="0" collapsed="false">
      <c r="A1086" s="9" t="str">
        <f aca="false">Vessels!B14</f>
        <v>Vessel 10</v>
      </c>
      <c r="B1086" s="9" t="s">
        <v>88</v>
      </c>
      <c r="C1086" s="7" t="s">
        <v>111</v>
      </c>
      <c r="D1086" s="9" t="s">
        <v>45</v>
      </c>
      <c r="E1086" s="9" t="s">
        <v>44</v>
      </c>
      <c r="F1086" s="5" t="n">
        <v>12</v>
      </c>
      <c r="G1086" s="10"/>
      <c r="H1086" s="11" t="str">
        <f aca="false">IFERROR(IF($D1086="Manual Review","",IF($G1086="","",IF($D1086="Direct Expiry",$G1086,EDATE($G1086,$F1086)))),"Check Date")</f>
        <v/>
      </c>
      <c r="I1086" s="12" t="str">
        <f aca="true">IF($H1086="","",IF(ISNUMBER($H1086),$H1086-TODAY(),""))</f>
        <v/>
      </c>
      <c r="J1086" s="4" t="str">
        <f aca="true">IF($D1086="Manual Review","Manual Review",IF($G1086="","No Data",IF(NOT(ISNUMBER($H1086)),"N/A",IF($H1086&lt;TODAY(),"Overdue",IF($H1086&lt;=TODAY()+30,"Due within 1 Month",IF($H1086&lt;=TODAY()+60,"Due within 2 Months","OK"))))))</f>
        <v>No Data</v>
      </c>
      <c r="K1086" s="13"/>
    </row>
    <row r="1087" customFormat="false" ht="15" hidden="false" customHeight="false" outlineLevel="0" collapsed="false">
      <c r="A1087" s="9" t="str">
        <f aca="false">Vessels!B14</f>
        <v>Vessel 10</v>
      </c>
      <c r="B1087" s="9" t="s">
        <v>88</v>
      </c>
      <c r="C1087" s="7" t="s">
        <v>112</v>
      </c>
      <c r="D1087" s="9" t="s">
        <v>45</v>
      </c>
      <c r="E1087" s="9" t="s">
        <v>44</v>
      </c>
      <c r="F1087" s="5" t="n">
        <v>12</v>
      </c>
      <c r="G1087" s="10"/>
      <c r="H1087" s="11" t="str">
        <f aca="false">IFERROR(IF($D1087="Manual Review","",IF($G1087="","",IF($D1087="Direct Expiry",$G1087,EDATE($G1087,$F1087)))),"Check Date")</f>
        <v/>
      </c>
      <c r="I1087" s="12" t="str">
        <f aca="true">IF($H1087="","",IF(ISNUMBER($H1087),$H1087-TODAY(),""))</f>
        <v/>
      </c>
      <c r="J1087" s="4" t="str">
        <f aca="true">IF($D1087="Manual Review","Manual Review",IF($G1087="","No Data",IF(NOT(ISNUMBER($H1087)),"N/A",IF($H1087&lt;TODAY(),"Overdue",IF($H1087&lt;=TODAY()+30,"Due within 1 Month",IF($H1087&lt;=TODAY()+60,"Due within 2 Months","OK"))))))</f>
        <v>No Data</v>
      </c>
      <c r="K1087" s="13"/>
    </row>
    <row r="1088" customFormat="false" ht="15" hidden="false" customHeight="false" outlineLevel="0" collapsed="false">
      <c r="A1088" s="9" t="str">
        <f aca="false">Vessels!B14</f>
        <v>Vessel 10</v>
      </c>
      <c r="B1088" s="9" t="s">
        <v>88</v>
      </c>
      <c r="C1088" s="7" t="s">
        <v>113</v>
      </c>
      <c r="D1088" s="9" t="s">
        <v>115</v>
      </c>
      <c r="E1088" s="9" t="s">
        <v>114</v>
      </c>
      <c r="F1088" s="5"/>
      <c r="G1088" s="10"/>
      <c r="H1088" s="11" t="str">
        <f aca="false">IFERROR(IF($D1088="Manual Review","",IF($G1088="","",IF($D1088="Direct Expiry",$G1088,EDATE($G1088,$F1088)))),"Check Date")</f>
        <v/>
      </c>
      <c r="I1088" s="12" t="str">
        <f aca="true">IF($H1088="","",IF(ISNUMBER($H1088),$H1088-TODAY(),""))</f>
        <v/>
      </c>
      <c r="J1088" s="4" t="str">
        <f aca="true">IF($D1088="Manual Review","Manual Review",IF($G1088="","No Data",IF(NOT(ISNUMBER($H1088)),"N/A",IF($H1088&lt;TODAY(),"Overdue",IF($H1088&lt;=TODAY()+30,"Due within 1 Month",IF($H1088&lt;=TODAY()+60,"Due within 2 Months","OK"))))))</f>
        <v>Manual Review</v>
      </c>
      <c r="K1088" s="13"/>
    </row>
    <row r="1089" customFormat="false" ht="15" hidden="false" customHeight="false" outlineLevel="0" collapsed="false">
      <c r="A1089" s="9" t="str">
        <f aca="false">Vessels!B14</f>
        <v>Vessel 10</v>
      </c>
      <c r="B1089" s="9" t="s">
        <v>88</v>
      </c>
      <c r="C1089" s="7" t="s">
        <v>116</v>
      </c>
      <c r="D1089" s="9" t="s">
        <v>115</v>
      </c>
      <c r="E1089" s="9" t="s">
        <v>114</v>
      </c>
      <c r="F1089" s="5"/>
      <c r="G1089" s="10"/>
      <c r="H1089" s="11" t="str">
        <f aca="false">IFERROR(IF($D1089="Manual Review","",IF($G1089="","",IF($D1089="Direct Expiry",$G1089,EDATE($G1089,$F1089)))),"Check Date")</f>
        <v/>
      </c>
      <c r="I1089" s="12" t="str">
        <f aca="true">IF($H1089="","",IF(ISNUMBER($H1089),$H1089-TODAY(),""))</f>
        <v/>
      </c>
      <c r="J1089" s="4" t="str">
        <f aca="true">IF($D1089="Manual Review","Manual Review",IF($G1089="","No Data",IF(NOT(ISNUMBER($H1089)),"N/A",IF($H1089&lt;TODAY(),"Overdue",IF($H1089&lt;=TODAY()+30,"Due within 1 Month",IF($H1089&lt;=TODAY()+60,"Due within 2 Months","OK"))))))</f>
        <v>Manual Review</v>
      </c>
      <c r="K1089" s="13"/>
    </row>
    <row r="1090" customFormat="false" ht="15" hidden="false" customHeight="false" outlineLevel="0" collapsed="false">
      <c r="A1090" s="9" t="str">
        <f aca="false">Vessels!B14</f>
        <v>Vessel 10</v>
      </c>
      <c r="B1090" s="9" t="s">
        <v>117</v>
      </c>
      <c r="C1090" s="7" t="s">
        <v>118</v>
      </c>
      <c r="D1090" s="9" t="s">
        <v>59</v>
      </c>
      <c r="E1090" s="9" t="s">
        <v>119</v>
      </c>
      <c r="F1090" s="5"/>
      <c r="G1090" s="10"/>
      <c r="H1090" s="11" t="str">
        <f aca="false">IFERROR(IF($D1090="Manual Review","",IF($G1090="","",IF($D1090="Direct Expiry",$G1090,EDATE($G1090,$F1090)))),"Check Date")</f>
        <v/>
      </c>
      <c r="I1090" s="12" t="str">
        <f aca="true">IF($H1090="","",IF(ISNUMBER($H1090),$H1090-TODAY(),""))</f>
        <v/>
      </c>
      <c r="J1090" s="4" t="str">
        <f aca="true">IF($D1090="Manual Review","Manual Review",IF($G1090="","No Data",IF(NOT(ISNUMBER($H1090)),"N/A",IF($H1090&lt;TODAY(),"Overdue",IF($H1090&lt;=TODAY()+30,"Due within 1 Month",IF($H1090&lt;=TODAY()+60,"Due within 2 Months","OK"))))))</f>
        <v>No Data</v>
      </c>
      <c r="K1090" s="13"/>
    </row>
    <row r="1091" customFormat="false" ht="15" hidden="false" customHeight="false" outlineLevel="0" collapsed="false">
      <c r="A1091" s="9" t="str">
        <f aca="false">Vessels!B14</f>
        <v>Vessel 10</v>
      </c>
      <c r="B1091" s="9" t="s">
        <v>117</v>
      </c>
      <c r="C1091" s="7" t="s">
        <v>120</v>
      </c>
      <c r="D1091" s="9" t="s">
        <v>45</v>
      </c>
      <c r="E1091" s="9" t="s">
        <v>44</v>
      </c>
      <c r="F1091" s="5" t="n">
        <v>12</v>
      </c>
      <c r="G1091" s="10"/>
      <c r="H1091" s="11" t="str">
        <f aca="false">IFERROR(IF($D1091="Manual Review","",IF($G1091="","",IF($D1091="Direct Expiry",$G1091,EDATE($G1091,$F1091)))),"Check Date")</f>
        <v/>
      </c>
      <c r="I1091" s="12" t="str">
        <f aca="true">IF($H1091="","",IF(ISNUMBER($H1091),$H1091-TODAY(),""))</f>
        <v/>
      </c>
      <c r="J1091" s="4" t="str">
        <f aca="true">IF($D1091="Manual Review","Manual Review",IF($G1091="","No Data",IF(NOT(ISNUMBER($H1091)),"N/A",IF($H1091&lt;TODAY(),"Overdue",IF($H1091&lt;=TODAY()+30,"Due within 1 Month",IF($H1091&lt;=TODAY()+60,"Due within 2 Months","OK"))))))</f>
        <v>No Data</v>
      </c>
      <c r="K1091" s="13"/>
    </row>
    <row r="1092" customFormat="false" ht="15" hidden="false" customHeight="false" outlineLevel="0" collapsed="false">
      <c r="A1092" s="9" t="str">
        <f aca="false">Vessels!B14</f>
        <v>Vessel 10</v>
      </c>
      <c r="B1092" s="9" t="s">
        <v>117</v>
      </c>
      <c r="C1092" s="7" t="s">
        <v>121</v>
      </c>
      <c r="D1092" s="9" t="s">
        <v>45</v>
      </c>
      <c r="E1092" s="9" t="s">
        <v>44</v>
      </c>
      <c r="F1092" s="5" t="n">
        <v>12</v>
      </c>
      <c r="G1092" s="10"/>
      <c r="H1092" s="11" t="str">
        <f aca="false">IFERROR(IF($D1092="Manual Review","",IF($G1092="","",IF($D1092="Direct Expiry",$G1092,EDATE($G1092,$F1092)))),"Check Date")</f>
        <v/>
      </c>
      <c r="I1092" s="12" t="str">
        <f aca="true">IF($H1092="","",IF(ISNUMBER($H1092),$H1092-TODAY(),""))</f>
        <v/>
      </c>
      <c r="J1092" s="4" t="str">
        <f aca="true">IF($D1092="Manual Review","Manual Review",IF($G1092="","No Data",IF(NOT(ISNUMBER($H1092)),"N/A",IF($H1092&lt;TODAY(),"Overdue",IF($H1092&lt;=TODAY()+30,"Due within 1 Month",IF($H1092&lt;=TODAY()+60,"Due within 2 Months","OK"))))))</f>
        <v>No Data</v>
      </c>
      <c r="K1092" s="13"/>
    </row>
    <row r="1093" customFormat="false" ht="15" hidden="false" customHeight="false" outlineLevel="0" collapsed="false">
      <c r="A1093" s="9" t="str">
        <f aca="false">Vessels!B14</f>
        <v>Vessel 10</v>
      </c>
      <c r="B1093" s="9" t="s">
        <v>117</v>
      </c>
      <c r="C1093" s="7" t="s">
        <v>122</v>
      </c>
      <c r="D1093" s="9" t="s">
        <v>45</v>
      </c>
      <c r="E1093" s="9" t="s">
        <v>123</v>
      </c>
      <c r="F1093" s="5" t="n">
        <v>24</v>
      </c>
      <c r="G1093" s="10"/>
      <c r="H1093" s="11" t="str">
        <f aca="false">IFERROR(IF($D1093="Manual Review","",IF($G1093="","",IF($D1093="Direct Expiry",$G1093,EDATE($G1093,$F1093)))),"Check Date")</f>
        <v/>
      </c>
      <c r="I1093" s="12" t="str">
        <f aca="true">IF($H1093="","",IF(ISNUMBER($H1093),$H1093-TODAY(),""))</f>
        <v/>
      </c>
      <c r="J1093" s="4" t="str">
        <f aca="true">IF($D1093="Manual Review","Manual Review",IF($G1093="","No Data",IF(NOT(ISNUMBER($H1093)),"N/A",IF($H1093&lt;TODAY(),"Overdue",IF($H1093&lt;=TODAY()+30,"Due within 1 Month",IF($H1093&lt;=TODAY()+60,"Due within 2 Months","OK"))))))</f>
        <v>No Data</v>
      </c>
      <c r="K1093" s="13"/>
    </row>
    <row r="1094" customFormat="false" ht="15" hidden="false" customHeight="false" outlineLevel="0" collapsed="false">
      <c r="A1094" s="9" t="str">
        <f aca="false">Vessels!B14</f>
        <v>Vessel 10</v>
      </c>
      <c r="B1094" s="9" t="s">
        <v>117</v>
      </c>
      <c r="C1094" s="7" t="s">
        <v>124</v>
      </c>
      <c r="D1094" s="9" t="s">
        <v>59</v>
      </c>
      <c r="E1094" s="9" t="s">
        <v>58</v>
      </c>
      <c r="F1094" s="5"/>
      <c r="G1094" s="10"/>
      <c r="H1094" s="11" t="str">
        <f aca="false">IFERROR(IF($D1094="Manual Review","",IF($G1094="","",IF($D1094="Direct Expiry",$G1094,EDATE($G1094,$F1094)))),"Check Date")</f>
        <v/>
      </c>
      <c r="I1094" s="12" t="str">
        <f aca="true">IF($H1094="","",IF(ISNUMBER($H1094),$H1094-TODAY(),""))</f>
        <v/>
      </c>
      <c r="J1094" s="4" t="str">
        <f aca="true">IF($D1094="Manual Review","Manual Review",IF($G1094="","No Data",IF(NOT(ISNUMBER($H1094)),"N/A",IF($H1094&lt;TODAY(),"Overdue",IF($H1094&lt;=TODAY()+30,"Due within 1 Month",IF($H1094&lt;=TODAY()+60,"Due within 2 Months","OK"))))))</f>
        <v>No Data</v>
      </c>
      <c r="K1094" s="13"/>
    </row>
    <row r="1095" customFormat="false" ht="15" hidden="false" customHeight="false" outlineLevel="0" collapsed="false">
      <c r="A1095" s="9" t="str">
        <f aca="false">Vessels!B14</f>
        <v>Vessel 10</v>
      </c>
      <c r="B1095" s="9" t="s">
        <v>117</v>
      </c>
      <c r="C1095" s="7" t="s">
        <v>125</v>
      </c>
      <c r="D1095" s="9" t="s">
        <v>59</v>
      </c>
      <c r="E1095" s="9" t="s">
        <v>58</v>
      </c>
      <c r="F1095" s="5"/>
      <c r="G1095" s="10"/>
      <c r="H1095" s="11" t="str">
        <f aca="false">IFERROR(IF($D1095="Manual Review","",IF($G1095="","",IF($D1095="Direct Expiry",$G1095,EDATE($G1095,$F1095)))),"Check Date")</f>
        <v/>
      </c>
      <c r="I1095" s="12" t="str">
        <f aca="true">IF($H1095="","",IF(ISNUMBER($H1095),$H1095-TODAY(),""))</f>
        <v/>
      </c>
      <c r="J1095" s="4" t="str">
        <f aca="true">IF($D1095="Manual Review","Manual Review",IF($G1095="","No Data",IF(NOT(ISNUMBER($H1095)),"N/A",IF($H1095&lt;TODAY(),"Overdue",IF($H1095&lt;=TODAY()+30,"Due within 1 Month",IF($H1095&lt;=TODAY()+60,"Due within 2 Months","OK"))))))</f>
        <v>No Data</v>
      </c>
      <c r="K1095" s="13"/>
    </row>
    <row r="1096" customFormat="false" ht="15" hidden="false" customHeight="false" outlineLevel="0" collapsed="false">
      <c r="A1096" s="9" t="str">
        <f aca="false">Vessels!B14</f>
        <v>Vessel 10</v>
      </c>
      <c r="B1096" s="9" t="s">
        <v>117</v>
      </c>
      <c r="C1096" s="7" t="s">
        <v>126</v>
      </c>
      <c r="D1096" s="9" t="s">
        <v>45</v>
      </c>
      <c r="E1096" s="9" t="s">
        <v>44</v>
      </c>
      <c r="F1096" s="5" t="n">
        <v>12</v>
      </c>
      <c r="G1096" s="10"/>
      <c r="H1096" s="11" t="str">
        <f aca="false">IFERROR(IF($D1096="Manual Review","",IF($G1096="","",IF($D1096="Direct Expiry",$G1096,EDATE($G1096,$F1096)))),"Check Date")</f>
        <v/>
      </c>
      <c r="I1096" s="12" t="str">
        <f aca="true">IF($H1096="","",IF(ISNUMBER($H1096),$H1096-TODAY(),""))</f>
        <v/>
      </c>
      <c r="J1096" s="4" t="str">
        <f aca="true">IF($D1096="Manual Review","Manual Review",IF($G1096="","No Data",IF(NOT(ISNUMBER($H1096)),"N/A",IF($H1096&lt;TODAY(),"Overdue",IF($H1096&lt;=TODAY()+30,"Due within 1 Month",IF($H1096&lt;=TODAY()+60,"Due within 2 Months","OK"))))))</f>
        <v>No Data</v>
      </c>
      <c r="K1096" s="13"/>
    </row>
    <row r="1097" customFormat="false" ht="15" hidden="false" customHeight="false" outlineLevel="0" collapsed="false">
      <c r="A1097" s="9" t="str">
        <f aca="false">Vessels!B14</f>
        <v>Vessel 10</v>
      </c>
      <c r="B1097" s="9" t="s">
        <v>117</v>
      </c>
      <c r="C1097" s="7" t="s">
        <v>127</v>
      </c>
      <c r="D1097" s="9" t="s">
        <v>59</v>
      </c>
      <c r="E1097" s="9" t="s">
        <v>58</v>
      </c>
      <c r="F1097" s="5"/>
      <c r="G1097" s="10"/>
      <c r="H1097" s="11" t="str">
        <f aca="false">IFERROR(IF($D1097="Manual Review","",IF($G1097="","",IF($D1097="Direct Expiry",$G1097,EDATE($G1097,$F1097)))),"Check Date")</f>
        <v/>
      </c>
      <c r="I1097" s="12" t="str">
        <f aca="true">IF($H1097="","",IF(ISNUMBER($H1097),$H1097-TODAY(),""))</f>
        <v/>
      </c>
      <c r="J1097" s="4" t="str">
        <f aca="true">IF($D1097="Manual Review","Manual Review",IF($G1097="","No Data",IF(NOT(ISNUMBER($H1097)),"N/A",IF($H1097&lt;TODAY(),"Overdue",IF($H1097&lt;=TODAY()+30,"Due within 1 Month",IF($H1097&lt;=TODAY()+60,"Due within 2 Months","OK"))))))</f>
        <v>No Data</v>
      </c>
      <c r="K1097" s="13"/>
    </row>
    <row r="1098" customFormat="false" ht="15" hidden="false" customHeight="false" outlineLevel="0" collapsed="false">
      <c r="A1098" s="9" t="str">
        <f aca="false">Vessels!B14</f>
        <v>Vessel 10</v>
      </c>
      <c r="B1098" s="9" t="s">
        <v>117</v>
      </c>
      <c r="C1098" s="7" t="s">
        <v>128</v>
      </c>
      <c r="D1098" s="9" t="s">
        <v>59</v>
      </c>
      <c r="E1098" s="9" t="s">
        <v>58</v>
      </c>
      <c r="F1098" s="5"/>
      <c r="G1098" s="10"/>
      <c r="H1098" s="11" t="str">
        <f aca="false">IFERROR(IF($D1098="Manual Review","",IF($G1098="","",IF($D1098="Direct Expiry",$G1098,EDATE($G1098,$F1098)))),"Check Date")</f>
        <v/>
      </c>
      <c r="I1098" s="12" t="str">
        <f aca="true">IF($H1098="","",IF(ISNUMBER($H1098),$H1098-TODAY(),""))</f>
        <v/>
      </c>
      <c r="J1098" s="4" t="str">
        <f aca="true">IF($D1098="Manual Review","Manual Review",IF($G1098="","No Data",IF(NOT(ISNUMBER($H1098)),"N/A",IF($H1098&lt;TODAY(),"Overdue",IF($H1098&lt;=TODAY()+30,"Due within 1 Month",IF($H1098&lt;=TODAY()+60,"Due within 2 Months","OK"))))))</f>
        <v>No Data</v>
      </c>
      <c r="K1098" s="13"/>
    </row>
    <row r="1099" customFormat="false" ht="15" hidden="false" customHeight="false" outlineLevel="0" collapsed="false">
      <c r="A1099" s="9" t="str">
        <f aca="false">Vessels!B14</f>
        <v>Vessel 10</v>
      </c>
      <c r="B1099" s="9" t="s">
        <v>117</v>
      </c>
      <c r="C1099" s="7" t="s">
        <v>129</v>
      </c>
      <c r="D1099" s="9" t="s">
        <v>59</v>
      </c>
      <c r="E1099" s="9" t="s">
        <v>58</v>
      </c>
      <c r="F1099" s="5"/>
      <c r="G1099" s="10"/>
      <c r="H1099" s="11" t="str">
        <f aca="false">IFERROR(IF($D1099="Manual Review","",IF($G1099="","",IF($D1099="Direct Expiry",$G1099,EDATE($G1099,$F1099)))),"Check Date")</f>
        <v/>
      </c>
      <c r="I1099" s="12" t="str">
        <f aca="true">IF($H1099="","",IF(ISNUMBER($H1099),$H1099-TODAY(),""))</f>
        <v/>
      </c>
      <c r="J1099" s="4" t="str">
        <f aca="true">IF($D1099="Manual Review","Manual Review",IF($G1099="","No Data",IF(NOT(ISNUMBER($H1099)),"N/A",IF($H1099&lt;TODAY(),"Overdue",IF($H1099&lt;=TODAY()+30,"Due within 1 Month",IF($H1099&lt;=TODAY()+60,"Due within 2 Months","OK"))))))</f>
        <v>No Data</v>
      </c>
      <c r="K1099" s="13"/>
    </row>
    <row r="1100" customFormat="false" ht="15" hidden="false" customHeight="false" outlineLevel="0" collapsed="false">
      <c r="A1100" s="9" t="str">
        <f aca="false">Vessels!B14</f>
        <v>Vessel 10</v>
      </c>
      <c r="B1100" s="9" t="s">
        <v>117</v>
      </c>
      <c r="C1100" s="7" t="s">
        <v>130</v>
      </c>
      <c r="D1100" s="9" t="s">
        <v>45</v>
      </c>
      <c r="E1100" s="9" t="s">
        <v>44</v>
      </c>
      <c r="F1100" s="5" t="n">
        <v>12</v>
      </c>
      <c r="G1100" s="10"/>
      <c r="H1100" s="11" t="str">
        <f aca="false">IFERROR(IF($D1100="Manual Review","",IF($G1100="","",IF($D1100="Direct Expiry",$G1100,EDATE($G1100,$F1100)))),"Check Date")</f>
        <v/>
      </c>
      <c r="I1100" s="12" t="str">
        <f aca="true">IF($H1100="","",IF(ISNUMBER($H1100),$H1100-TODAY(),""))</f>
        <v/>
      </c>
      <c r="J1100" s="4" t="str">
        <f aca="true">IF($D1100="Manual Review","Manual Review",IF($G1100="","No Data",IF(NOT(ISNUMBER($H1100)),"N/A",IF($H1100&lt;TODAY(),"Overdue",IF($H1100&lt;=TODAY()+30,"Due within 1 Month",IF($H1100&lt;=TODAY()+60,"Due within 2 Months","OK"))))))</f>
        <v>No Data</v>
      </c>
      <c r="K1100" s="13"/>
    </row>
    <row r="1101" customFormat="false" ht="15" hidden="false" customHeight="false" outlineLevel="0" collapsed="false">
      <c r="A1101" s="9" t="str">
        <f aca="false">Vessels!B14</f>
        <v>Vessel 10</v>
      </c>
      <c r="B1101" s="9" t="s">
        <v>117</v>
      </c>
      <c r="C1101" s="7" t="s">
        <v>131</v>
      </c>
      <c r="D1101" s="9" t="s">
        <v>45</v>
      </c>
      <c r="E1101" s="9" t="s">
        <v>44</v>
      </c>
      <c r="F1101" s="5" t="n">
        <v>12</v>
      </c>
      <c r="G1101" s="10"/>
      <c r="H1101" s="11" t="str">
        <f aca="false">IFERROR(IF($D1101="Manual Review","",IF($G1101="","",IF($D1101="Direct Expiry",$G1101,EDATE($G1101,$F1101)))),"Check Date")</f>
        <v/>
      </c>
      <c r="I1101" s="12" t="str">
        <f aca="true">IF($H1101="","",IF(ISNUMBER($H1101),$H1101-TODAY(),""))</f>
        <v/>
      </c>
      <c r="J1101" s="4" t="str">
        <f aca="true">IF($D1101="Manual Review","Manual Review",IF($G1101="","No Data",IF(NOT(ISNUMBER($H1101)),"N/A",IF($H1101&lt;TODAY(),"Overdue",IF($H1101&lt;=TODAY()+30,"Due within 1 Month",IF($H1101&lt;=TODAY()+60,"Due within 2 Months","OK"))))))</f>
        <v>No Data</v>
      </c>
      <c r="K1101" s="13"/>
    </row>
    <row r="1102" customFormat="false" ht="15" hidden="false" customHeight="false" outlineLevel="0" collapsed="false">
      <c r="A1102" s="9" t="str">
        <f aca="false">Vessels!B14</f>
        <v>Vessel 10</v>
      </c>
      <c r="B1102" s="9" t="s">
        <v>117</v>
      </c>
      <c r="C1102" s="7" t="s">
        <v>132</v>
      </c>
      <c r="D1102" s="9" t="s">
        <v>45</v>
      </c>
      <c r="E1102" s="9" t="s">
        <v>44</v>
      </c>
      <c r="F1102" s="5" t="n">
        <v>12</v>
      </c>
      <c r="G1102" s="10"/>
      <c r="H1102" s="11" t="str">
        <f aca="false">IFERROR(IF($D1102="Manual Review","",IF($G1102="","",IF($D1102="Direct Expiry",$G1102,EDATE($G1102,$F1102)))),"Check Date")</f>
        <v/>
      </c>
      <c r="I1102" s="12" t="str">
        <f aca="true">IF($H1102="","",IF(ISNUMBER($H1102),$H1102-TODAY(),""))</f>
        <v/>
      </c>
      <c r="J1102" s="4" t="str">
        <f aca="true">IF($D1102="Manual Review","Manual Review",IF($G1102="","No Data",IF(NOT(ISNUMBER($H1102)),"N/A",IF($H1102&lt;TODAY(),"Overdue",IF($H1102&lt;=TODAY()+30,"Due within 1 Month",IF($H1102&lt;=TODAY()+60,"Due within 2 Months","OK"))))))</f>
        <v>No Data</v>
      </c>
      <c r="K1102" s="13"/>
    </row>
    <row r="1103" customFormat="false" ht="15" hidden="false" customHeight="false" outlineLevel="0" collapsed="false">
      <c r="A1103" s="9" t="str">
        <f aca="false">Vessels!B14</f>
        <v>Vessel 10</v>
      </c>
      <c r="B1103" s="9" t="s">
        <v>117</v>
      </c>
      <c r="C1103" s="7" t="s">
        <v>133</v>
      </c>
      <c r="D1103" s="9" t="s">
        <v>45</v>
      </c>
      <c r="E1103" s="9" t="s">
        <v>44</v>
      </c>
      <c r="F1103" s="5" t="n">
        <v>12</v>
      </c>
      <c r="G1103" s="10"/>
      <c r="H1103" s="11" t="str">
        <f aca="false">IFERROR(IF($D1103="Manual Review","",IF($G1103="","",IF($D1103="Direct Expiry",$G1103,EDATE($G1103,$F1103)))),"Check Date")</f>
        <v/>
      </c>
      <c r="I1103" s="12" t="str">
        <f aca="true">IF($H1103="","",IF(ISNUMBER($H1103),$H1103-TODAY(),""))</f>
        <v/>
      </c>
      <c r="J1103" s="4" t="str">
        <f aca="true">IF($D1103="Manual Review","Manual Review",IF($G1103="","No Data",IF(NOT(ISNUMBER($H1103)),"N/A",IF($H1103&lt;TODAY(),"Overdue",IF($H1103&lt;=TODAY()+30,"Due within 1 Month",IF($H1103&lt;=TODAY()+60,"Due within 2 Months","OK"))))))</f>
        <v>No Data</v>
      </c>
      <c r="K1103" s="13"/>
    </row>
    <row r="1104" customFormat="false" ht="15" hidden="false" customHeight="false" outlineLevel="0" collapsed="false">
      <c r="A1104" s="9" t="str">
        <f aca="false">Vessels!B14</f>
        <v>Vessel 10</v>
      </c>
      <c r="B1104" s="9" t="s">
        <v>117</v>
      </c>
      <c r="C1104" s="7" t="s">
        <v>134</v>
      </c>
      <c r="D1104" s="9" t="s">
        <v>45</v>
      </c>
      <c r="E1104" s="9" t="s">
        <v>44</v>
      </c>
      <c r="F1104" s="5" t="n">
        <v>12</v>
      </c>
      <c r="G1104" s="10"/>
      <c r="H1104" s="11" t="str">
        <f aca="false">IFERROR(IF($D1104="Manual Review","",IF($G1104="","",IF($D1104="Direct Expiry",$G1104,EDATE($G1104,$F1104)))),"Check Date")</f>
        <v/>
      </c>
      <c r="I1104" s="12" t="str">
        <f aca="true">IF($H1104="","",IF(ISNUMBER($H1104),$H1104-TODAY(),""))</f>
        <v/>
      </c>
      <c r="J1104" s="4" t="str">
        <f aca="true">IF($D1104="Manual Review","Manual Review",IF($G1104="","No Data",IF(NOT(ISNUMBER($H1104)),"N/A",IF($H1104&lt;TODAY(),"Overdue",IF($H1104&lt;=TODAY()+30,"Due within 1 Month",IF($H1104&lt;=TODAY()+60,"Due within 2 Months","OK"))))))</f>
        <v>No Data</v>
      </c>
      <c r="K1104" s="13"/>
    </row>
    <row r="1105" customFormat="false" ht="15" hidden="false" customHeight="false" outlineLevel="0" collapsed="false">
      <c r="A1105" s="9" t="str">
        <f aca="false">Vessels!B14</f>
        <v>Vessel 10</v>
      </c>
      <c r="B1105" s="9" t="s">
        <v>117</v>
      </c>
      <c r="C1105" s="7" t="s">
        <v>135</v>
      </c>
      <c r="D1105" s="9" t="s">
        <v>45</v>
      </c>
      <c r="E1105" s="9" t="s">
        <v>44</v>
      </c>
      <c r="F1105" s="5" t="n">
        <v>12</v>
      </c>
      <c r="G1105" s="10"/>
      <c r="H1105" s="11" t="str">
        <f aca="false">IFERROR(IF($D1105="Manual Review","",IF($G1105="","",IF($D1105="Direct Expiry",$G1105,EDATE($G1105,$F1105)))),"Check Date")</f>
        <v/>
      </c>
      <c r="I1105" s="12" t="str">
        <f aca="true">IF($H1105="","",IF(ISNUMBER($H1105),$H1105-TODAY(),""))</f>
        <v/>
      </c>
      <c r="J1105" s="4" t="str">
        <f aca="true">IF($D1105="Manual Review","Manual Review",IF($G1105="","No Data",IF(NOT(ISNUMBER($H1105)),"N/A",IF($H1105&lt;TODAY(),"Overdue",IF($H1105&lt;=TODAY()+30,"Due within 1 Month",IF($H1105&lt;=TODAY()+60,"Due within 2 Months","OK"))))))</f>
        <v>No Data</v>
      </c>
      <c r="K1105" s="13"/>
    </row>
    <row r="1106" customFormat="false" ht="15" hidden="false" customHeight="false" outlineLevel="0" collapsed="false">
      <c r="A1106" s="9" t="str">
        <f aca="false">Vessels!B14</f>
        <v>Vessel 10</v>
      </c>
      <c r="B1106" s="9" t="s">
        <v>136</v>
      </c>
      <c r="C1106" s="7" t="s">
        <v>137</v>
      </c>
      <c r="D1106" s="9" t="s">
        <v>45</v>
      </c>
      <c r="E1106" s="9" t="s">
        <v>44</v>
      </c>
      <c r="F1106" s="5" t="n">
        <v>12</v>
      </c>
      <c r="G1106" s="10"/>
      <c r="H1106" s="11" t="str">
        <f aca="false">IFERROR(IF($D1106="Manual Review","",IF($G1106="","",IF($D1106="Direct Expiry",$G1106,EDATE($G1106,$F1106)))),"Check Date")</f>
        <v/>
      </c>
      <c r="I1106" s="12" t="str">
        <f aca="true">IF($H1106="","",IF(ISNUMBER($H1106),$H1106-TODAY(),""))</f>
        <v/>
      </c>
      <c r="J1106" s="4" t="str">
        <f aca="true">IF($D1106="Manual Review","Manual Review",IF($G1106="","No Data",IF(NOT(ISNUMBER($H1106)),"N/A",IF($H1106&lt;TODAY(),"Overdue",IF($H1106&lt;=TODAY()+30,"Due within 1 Month",IF($H1106&lt;=TODAY()+60,"Due within 2 Months","OK"))))))</f>
        <v>No Data</v>
      </c>
      <c r="K1106" s="13"/>
    </row>
    <row r="1107" customFormat="false" ht="15" hidden="false" customHeight="false" outlineLevel="0" collapsed="false">
      <c r="A1107" s="9" t="str">
        <f aca="false">Vessels!B14</f>
        <v>Vessel 10</v>
      </c>
      <c r="B1107" s="9" t="s">
        <v>136</v>
      </c>
      <c r="C1107" s="7" t="s">
        <v>138</v>
      </c>
      <c r="D1107" s="9" t="s">
        <v>45</v>
      </c>
      <c r="E1107" s="9" t="s">
        <v>44</v>
      </c>
      <c r="F1107" s="5" t="n">
        <v>12</v>
      </c>
      <c r="G1107" s="10"/>
      <c r="H1107" s="11" t="str">
        <f aca="false">IFERROR(IF($D1107="Manual Review","",IF($G1107="","",IF($D1107="Direct Expiry",$G1107,EDATE($G1107,$F1107)))),"Check Date")</f>
        <v/>
      </c>
      <c r="I1107" s="12" t="str">
        <f aca="true">IF($H1107="","",IF(ISNUMBER($H1107),$H1107-TODAY(),""))</f>
        <v/>
      </c>
      <c r="J1107" s="4" t="str">
        <f aca="true">IF($D1107="Manual Review","Manual Review",IF($G1107="","No Data",IF(NOT(ISNUMBER($H1107)),"N/A",IF($H1107&lt;TODAY(),"Overdue",IF($H1107&lt;=TODAY()+30,"Due within 1 Month",IF($H1107&lt;=TODAY()+60,"Due within 2 Months","OK"))))))</f>
        <v>No Data</v>
      </c>
      <c r="K1107" s="13"/>
    </row>
    <row r="1108" customFormat="false" ht="15" hidden="false" customHeight="false" outlineLevel="0" collapsed="false">
      <c r="A1108" s="9" t="str">
        <f aca="false">Vessels!B14</f>
        <v>Vessel 10</v>
      </c>
      <c r="B1108" s="9" t="s">
        <v>136</v>
      </c>
      <c r="C1108" s="7" t="s">
        <v>139</v>
      </c>
      <c r="D1108" s="9" t="s">
        <v>45</v>
      </c>
      <c r="E1108" s="9" t="s">
        <v>140</v>
      </c>
      <c r="F1108" s="5" t="n">
        <v>12</v>
      </c>
      <c r="G1108" s="10"/>
      <c r="H1108" s="11" t="str">
        <f aca="false">IFERROR(IF($D1108="Manual Review","",IF($G1108="","",IF($D1108="Direct Expiry",$G1108,EDATE($G1108,$F1108)))),"Check Date")</f>
        <v/>
      </c>
      <c r="I1108" s="12" t="str">
        <f aca="true">IF($H1108="","",IF(ISNUMBER($H1108),$H1108-TODAY(),""))</f>
        <v/>
      </c>
      <c r="J1108" s="4" t="str">
        <f aca="true">IF($D1108="Manual Review","Manual Review",IF($G1108="","No Data",IF(NOT(ISNUMBER($H1108)),"N/A",IF($H1108&lt;TODAY(),"Overdue",IF($H1108&lt;=TODAY()+30,"Due within 1 Month",IF($H1108&lt;=TODAY()+60,"Due within 2 Months","OK"))))))</f>
        <v>No Data</v>
      </c>
      <c r="K1108" s="13"/>
    </row>
    <row r="1109" customFormat="false" ht="15" hidden="false" customHeight="false" outlineLevel="0" collapsed="false">
      <c r="A1109" s="9" t="str">
        <f aca="false">Vessels!B14</f>
        <v>Vessel 10</v>
      </c>
      <c r="B1109" s="9" t="s">
        <v>136</v>
      </c>
      <c r="C1109" s="7" t="s">
        <v>141</v>
      </c>
      <c r="D1109" s="9" t="s">
        <v>45</v>
      </c>
      <c r="E1109" s="9" t="s">
        <v>44</v>
      </c>
      <c r="F1109" s="5" t="n">
        <v>12</v>
      </c>
      <c r="G1109" s="10"/>
      <c r="H1109" s="11" t="str">
        <f aca="false">IFERROR(IF($D1109="Manual Review","",IF($G1109="","",IF($D1109="Direct Expiry",$G1109,EDATE($G1109,$F1109)))),"Check Date")</f>
        <v/>
      </c>
      <c r="I1109" s="12" t="str">
        <f aca="true">IF($H1109="","",IF(ISNUMBER($H1109),$H1109-TODAY(),""))</f>
        <v/>
      </c>
      <c r="J1109" s="4" t="str">
        <f aca="true">IF($D1109="Manual Review","Manual Review",IF($G1109="","No Data",IF(NOT(ISNUMBER($H1109)),"N/A",IF($H1109&lt;TODAY(),"Overdue",IF($H1109&lt;=TODAY()+30,"Due within 1 Month",IF($H1109&lt;=TODAY()+60,"Due within 2 Months","OK"))))))</f>
        <v>No Data</v>
      </c>
      <c r="K1109" s="13"/>
    </row>
    <row r="1110" customFormat="false" ht="15" hidden="false" customHeight="false" outlineLevel="0" collapsed="false">
      <c r="A1110" s="9" t="str">
        <f aca="false">Vessels!B14</f>
        <v>Vessel 10</v>
      </c>
      <c r="B1110" s="9" t="s">
        <v>136</v>
      </c>
      <c r="C1110" s="7" t="s">
        <v>142</v>
      </c>
      <c r="D1110" s="9" t="s">
        <v>115</v>
      </c>
      <c r="E1110" s="9" t="s">
        <v>143</v>
      </c>
      <c r="F1110" s="5"/>
      <c r="G1110" s="10"/>
      <c r="H1110" s="11" t="str">
        <f aca="false">IFERROR(IF($D1110="Manual Review","",IF($G1110="","",IF($D1110="Direct Expiry",$G1110,EDATE($G1110,$F1110)))),"Check Date")</f>
        <v/>
      </c>
      <c r="I1110" s="12" t="str">
        <f aca="true">IF($H1110="","",IF(ISNUMBER($H1110),$H1110-TODAY(),""))</f>
        <v/>
      </c>
      <c r="J1110" s="4" t="str">
        <f aca="true">IF($D1110="Manual Review","Manual Review",IF($G1110="","No Data",IF(NOT(ISNUMBER($H1110)),"N/A",IF($H1110&lt;TODAY(),"Overdue",IF($H1110&lt;=TODAY()+30,"Due within 1 Month",IF($H1110&lt;=TODAY()+60,"Due within 2 Months","OK"))))))</f>
        <v>Manual Review</v>
      </c>
      <c r="K1110" s="13"/>
    </row>
    <row r="1111" customFormat="false" ht="15" hidden="false" customHeight="false" outlineLevel="0" collapsed="false">
      <c r="A1111" s="9" t="str">
        <f aca="false">Vessels!B14</f>
        <v>Vessel 10</v>
      </c>
      <c r="B1111" s="9" t="s">
        <v>136</v>
      </c>
      <c r="C1111" s="7" t="s">
        <v>144</v>
      </c>
      <c r="D1111" s="9" t="s">
        <v>45</v>
      </c>
      <c r="E1111" s="9" t="s">
        <v>44</v>
      </c>
      <c r="F1111" s="5" t="n">
        <v>12</v>
      </c>
      <c r="G1111" s="10"/>
      <c r="H1111" s="11" t="str">
        <f aca="false">IFERROR(IF($D1111="Manual Review","",IF($G1111="","",IF($D1111="Direct Expiry",$G1111,EDATE($G1111,$F1111)))),"Check Date")</f>
        <v/>
      </c>
      <c r="I1111" s="12" t="str">
        <f aca="true">IF($H1111="","",IF(ISNUMBER($H1111),$H1111-TODAY(),""))</f>
        <v/>
      </c>
      <c r="J1111" s="4" t="str">
        <f aca="true">IF($D1111="Manual Review","Manual Review",IF($G1111="","No Data",IF(NOT(ISNUMBER($H1111)),"N/A",IF($H1111&lt;TODAY(),"Overdue",IF($H1111&lt;=TODAY()+30,"Due within 1 Month",IF($H1111&lt;=TODAY()+60,"Due within 2 Months","OK"))))))</f>
        <v>No Data</v>
      </c>
      <c r="K1111" s="13"/>
    </row>
    <row r="1112" customFormat="false" ht="15" hidden="false" customHeight="false" outlineLevel="0" collapsed="false">
      <c r="A1112" s="9" t="str">
        <f aca="false">Vessels!B14</f>
        <v>Vessel 10</v>
      </c>
      <c r="B1112" s="9" t="s">
        <v>136</v>
      </c>
      <c r="C1112" s="7" t="s">
        <v>145</v>
      </c>
      <c r="D1112" s="9" t="s">
        <v>45</v>
      </c>
      <c r="E1112" s="9" t="s">
        <v>44</v>
      </c>
      <c r="F1112" s="5" t="n">
        <v>12</v>
      </c>
      <c r="G1112" s="10"/>
      <c r="H1112" s="11" t="str">
        <f aca="false">IFERROR(IF($D1112="Manual Review","",IF($G1112="","",IF($D1112="Direct Expiry",$G1112,EDATE($G1112,$F1112)))),"Check Date")</f>
        <v/>
      </c>
      <c r="I1112" s="12" t="str">
        <f aca="true">IF($H1112="","",IF(ISNUMBER($H1112),$H1112-TODAY(),""))</f>
        <v/>
      </c>
      <c r="J1112" s="4" t="str">
        <f aca="true">IF($D1112="Manual Review","Manual Review",IF($G1112="","No Data",IF(NOT(ISNUMBER($H1112)),"N/A",IF($H1112&lt;TODAY(),"Overdue",IF($H1112&lt;=TODAY()+30,"Due within 1 Month",IF($H1112&lt;=TODAY()+60,"Due within 2 Months","OK"))))))</f>
        <v>No Data</v>
      </c>
      <c r="K1112" s="13"/>
    </row>
    <row r="1113" customFormat="false" ht="15" hidden="false" customHeight="false" outlineLevel="0" collapsed="false">
      <c r="A1113" s="9" t="str">
        <f aca="false">Vessels!B14</f>
        <v>Vessel 10</v>
      </c>
      <c r="B1113" s="9" t="s">
        <v>136</v>
      </c>
      <c r="C1113" s="7" t="s">
        <v>146</v>
      </c>
      <c r="D1113" s="9" t="s">
        <v>45</v>
      </c>
      <c r="E1113" s="9" t="s">
        <v>44</v>
      </c>
      <c r="F1113" s="5" t="n">
        <v>12</v>
      </c>
      <c r="G1113" s="10"/>
      <c r="H1113" s="11" t="str">
        <f aca="false">IFERROR(IF($D1113="Manual Review","",IF($G1113="","",IF($D1113="Direct Expiry",$G1113,EDATE($G1113,$F1113)))),"Check Date")</f>
        <v/>
      </c>
      <c r="I1113" s="12" t="str">
        <f aca="true">IF($H1113="","",IF(ISNUMBER($H1113),$H1113-TODAY(),""))</f>
        <v/>
      </c>
      <c r="J1113" s="4" t="str">
        <f aca="true">IF($D1113="Manual Review","Manual Review",IF($G1113="","No Data",IF(NOT(ISNUMBER($H1113)),"N/A",IF($H1113&lt;TODAY(),"Overdue",IF($H1113&lt;=TODAY()+30,"Due within 1 Month",IF($H1113&lt;=TODAY()+60,"Due within 2 Months","OK"))))))</f>
        <v>No Data</v>
      </c>
      <c r="K1113" s="13"/>
    </row>
    <row r="1114" customFormat="false" ht="15" hidden="false" customHeight="false" outlineLevel="0" collapsed="false">
      <c r="A1114" s="9" t="str">
        <f aca="false">Vessels!B14</f>
        <v>Vessel 10</v>
      </c>
      <c r="B1114" s="9" t="s">
        <v>136</v>
      </c>
      <c r="C1114" s="7" t="s">
        <v>147</v>
      </c>
      <c r="D1114" s="9" t="s">
        <v>45</v>
      </c>
      <c r="E1114" s="9" t="s">
        <v>44</v>
      </c>
      <c r="F1114" s="5" t="n">
        <v>12</v>
      </c>
      <c r="G1114" s="10"/>
      <c r="H1114" s="11" t="str">
        <f aca="false">IFERROR(IF($D1114="Manual Review","",IF($G1114="","",IF($D1114="Direct Expiry",$G1114,EDATE($G1114,$F1114)))),"Check Date")</f>
        <v/>
      </c>
      <c r="I1114" s="12" t="str">
        <f aca="true">IF($H1114="","",IF(ISNUMBER($H1114),$H1114-TODAY(),""))</f>
        <v/>
      </c>
      <c r="J1114" s="4" t="str">
        <f aca="true">IF($D1114="Manual Review","Manual Review",IF($G1114="","No Data",IF(NOT(ISNUMBER($H1114)),"N/A",IF($H1114&lt;TODAY(),"Overdue",IF($H1114&lt;=TODAY()+30,"Due within 1 Month",IF($H1114&lt;=TODAY()+60,"Due within 2 Months","OK"))))))</f>
        <v>No Data</v>
      </c>
      <c r="K1114" s="13"/>
    </row>
    <row r="1115" customFormat="false" ht="15" hidden="false" customHeight="false" outlineLevel="0" collapsed="false">
      <c r="A1115" s="9" t="str">
        <f aca="false">Vessels!B14</f>
        <v>Vessel 10</v>
      </c>
      <c r="B1115" s="9" t="s">
        <v>136</v>
      </c>
      <c r="C1115" s="7" t="s">
        <v>148</v>
      </c>
      <c r="D1115" s="9" t="s">
        <v>45</v>
      </c>
      <c r="E1115" s="9" t="s">
        <v>44</v>
      </c>
      <c r="F1115" s="5" t="n">
        <v>12</v>
      </c>
      <c r="G1115" s="10"/>
      <c r="H1115" s="11" t="str">
        <f aca="false">IFERROR(IF($D1115="Manual Review","",IF($G1115="","",IF($D1115="Direct Expiry",$G1115,EDATE($G1115,$F1115)))),"Check Date")</f>
        <v/>
      </c>
      <c r="I1115" s="12" t="str">
        <f aca="true">IF($H1115="","",IF(ISNUMBER($H1115),$H1115-TODAY(),""))</f>
        <v/>
      </c>
      <c r="J1115" s="4" t="str">
        <f aca="true">IF($D1115="Manual Review","Manual Review",IF($G1115="","No Data",IF(NOT(ISNUMBER($H1115)),"N/A",IF($H1115&lt;TODAY(),"Overdue",IF($H1115&lt;=TODAY()+30,"Due within 1 Month",IF($H1115&lt;=TODAY()+60,"Due within 2 Months","OK"))))))</f>
        <v>No Data</v>
      </c>
      <c r="K1115" s="13"/>
    </row>
    <row r="1116" customFormat="false" ht="15" hidden="false" customHeight="false" outlineLevel="0" collapsed="false">
      <c r="A1116" s="9" t="str">
        <f aca="false">Vessels!B14</f>
        <v>Vessel 10</v>
      </c>
      <c r="B1116" s="9" t="s">
        <v>136</v>
      </c>
      <c r="C1116" s="7" t="s">
        <v>149</v>
      </c>
      <c r="D1116" s="9" t="s">
        <v>45</v>
      </c>
      <c r="E1116" s="9" t="s">
        <v>44</v>
      </c>
      <c r="F1116" s="5" t="n">
        <v>12</v>
      </c>
      <c r="G1116" s="10"/>
      <c r="H1116" s="11" t="str">
        <f aca="false">IFERROR(IF($D1116="Manual Review","",IF($G1116="","",IF($D1116="Direct Expiry",$G1116,EDATE($G1116,$F1116)))),"Check Date")</f>
        <v/>
      </c>
      <c r="I1116" s="12" t="str">
        <f aca="true">IF($H1116="","",IF(ISNUMBER($H1116),$H1116-TODAY(),""))</f>
        <v/>
      </c>
      <c r="J1116" s="4" t="str">
        <f aca="true">IF($D1116="Manual Review","Manual Review",IF($G1116="","No Data",IF(NOT(ISNUMBER($H1116)),"N/A",IF($H1116&lt;TODAY(),"Overdue",IF($H1116&lt;=TODAY()+30,"Due within 1 Month",IF($H1116&lt;=TODAY()+60,"Due within 2 Months","OK"))))))</f>
        <v>No Data</v>
      </c>
      <c r="K1116" s="13"/>
    </row>
    <row r="1117" customFormat="false" ht="15" hidden="false" customHeight="false" outlineLevel="0" collapsed="false">
      <c r="A1117" s="9" t="str">
        <f aca="false">Vessels!B14</f>
        <v>Vessel 10</v>
      </c>
      <c r="B1117" s="9" t="s">
        <v>136</v>
      </c>
      <c r="C1117" s="7" t="s">
        <v>150</v>
      </c>
      <c r="D1117" s="9" t="s">
        <v>45</v>
      </c>
      <c r="E1117" s="9" t="s">
        <v>44</v>
      </c>
      <c r="F1117" s="5" t="n">
        <v>12</v>
      </c>
      <c r="G1117" s="10"/>
      <c r="H1117" s="11" t="str">
        <f aca="false">IFERROR(IF($D1117="Manual Review","",IF($G1117="","",IF($D1117="Direct Expiry",$G1117,EDATE($G1117,$F1117)))),"Check Date")</f>
        <v/>
      </c>
      <c r="I1117" s="12" t="str">
        <f aca="true">IF($H1117="","",IF(ISNUMBER($H1117),$H1117-TODAY(),""))</f>
        <v/>
      </c>
      <c r="J1117" s="4" t="str">
        <f aca="true">IF($D1117="Manual Review","Manual Review",IF($G1117="","No Data",IF(NOT(ISNUMBER($H1117)),"N/A",IF($H1117&lt;TODAY(),"Overdue",IF($H1117&lt;=TODAY()+30,"Due within 1 Month",IF($H1117&lt;=TODAY()+60,"Due within 2 Months","OK"))))))</f>
        <v>No Data</v>
      </c>
      <c r="K1117" s="13"/>
    </row>
    <row r="1118" customFormat="false" ht="15" hidden="false" customHeight="false" outlineLevel="0" collapsed="false">
      <c r="A1118" s="9" t="str">
        <f aca="false">Vessels!B14</f>
        <v>Vessel 10</v>
      </c>
      <c r="B1118" s="9" t="s">
        <v>136</v>
      </c>
      <c r="C1118" s="7" t="s">
        <v>151</v>
      </c>
      <c r="D1118" s="9" t="s">
        <v>45</v>
      </c>
      <c r="E1118" s="9" t="s">
        <v>44</v>
      </c>
      <c r="F1118" s="5" t="n">
        <v>12</v>
      </c>
      <c r="G1118" s="10"/>
      <c r="H1118" s="11" t="str">
        <f aca="false">IFERROR(IF($D1118="Manual Review","",IF($G1118="","",IF($D1118="Direct Expiry",$G1118,EDATE($G1118,$F1118)))),"Check Date")</f>
        <v/>
      </c>
      <c r="I1118" s="12" t="str">
        <f aca="true">IF($H1118="","",IF(ISNUMBER($H1118),$H1118-TODAY(),""))</f>
        <v/>
      </c>
      <c r="J1118" s="4" t="str">
        <f aca="true">IF($D1118="Manual Review","Manual Review",IF($G1118="","No Data",IF(NOT(ISNUMBER($H1118)),"N/A",IF($H1118&lt;TODAY(),"Overdue",IF($H1118&lt;=TODAY()+30,"Due within 1 Month",IF($H1118&lt;=TODAY()+60,"Due within 2 Months","OK"))))))</f>
        <v>No Data</v>
      </c>
      <c r="K1118" s="13"/>
    </row>
    <row r="1119" customFormat="false" ht="15" hidden="false" customHeight="false" outlineLevel="0" collapsed="false">
      <c r="A1119" s="9" t="str">
        <f aca="false">Vessels!B14</f>
        <v>Vessel 10</v>
      </c>
      <c r="B1119" s="9" t="s">
        <v>136</v>
      </c>
      <c r="C1119" s="7" t="s">
        <v>152</v>
      </c>
      <c r="D1119" s="9" t="s">
        <v>45</v>
      </c>
      <c r="E1119" s="9" t="s">
        <v>44</v>
      </c>
      <c r="F1119" s="5" t="n">
        <v>12</v>
      </c>
      <c r="G1119" s="10"/>
      <c r="H1119" s="11" t="str">
        <f aca="false">IFERROR(IF($D1119="Manual Review","",IF($G1119="","",IF($D1119="Direct Expiry",$G1119,EDATE($G1119,$F1119)))),"Check Date")</f>
        <v/>
      </c>
      <c r="I1119" s="12" t="str">
        <f aca="true">IF($H1119="","",IF(ISNUMBER($H1119),$H1119-TODAY(),""))</f>
        <v/>
      </c>
      <c r="J1119" s="4" t="str">
        <f aca="true">IF($D1119="Manual Review","Manual Review",IF($G1119="","No Data",IF(NOT(ISNUMBER($H1119)),"N/A",IF($H1119&lt;TODAY(),"Overdue",IF($H1119&lt;=TODAY()+30,"Due within 1 Month",IF($H1119&lt;=TODAY()+60,"Due within 2 Months","OK"))))))</f>
        <v>No Data</v>
      </c>
      <c r="K1119" s="13"/>
    </row>
    <row r="1120" customFormat="false" ht="15" hidden="false" customHeight="false" outlineLevel="0" collapsed="false">
      <c r="A1120" s="9" t="str">
        <f aca="false">Vessels!B14</f>
        <v>Vessel 10</v>
      </c>
      <c r="B1120" s="9" t="s">
        <v>136</v>
      </c>
      <c r="C1120" s="7" t="s">
        <v>153</v>
      </c>
      <c r="D1120" s="9" t="s">
        <v>45</v>
      </c>
      <c r="E1120" s="9" t="s">
        <v>44</v>
      </c>
      <c r="F1120" s="5" t="n">
        <v>12</v>
      </c>
      <c r="G1120" s="10"/>
      <c r="H1120" s="11" t="str">
        <f aca="false">IFERROR(IF($D1120="Manual Review","",IF($G1120="","",IF($D1120="Direct Expiry",$G1120,EDATE($G1120,$F1120)))),"Check Date")</f>
        <v/>
      </c>
      <c r="I1120" s="12" t="str">
        <f aca="true">IF($H1120="","",IF(ISNUMBER($H1120),$H1120-TODAY(),""))</f>
        <v/>
      </c>
      <c r="J1120" s="4" t="str">
        <f aca="true">IF($D1120="Manual Review","Manual Review",IF($G1120="","No Data",IF(NOT(ISNUMBER($H1120)),"N/A",IF($H1120&lt;TODAY(),"Overdue",IF($H1120&lt;=TODAY()+30,"Due within 1 Month",IF($H1120&lt;=TODAY()+60,"Due within 2 Months","OK"))))))</f>
        <v>No Data</v>
      </c>
      <c r="K1120" s="13"/>
    </row>
    <row r="1121" customFormat="false" ht="15" hidden="false" customHeight="false" outlineLevel="0" collapsed="false">
      <c r="A1121" s="9" t="str">
        <f aca="false">Vessels!B14</f>
        <v>Vessel 10</v>
      </c>
      <c r="B1121" s="9" t="s">
        <v>136</v>
      </c>
      <c r="C1121" s="7" t="s">
        <v>154</v>
      </c>
      <c r="D1121" s="9" t="s">
        <v>45</v>
      </c>
      <c r="E1121" s="9" t="s">
        <v>44</v>
      </c>
      <c r="F1121" s="5" t="n">
        <v>12</v>
      </c>
      <c r="G1121" s="10"/>
      <c r="H1121" s="11" t="str">
        <f aca="false">IFERROR(IF($D1121="Manual Review","",IF($G1121="","",IF($D1121="Direct Expiry",$G1121,EDATE($G1121,$F1121)))),"Check Date")</f>
        <v/>
      </c>
      <c r="I1121" s="12" t="str">
        <f aca="true">IF($H1121="","",IF(ISNUMBER($H1121),$H1121-TODAY(),""))</f>
        <v/>
      </c>
      <c r="J1121" s="4" t="str">
        <f aca="true">IF($D1121="Manual Review","Manual Review",IF($G1121="","No Data",IF(NOT(ISNUMBER($H1121)),"N/A",IF($H1121&lt;TODAY(),"Overdue",IF($H1121&lt;=TODAY()+30,"Due within 1 Month",IF($H1121&lt;=TODAY()+60,"Due within 2 Months","OK"))))))</f>
        <v>No Data</v>
      </c>
      <c r="K1121" s="13"/>
    </row>
    <row r="1122" customFormat="false" ht="15" hidden="false" customHeight="false" outlineLevel="0" collapsed="false">
      <c r="A1122" s="9" t="str">
        <f aca="false">Vessels!B14</f>
        <v>Vessel 10</v>
      </c>
      <c r="B1122" s="9" t="s">
        <v>136</v>
      </c>
      <c r="C1122" s="7" t="s">
        <v>155</v>
      </c>
      <c r="D1122" s="9" t="s">
        <v>45</v>
      </c>
      <c r="E1122" s="9" t="s">
        <v>44</v>
      </c>
      <c r="F1122" s="5" t="n">
        <v>12</v>
      </c>
      <c r="G1122" s="10"/>
      <c r="H1122" s="11" t="str">
        <f aca="false">IFERROR(IF($D1122="Manual Review","",IF($G1122="","",IF($D1122="Direct Expiry",$G1122,EDATE($G1122,$F1122)))),"Check Date")</f>
        <v/>
      </c>
      <c r="I1122" s="12" t="str">
        <f aca="true">IF($H1122="","",IF(ISNUMBER($H1122),$H1122-TODAY(),""))</f>
        <v/>
      </c>
      <c r="J1122" s="4" t="str">
        <f aca="true">IF($D1122="Manual Review","Manual Review",IF($G1122="","No Data",IF(NOT(ISNUMBER($H1122)),"N/A",IF($H1122&lt;TODAY(),"Overdue",IF($H1122&lt;=TODAY()+30,"Due within 1 Month",IF($H1122&lt;=TODAY()+60,"Due within 2 Months","OK"))))))</f>
        <v>No Data</v>
      </c>
      <c r="K1122" s="13"/>
    </row>
    <row r="1123" customFormat="false" ht="15" hidden="false" customHeight="false" outlineLevel="0" collapsed="false">
      <c r="A1123" s="9" t="str">
        <f aca="false">Vessels!B14</f>
        <v>Vessel 10</v>
      </c>
      <c r="B1123" s="9" t="s">
        <v>136</v>
      </c>
      <c r="C1123" s="7" t="s">
        <v>156</v>
      </c>
      <c r="D1123" s="9" t="s">
        <v>45</v>
      </c>
      <c r="E1123" s="9" t="s">
        <v>44</v>
      </c>
      <c r="F1123" s="5" t="n">
        <v>12</v>
      </c>
      <c r="G1123" s="10"/>
      <c r="H1123" s="11" t="str">
        <f aca="false">IFERROR(IF($D1123="Manual Review","",IF($G1123="","",IF($D1123="Direct Expiry",$G1123,EDATE($G1123,$F1123)))),"Check Date")</f>
        <v/>
      </c>
      <c r="I1123" s="12" t="str">
        <f aca="true">IF($H1123="","",IF(ISNUMBER($H1123),$H1123-TODAY(),""))</f>
        <v/>
      </c>
      <c r="J1123" s="4" t="str">
        <f aca="true">IF($D1123="Manual Review","Manual Review",IF($G1123="","No Data",IF(NOT(ISNUMBER($H1123)),"N/A",IF($H1123&lt;TODAY(),"Overdue",IF($H1123&lt;=TODAY()+30,"Due within 1 Month",IF($H1123&lt;=TODAY()+60,"Due within 2 Months","OK"))))))</f>
        <v>No Data</v>
      </c>
      <c r="K1123" s="13"/>
    </row>
    <row r="1124" customFormat="false" ht="15" hidden="false" customHeight="false" outlineLevel="0" collapsed="false">
      <c r="A1124" s="9" t="str">
        <f aca="false">Vessels!B14</f>
        <v>Vessel 10</v>
      </c>
      <c r="B1124" s="9" t="s">
        <v>136</v>
      </c>
      <c r="C1124" s="7" t="s">
        <v>157</v>
      </c>
      <c r="D1124" s="9" t="s">
        <v>45</v>
      </c>
      <c r="E1124" s="9" t="s">
        <v>44</v>
      </c>
      <c r="F1124" s="5" t="n">
        <v>12</v>
      </c>
      <c r="G1124" s="10"/>
      <c r="H1124" s="11" t="str">
        <f aca="false">IFERROR(IF($D1124="Manual Review","",IF($G1124="","",IF($D1124="Direct Expiry",$G1124,EDATE($G1124,$F1124)))),"Check Date")</f>
        <v/>
      </c>
      <c r="I1124" s="12" t="str">
        <f aca="true">IF($H1124="","",IF(ISNUMBER($H1124),$H1124-TODAY(),""))</f>
        <v/>
      </c>
      <c r="J1124" s="4" t="str">
        <f aca="true">IF($D1124="Manual Review","Manual Review",IF($G1124="","No Data",IF(NOT(ISNUMBER($H1124)),"N/A",IF($H1124&lt;TODAY(),"Overdue",IF($H1124&lt;=TODAY()+30,"Due within 1 Month",IF($H1124&lt;=TODAY()+60,"Due within 2 Months","OK"))))))</f>
        <v>No Data</v>
      </c>
      <c r="K1124" s="13"/>
    </row>
    <row r="1125" customFormat="false" ht="15" hidden="false" customHeight="false" outlineLevel="0" collapsed="false">
      <c r="A1125" s="9" t="str">
        <f aca="false">Vessels!B15</f>
        <v>Vessel 11</v>
      </c>
      <c r="B1125" s="9" t="s">
        <v>42</v>
      </c>
      <c r="C1125" s="7" t="s">
        <v>43</v>
      </c>
      <c r="D1125" s="9" t="s">
        <v>45</v>
      </c>
      <c r="E1125" s="9" t="s">
        <v>44</v>
      </c>
      <c r="F1125" s="5" t="n">
        <v>12</v>
      </c>
      <c r="G1125" s="10"/>
      <c r="H1125" s="11" t="str">
        <f aca="false">IFERROR(IF($D1125="Manual Review","",IF($G1125="","",IF($D1125="Direct Expiry",$G1125,EDATE($G1125,$F1125)))),"Check Date")</f>
        <v/>
      </c>
      <c r="I1125" s="12" t="str">
        <f aca="true">IF($H1125="","",IF(ISNUMBER($H1125),$H1125-TODAY(),""))</f>
        <v/>
      </c>
      <c r="J1125" s="4" t="str">
        <f aca="true">IF($D1125="Manual Review","Manual Review",IF($G1125="","No Data",IF(NOT(ISNUMBER($H1125)),"N/A",IF($H1125&lt;TODAY(),"Overdue",IF($H1125&lt;=TODAY()+30,"Due within 1 Month",IF($H1125&lt;=TODAY()+60,"Due within 2 Months","OK"))))))</f>
        <v>No Data</v>
      </c>
      <c r="K1125" s="13"/>
    </row>
    <row r="1126" customFormat="false" ht="15" hidden="false" customHeight="false" outlineLevel="0" collapsed="false">
      <c r="A1126" s="9" t="str">
        <f aca="false">Vessels!B15</f>
        <v>Vessel 11</v>
      </c>
      <c r="B1126" s="9" t="s">
        <v>42</v>
      </c>
      <c r="C1126" s="7" t="s">
        <v>43</v>
      </c>
      <c r="D1126" s="9" t="s">
        <v>45</v>
      </c>
      <c r="E1126" s="9" t="s">
        <v>46</v>
      </c>
      <c r="F1126" s="5" t="n">
        <v>60</v>
      </c>
      <c r="G1126" s="10"/>
      <c r="H1126" s="11" t="str">
        <f aca="false">IFERROR(IF($D1126="Manual Review","",IF($G1126="","",IF($D1126="Direct Expiry",$G1126,EDATE($G1126,$F1126)))),"Check Date")</f>
        <v/>
      </c>
      <c r="I1126" s="12" t="str">
        <f aca="true">IF($H1126="","",IF(ISNUMBER($H1126),$H1126-TODAY(),""))</f>
        <v/>
      </c>
      <c r="J1126" s="4" t="str">
        <f aca="true">IF($D1126="Manual Review","Manual Review",IF($G1126="","No Data",IF(NOT(ISNUMBER($H1126)),"N/A",IF($H1126&lt;TODAY(),"Overdue",IF($H1126&lt;=TODAY()+30,"Due within 1 Month",IF($H1126&lt;=TODAY()+60,"Due within 2 Months","OK"))))))</f>
        <v>No Data</v>
      </c>
      <c r="K1126" s="13"/>
    </row>
    <row r="1127" customFormat="false" ht="15" hidden="false" customHeight="false" outlineLevel="0" collapsed="false">
      <c r="A1127" s="9" t="str">
        <f aca="false">Vessels!B15</f>
        <v>Vessel 11</v>
      </c>
      <c r="B1127" s="9" t="s">
        <v>42</v>
      </c>
      <c r="C1127" s="7" t="s">
        <v>47</v>
      </c>
      <c r="D1127" s="9" t="s">
        <v>45</v>
      </c>
      <c r="E1127" s="9" t="s">
        <v>44</v>
      </c>
      <c r="F1127" s="5" t="n">
        <v>12</v>
      </c>
      <c r="G1127" s="10"/>
      <c r="H1127" s="11" t="str">
        <f aca="false">IFERROR(IF($D1127="Manual Review","",IF($G1127="","",IF($D1127="Direct Expiry",$G1127,EDATE($G1127,$F1127)))),"Check Date")</f>
        <v/>
      </c>
      <c r="I1127" s="12" t="str">
        <f aca="true">IF($H1127="","",IF(ISNUMBER($H1127),$H1127-TODAY(),""))</f>
        <v/>
      </c>
      <c r="J1127" s="4" t="str">
        <f aca="true">IF($D1127="Manual Review","Manual Review",IF($G1127="","No Data",IF(NOT(ISNUMBER($H1127)),"N/A",IF($H1127&lt;TODAY(),"Overdue",IF($H1127&lt;=TODAY()+30,"Due within 1 Month",IF($H1127&lt;=TODAY()+60,"Due within 2 Months","OK"))))))</f>
        <v>No Data</v>
      </c>
      <c r="K1127" s="13"/>
    </row>
    <row r="1128" customFormat="false" ht="15" hidden="false" customHeight="false" outlineLevel="0" collapsed="false">
      <c r="A1128" s="9" t="str">
        <f aca="false">Vessels!B15</f>
        <v>Vessel 11</v>
      </c>
      <c r="B1128" s="9" t="s">
        <v>42</v>
      </c>
      <c r="C1128" s="7" t="s">
        <v>47</v>
      </c>
      <c r="D1128" s="9" t="s">
        <v>45</v>
      </c>
      <c r="E1128" s="9" t="s">
        <v>46</v>
      </c>
      <c r="F1128" s="5" t="n">
        <v>60</v>
      </c>
      <c r="G1128" s="10"/>
      <c r="H1128" s="11" t="str">
        <f aca="false">IFERROR(IF($D1128="Manual Review","",IF($G1128="","",IF($D1128="Direct Expiry",$G1128,EDATE($G1128,$F1128)))),"Check Date")</f>
        <v/>
      </c>
      <c r="I1128" s="12" t="str">
        <f aca="true">IF($H1128="","",IF(ISNUMBER($H1128),$H1128-TODAY(),""))</f>
        <v/>
      </c>
      <c r="J1128" s="4" t="str">
        <f aca="true">IF($D1128="Manual Review","Manual Review",IF($G1128="","No Data",IF(NOT(ISNUMBER($H1128)),"N/A",IF($H1128&lt;TODAY(),"Overdue",IF($H1128&lt;=TODAY()+30,"Due within 1 Month",IF($H1128&lt;=TODAY()+60,"Due within 2 Months","OK"))))))</f>
        <v>No Data</v>
      </c>
      <c r="K1128" s="13"/>
    </row>
    <row r="1129" customFormat="false" ht="15" hidden="false" customHeight="false" outlineLevel="0" collapsed="false">
      <c r="A1129" s="9" t="str">
        <f aca="false">Vessels!B15</f>
        <v>Vessel 11</v>
      </c>
      <c r="B1129" s="9" t="s">
        <v>42</v>
      </c>
      <c r="C1129" s="7" t="s">
        <v>48</v>
      </c>
      <c r="D1129" s="9" t="s">
        <v>45</v>
      </c>
      <c r="E1129" s="9" t="s">
        <v>44</v>
      </c>
      <c r="F1129" s="5" t="n">
        <v>12</v>
      </c>
      <c r="G1129" s="10"/>
      <c r="H1129" s="11" t="str">
        <f aca="false">IFERROR(IF($D1129="Manual Review","",IF($G1129="","",IF($D1129="Direct Expiry",$G1129,EDATE($G1129,$F1129)))),"Check Date")</f>
        <v/>
      </c>
      <c r="I1129" s="12" t="str">
        <f aca="true">IF($H1129="","",IF(ISNUMBER($H1129),$H1129-TODAY(),""))</f>
        <v/>
      </c>
      <c r="J1129" s="4" t="str">
        <f aca="true">IF($D1129="Manual Review","Manual Review",IF($G1129="","No Data",IF(NOT(ISNUMBER($H1129)),"N/A",IF($H1129&lt;TODAY(),"Overdue",IF($H1129&lt;=TODAY()+30,"Due within 1 Month",IF($H1129&lt;=TODAY()+60,"Due within 2 Months","OK"))))))</f>
        <v>No Data</v>
      </c>
      <c r="K1129" s="13"/>
    </row>
    <row r="1130" customFormat="false" ht="15" hidden="false" customHeight="false" outlineLevel="0" collapsed="false">
      <c r="A1130" s="9" t="str">
        <f aca="false">Vessels!B15</f>
        <v>Vessel 11</v>
      </c>
      <c r="B1130" s="9" t="s">
        <v>42</v>
      </c>
      <c r="C1130" s="7" t="s">
        <v>48</v>
      </c>
      <c r="D1130" s="9" t="s">
        <v>45</v>
      </c>
      <c r="E1130" s="9" t="s">
        <v>49</v>
      </c>
      <c r="F1130" s="5" t="n">
        <v>60</v>
      </c>
      <c r="G1130" s="10"/>
      <c r="H1130" s="11" t="str">
        <f aca="false">IFERROR(IF($D1130="Manual Review","",IF($G1130="","",IF($D1130="Direct Expiry",$G1130,EDATE($G1130,$F1130)))),"Check Date")</f>
        <v/>
      </c>
      <c r="I1130" s="12" t="str">
        <f aca="true">IF($H1130="","",IF(ISNUMBER($H1130),$H1130-TODAY(),""))</f>
        <v/>
      </c>
      <c r="J1130" s="4" t="str">
        <f aca="true">IF($D1130="Manual Review","Manual Review",IF($G1130="","No Data",IF(NOT(ISNUMBER($H1130)),"N/A",IF($H1130&lt;TODAY(),"Overdue",IF($H1130&lt;=TODAY()+30,"Due within 1 Month",IF($H1130&lt;=TODAY()+60,"Due within 2 Months","OK"))))))</f>
        <v>No Data</v>
      </c>
      <c r="K1130" s="13"/>
    </row>
    <row r="1131" customFormat="false" ht="15" hidden="false" customHeight="false" outlineLevel="0" collapsed="false">
      <c r="A1131" s="9" t="str">
        <f aca="false">Vessels!B15</f>
        <v>Vessel 11</v>
      </c>
      <c r="B1131" s="9" t="s">
        <v>42</v>
      </c>
      <c r="C1131" s="7" t="s">
        <v>50</v>
      </c>
      <c r="D1131" s="9" t="s">
        <v>45</v>
      </c>
      <c r="E1131" s="9" t="s">
        <v>44</v>
      </c>
      <c r="F1131" s="5" t="n">
        <v>12</v>
      </c>
      <c r="G1131" s="10"/>
      <c r="H1131" s="11" t="str">
        <f aca="false">IFERROR(IF($D1131="Manual Review","",IF($G1131="","",IF($D1131="Direct Expiry",$G1131,EDATE($G1131,$F1131)))),"Check Date")</f>
        <v/>
      </c>
      <c r="I1131" s="12" t="str">
        <f aca="true">IF($H1131="","",IF(ISNUMBER($H1131),$H1131-TODAY(),""))</f>
        <v/>
      </c>
      <c r="J1131" s="4" t="str">
        <f aca="true">IF($D1131="Manual Review","Manual Review",IF($G1131="","No Data",IF(NOT(ISNUMBER($H1131)),"N/A",IF($H1131&lt;TODAY(),"Overdue",IF($H1131&lt;=TODAY()+30,"Due within 1 Month",IF($H1131&lt;=TODAY()+60,"Due within 2 Months","OK"))))))</f>
        <v>No Data</v>
      </c>
      <c r="K1131" s="13"/>
    </row>
    <row r="1132" customFormat="false" ht="15" hidden="false" customHeight="false" outlineLevel="0" collapsed="false">
      <c r="A1132" s="9" t="str">
        <f aca="false">Vessels!B15</f>
        <v>Vessel 11</v>
      </c>
      <c r="B1132" s="9" t="s">
        <v>42</v>
      </c>
      <c r="C1132" s="7" t="s">
        <v>50</v>
      </c>
      <c r="D1132" s="9" t="s">
        <v>45</v>
      </c>
      <c r="E1132" s="9" t="s">
        <v>49</v>
      </c>
      <c r="F1132" s="5" t="n">
        <v>60</v>
      </c>
      <c r="G1132" s="10"/>
      <c r="H1132" s="11" t="str">
        <f aca="false">IFERROR(IF($D1132="Manual Review","",IF($G1132="","",IF($D1132="Direct Expiry",$G1132,EDATE($G1132,$F1132)))),"Check Date")</f>
        <v/>
      </c>
      <c r="I1132" s="12" t="str">
        <f aca="true">IF($H1132="","",IF(ISNUMBER($H1132),$H1132-TODAY(),""))</f>
        <v/>
      </c>
      <c r="J1132" s="4" t="str">
        <f aca="true">IF($D1132="Manual Review","Manual Review",IF($G1132="","No Data",IF(NOT(ISNUMBER($H1132)),"N/A",IF($H1132&lt;TODAY(),"Overdue",IF($H1132&lt;=TODAY()+30,"Due within 1 Month",IF($H1132&lt;=TODAY()+60,"Due within 2 Months","OK"))))))</f>
        <v>No Data</v>
      </c>
      <c r="K1132" s="13"/>
    </row>
    <row r="1133" customFormat="false" ht="15" hidden="false" customHeight="false" outlineLevel="0" collapsed="false">
      <c r="A1133" s="9" t="str">
        <f aca="false">Vessels!B15</f>
        <v>Vessel 11</v>
      </c>
      <c r="B1133" s="9" t="s">
        <v>42</v>
      </c>
      <c r="C1133" s="7" t="s">
        <v>51</v>
      </c>
      <c r="D1133" s="9" t="s">
        <v>45</v>
      </c>
      <c r="E1133" s="9" t="s">
        <v>46</v>
      </c>
      <c r="F1133" s="5" t="n">
        <v>60</v>
      </c>
      <c r="G1133" s="10"/>
      <c r="H1133" s="11" t="str">
        <f aca="false">IFERROR(IF($D1133="Manual Review","",IF($G1133="","",IF($D1133="Direct Expiry",$G1133,EDATE($G1133,$F1133)))),"Check Date")</f>
        <v/>
      </c>
      <c r="I1133" s="12" t="str">
        <f aca="true">IF($H1133="","",IF(ISNUMBER($H1133),$H1133-TODAY(),""))</f>
        <v/>
      </c>
      <c r="J1133" s="4" t="str">
        <f aca="true">IF($D1133="Manual Review","Manual Review",IF($G1133="","No Data",IF(NOT(ISNUMBER($H1133)),"N/A",IF($H1133&lt;TODAY(),"Overdue",IF($H1133&lt;=TODAY()+30,"Due within 1 Month",IF($H1133&lt;=TODAY()+60,"Due within 2 Months","OK"))))))</f>
        <v>No Data</v>
      </c>
      <c r="K1133" s="13"/>
    </row>
    <row r="1134" customFormat="false" ht="15" hidden="false" customHeight="false" outlineLevel="0" collapsed="false">
      <c r="A1134" s="9" t="str">
        <f aca="false">Vessels!B15</f>
        <v>Vessel 11</v>
      </c>
      <c r="B1134" s="9" t="s">
        <v>42</v>
      </c>
      <c r="C1134" s="7" t="s">
        <v>52</v>
      </c>
      <c r="D1134" s="9" t="s">
        <v>45</v>
      </c>
      <c r="E1134" s="9" t="s">
        <v>46</v>
      </c>
      <c r="F1134" s="5" t="n">
        <v>60</v>
      </c>
      <c r="G1134" s="10"/>
      <c r="H1134" s="11" t="str">
        <f aca="false">IFERROR(IF($D1134="Manual Review","",IF($G1134="","",IF($D1134="Direct Expiry",$G1134,EDATE($G1134,$F1134)))),"Check Date")</f>
        <v/>
      </c>
      <c r="I1134" s="12" t="str">
        <f aca="true">IF($H1134="","",IF(ISNUMBER($H1134),$H1134-TODAY(),""))</f>
        <v/>
      </c>
      <c r="J1134" s="4" t="str">
        <f aca="true">IF($D1134="Manual Review","Manual Review",IF($G1134="","No Data",IF(NOT(ISNUMBER($H1134)),"N/A",IF($H1134&lt;TODAY(),"Overdue",IF($H1134&lt;=TODAY()+30,"Due within 1 Month",IF($H1134&lt;=TODAY()+60,"Due within 2 Months","OK"))))))</f>
        <v>No Data</v>
      </c>
      <c r="K1134" s="13"/>
    </row>
    <row r="1135" customFormat="false" ht="15" hidden="false" customHeight="false" outlineLevel="0" collapsed="false">
      <c r="A1135" s="9" t="str">
        <f aca="false">Vessels!B15</f>
        <v>Vessel 11</v>
      </c>
      <c r="B1135" s="9" t="s">
        <v>42</v>
      </c>
      <c r="C1135" s="7" t="s">
        <v>53</v>
      </c>
      <c r="D1135" s="9" t="s">
        <v>45</v>
      </c>
      <c r="E1135" s="9" t="s">
        <v>46</v>
      </c>
      <c r="F1135" s="5" t="n">
        <v>60</v>
      </c>
      <c r="G1135" s="10"/>
      <c r="H1135" s="11" t="str">
        <f aca="false">IFERROR(IF($D1135="Manual Review","",IF($G1135="","",IF($D1135="Direct Expiry",$G1135,EDATE($G1135,$F1135)))),"Check Date")</f>
        <v/>
      </c>
      <c r="I1135" s="12" t="str">
        <f aca="true">IF($H1135="","",IF(ISNUMBER($H1135),$H1135-TODAY(),""))</f>
        <v/>
      </c>
      <c r="J1135" s="4" t="str">
        <f aca="true">IF($D1135="Manual Review","Manual Review",IF($G1135="","No Data",IF(NOT(ISNUMBER($H1135)),"N/A",IF($H1135&lt;TODAY(),"Overdue",IF($H1135&lt;=TODAY()+30,"Due within 1 Month",IF($H1135&lt;=TODAY()+60,"Due within 2 Months","OK"))))))</f>
        <v>No Data</v>
      </c>
      <c r="K1135" s="13"/>
    </row>
    <row r="1136" customFormat="false" ht="15" hidden="false" customHeight="false" outlineLevel="0" collapsed="false">
      <c r="A1136" s="9" t="str">
        <f aca="false">Vessels!B15</f>
        <v>Vessel 11</v>
      </c>
      <c r="B1136" s="9" t="s">
        <v>42</v>
      </c>
      <c r="C1136" s="7" t="s">
        <v>54</v>
      </c>
      <c r="D1136" s="9" t="s">
        <v>45</v>
      </c>
      <c r="E1136" s="9" t="s">
        <v>46</v>
      </c>
      <c r="F1136" s="5" t="n">
        <v>60</v>
      </c>
      <c r="G1136" s="10"/>
      <c r="H1136" s="11" t="str">
        <f aca="false">IFERROR(IF($D1136="Manual Review","",IF($G1136="","",IF($D1136="Direct Expiry",$G1136,EDATE($G1136,$F1136)))),"Check Date")</f>
        <v/>
      </c>
      <c r="I1136" s="12" t="str">
        <f aca="true">IF($H1136="","",IF(ISNUMBER($H1136),$H1136-TODAY(),""))</f>
        <v/>
      </c>
      <c r="J1136" s="4" t="str">
        <f aca="true">IF($D1136="Manual Review","Manual Review",IF($G1136="","No Data",IF(NOT(ISNUMBER($H1136)),"N/A",IF($H1136&lt;TODAY(),"Overdue",IF($H1136&lt;=TODAY()+30,"Due within 1 Month",IF($H1136&lt;=TODAY()+60,"Due within 2 Months","OK"))))))</f>
        <v>No Data</v>
      </c>
      <c r="K1136" s="13"/>
    </row>
    <row r="1137" customFormat="false" ht="15" hidden="false" customHeight="false" outlineLevel="0" collapsed="false">
      <c r="A1137" s="9" t="str">
        <f aca="false">Vessels!B15</f>
        <v>Vessel 11</v>
      </c>
      <c r="B1137" s="9" t="s">
        <v>42</v>
      </c>
      <c r="C1137" s="7" t="s">
        <v>55</v>
      </c>
      <c r="D1137" s="9" t="s">
        <v>45</v>
      </c>
      <c r="E1137" s="9" t="s">
        <v>46</v>
      </c>
      <c r="F1137" s="5" t="n">
        <v>60</v>
      </c>
      <c r="G1137" s="10"/>
      <c r="H1137" s="11" t="str">
        <f aca="false">IFERROR(IF($D1137="Manual Review","",IF($G1137="","",IF($D1137="Direct Expiry",$G1137,EDATE($G1137,$F1137)))),"Check Date")</f>
        <v/>
      </c>
      <c r="I1137" s="12" t="str">
        <f aca="true">IF($H1137="","",IF(ISNUMBER($H1137),$H1137-TODAY(),""))</f>
        <v/>
      </c>
      <c r="J1137" s="4" t="str">
        <f aca="true">IF($D1137="Manual Review","Manual Review",IF($G1137="","No Data",IF(NOT(ISNUMBER($H1137)),"N/A",IF($H1137&lt;TODAY(),"Overdue",IF($H1137&lt;=TODAY()+30,"Due within 1 Month",IF($H1137&lt;=TODAY()+60,"Due within 2 Months","OK"))))))</f>
        <v>No Data</v>
      </c>
      <c r="K1137" s="13"/>
    </row>
    <row r="1138" customFormat="false" ht="15" hidden="false" customHeight="false" outlineLevel="0" collapsed="false">
      <c r="A1138" s="9" t="str">
        <f aca="false">Vessels!B15</f>
        <v>Vessel 11</v>
      </c>
      <c r="B1138" s="9" t="s">
        <v>42</v>
      </c>
      <c r="C1138" s="7" t="s">
        <v>56</v>
      </c>
      <c r="D1138" s="9" t="s">
        <v>45</v>
      </c>
      <c r="E1138" s="9" t="s">
        <v>46</v>
      </c>
      <c r="F1138" s="5" t="n">
        <v>60</v>
      </c>
      <c r="G1138" s="10"/>
      <c r="H1138" s="11" t="str">
        <f aca="false">IFERROR(IF($D1138="Manual Review","",IF($G1138="","",IF($D1138="Direct Expiry",$G1138,EDATE($G1138,$F1138)))),"Check Date")</f>
        <v/>
      </c>
      <c r="I1138" s="12" t="str">
        <f aca="true">IF($H1138="","",IF(ISNUMBER($H1138),$H1138-TODAY(),""))</f>
        <v/>
      </c>
      <c r="J1138" s="4" t="str">
        <f aca="true">IF($D1138="Manual Review","Manual Review",IF($G1138="","No Data",IF(NOT(ISNUMBER($H1138)),"N/A",IF($H1138&lt;TODAY(),"Overdue",IF($H1138&lt;=TODAY()+30,"Due within 1 Month",IF($H1138&lt;=TODAY()+60,"Due within 2 Months","OK"))))))</f>
        <v>No Data</v>
      </c>
      <c r="K1138" s="13"/>
    </row>
    <row r="1139" customFormat="false" ht="15" hidden="false" customHeight="false" outlineLevel="0" collapsed="false">
      <c r="A1139" s="9" t="str">
        <f aca="false">Vessels!B15</f>
        <v>Vessel 11</v>
      </c>
      <c r="B1139" s="9" t="s">
        <v>42</v>
      </c>
      <c r="C1139" s="7" t="s">
        <v>57</v>
      </c>
      <c r="D1139" s="9" t="s">
        <v>59</v>
      </c>
      <c r="E1139" s="9" t="s">
        <v>58</v>
      </c>
      <c r="F1139" s="5"/>
      <c r="G1139" s="10"/>
      <c r="H1139" s="11" t="str">
        <f aca="false">IFERROR(IF($D1139="Manual Review","",IF($G1139="","",IF($D1139="Direct Expiry",$G1139,EDATE($G1139,$F1139)))),"Check Date")</f>
        <v/>
      </c>
      <c r="I1139" s="12" t="str">
        <f aca="true">IF($H1139="","",IF(ISNUMBER($H1139),$H1139-TODAY(),""))</f>
        <v/>
      </c>
      <c r="J1139" s="4" t="str">
        <f aca="true">IF($D1139="Manual Review","Manual Review",IF($G1139="","No Data",IF(NOT(ISNUMBER($H1139)),"N/A",IF($H1139&lt;TODAY(),"Overdue",IF($H1139&lt;=TODAY()+30,"Due within 1 Month",IF($H1139&lt;=TODAY()+60,"Due within 2 Months","OK"))))))</f>
        <v>No Data</v>
      </c>
      <c r="K1139" s="13"/>
    </row>
    <row r="1140" customFormat="false" ht="15" hidden="false" customHeight="false" outlineLevel="0" collapsed="false">
      <c r="A1140" s="9" t="str">
        <f aca="false">Vessels!B15</f>
        <v>Vessel 11</v>
      </c>
      <c r="B1140" s="9" t="s">
        <v>42</v>
      </c>
      <c r="C1140" s="7" t="s">
        <v>60</v>
      </c>
      <c r="D1140" s="9" t="s">
        <v>45</v>
      </c>
      <c r="E1140" s="9" t="s">
        <v>44</v>
      </c>
      <c r="F1140" s="5" t="n">
        <v>12</v>
      </c>
      <c r="G1140" s="10"/>
      <c r="H1140" s="11" t="str">
        <f aca="false">IFERROR(IF($D1140="Manual Review","",IF($G1140="","",IF($D1140="Direct Expiry",$G1140,EDATE($G1140,$F1140)))),"Check Date")</f>
        <v/>
      </c>
      <c r="I1140" s="12" t="str">
        <f aca="true">IF($H1140="","",IF(ISNUMBER($H1140),$H1140-TODAY(),""))</f>
        <v/>
      </c>
      <c r="J1140" s="4" t="str">
        <f aca="true">IF($D1140="Manual Review","Manual Review",IF($G1140="","No Data",IF(NOT(ISNUMBER($H1140)),"N/A",IF($H1140&lt;TODAY(),"Overdue",IF($H1140&lt;=TODAY()+30,"Due within 1 Month",IF($H1140&lt;=TODAY()+60,"Due within 2 Months","OK"))))))</f>
        <v>No Data</v>
      </c>
      <c r="K1140" s="13"/>
    </row>
    <row r="1141" customFormat="false" ht="15" hidden="false" customHeight="false" outlineLevel="0" collapsed="false">
      <c r="A1141" s="9" t="str">
        <f aca="false">Vessels!B15</f>
        <v>Vessel 11</v>
      </c>
      <c r="B1141" s="9" t="s">
        <v>42</v>
      </c>
      <c r="C1141" s="7" t="s">
        <v>60</v>
      </c>
      <c r="D1141" s="9" t="s">
        <v>45</v>
      </c>
      <c r="E1141" s="9" t="s">
        <v>46</v>
      </c>
      <c r="F1141" s="5" t="n">
        <v>60</v>
      </c>
      <c r="G1141" s="10"/>
      <c r="H1141" s="11" t="str">
        <f aca="false">IFERROR(IF($D1141="Manual Review","",IF($G1141="","",IF($D1141="Direct Expiry",$G1141,EDATE($G1141,$F1141)))),"Check Date")</f>
        <v/>
      </c>
      <c r="I1141" s="12" t="str">
        <f aca="true">IF($H1141="","",IF(ISNUMBER($H1141),$H1141-TODAY(),""))</f>
        <v/>
      </c>
      <c r="J1141" s="4" t="str">
        <f aca="true">IF($D1141="Manual Review","Manual Review",IF($G1141="","No Data",IF(NOT(ISNUMBER($H1141)),"N/A",IF($H1141&lt;TODAY(),"Overdue",IF($H1141&lt;=TODAY()+30,"Due within 1 Month",IF($H1141&lt;=TODAY()+60,"Due within 2 Months","OK"))))))</f>
        <v>No Data</v>
      </c>
      <c r="K1141" s="13"/>
    </row>
    <row r="1142" customFormat="false" ht="15" hidden="false" customHeight="false" outlineLevel="0" collapsed="false">
      <c r="A1142" s="9" t="str">
        <f aca="false">Vessels!B15</f>
        <v>Vessel 11</v>
      </c>
      <c r="B1142" s="9" t="s">
        <v>42</v>
      </c>
      <c r="C1142" s="7" t="s">
        <v>61</v>
      </c>
      <c r="D1142" s="9" t="s">
        <v>45</v>
      </c>
      <c r="E1142" s="9" t="s">
        <v>44</v>
      </c>
      <c r="F1142" s="5" t="n">
        <v>12</v>
      </c>
      <c r="G1142" s="10"/>
      <c r="H1142" s="11" t="str">
        <f aca="false">IFERROR(IF($D1142="Manual Review","",IF($G1142="","",IF($D1142="Direct Expiry",$G1142,EDATE($G1142,$F1142)))),"Check Date")</f>
        <v/>
      </c>
      <c r="I1142" s="12" t="str">
        <f aca="true">IF($H1142="","",IF(ISNUMBER($H1142),$H1142-TODAY(),""))</f>
        <v/>
      </c>
      <c r="J1142" s="4" t="str">
        <f aca="true">IF($D1142="Manual Review","Manual Review",IF($G1142="","No Data",IF(NOT(ISNUMBER($H1142)),"N/A",IF($H1142&lt;TODAY(),"Overdue",IF($H1142&lt;=TODAY()+30,"Due within 1 Month",IF($H1142&lt;=TODAY()+60,"Due within 2 Months","OK"))))))</f>
        <v>No Data</v>
      </c>
      <c r="K1142" s="13"/>
    </row>
    <row r="1143" customFormat="false" ht="15" hidden="false" customHeight="false" outlineLevel="0" collapsed="false">
      <c r="A1143" s="9" t="str">
        <f aca="false">Vessels!B15</f>
        <v>Vessel 11</v>
      </c>
      <c r="B1143" s="9" t="s">
        <v>42</v>
      </c>
      <c r="C1143" s="7" t="s">
        <v>61</v>
      </c>
      <c r="D1143" s="9" t="s">
        <v>45</v>
      </c>
      <c r="E1143" s="9" t="s">
        <v>46</v>
      </c>
      <c r="F1143" s="5" t="n">
        <v>60</v>
      </c>
      <c r="G1143" s="10"/>
      <c r="H1143" s="11" t="str">
        <f aca="false">IFERROR(IF($D1143="Manual Review","",IF($G1143="","",IF($D1143="Direct Expiry",$G1143,EDATE($G1143,$F1143)))),"Check Date")</f>
        <v/>
      </c>
      <c r="I1143" s="12" t="str">
        <f aca="true">IF($H1143="","",IF(ISNUMBER($H1143),$H1143-TODAY(),""))</f>
        <v/>
      </c>
      <c r="J1143" s="4" t="str">
        <f aca="true">IF($D1143="Manual Review","Manual Review",IF($G1143="","No Data",IF(NOT(ISNUMBER($H1143)),"N/A",IF($H1143&lt;TODAY(),"Overdue",IF($H1143&lt;=TODAY()+30,"Due within 1 Month",IF($H1143&lt;=TODAY()+60,"Due within 2 Months","OK"))))))</f>
        <v>No Data</v>
      </c>
      <c r="K1143" s="13"/>
    </row>
    <row r="1144" customFormat="false" ht="15" hidden="false" customHeight="false" outlineLevel="0" collapsed="false">
      <c r="A1144" s="9" t="str">
        <f aca="false">Vessels!B15</f>
        <v>Vessel 11</v>
      </c>
      <c r="B1144" s="9" t="s">
        <v>42</v>
      </c>
      <c r="C1144" s="7" t="s">
        <v>62</v>
      </c>
      <c r="D1144" s="9" t="s">
        <v>45</v>
      </c>
      <c r="E1144" s="9" t="s">
        <v>44</v>
      </c>
      <c r="F1144" s="5" t="n">
        <v>12</v>
      </c>
      <c r="G1144" s="10"/>
      <c r="H1144" s="11" t="str">
        <f aca="false">IFERROR(IF($D1144="Manual Review","",IF($G1144="","",IF($D1144="Direct Expiry",$G1144,EDATE($G1144,$F1144)))),"Check Date")</f>
        <v/>
      </c>
      <c r="I1144" s="12" t="str">
        <f aca="true">IF($H1144="","",IF(ISNUMBER($H1144),$H1144-TODAY(),""))</f>
        <v/>
      </c>
      <c r="J1144" s="4" t="str">
        <f aca="true">IF($D1144="Manual Review","Manual Review",IF($G1144="","No Data",IF(NOT(ISNUMBER($H1144)),"N/A",IF($H1144&lt;TODAY(),"Overdue",IF($H1144&lt;=TODAY()+30,"Due within 1 Month",IF($H1144&lt;=TODAY()+60,"Due within 2 Months","OK"))))))</f>
        <v>No Data</v>
      </c>
      <c r="K1144" s="13"/>
    </row>
    <row r="1145" customFormat="false" ht="15" hidden="false" customHeight="false" outlineLevel="0" collapsed="false">
      <c r="A1145" s="9" t="str">
        <f aca="false">Vessels!B15</f>
        <v>Vessel 11</v>
      </c>
      <c r="B1145" s="9" t="s">
        <v>42</v>
      </c>
      <c r="C1145" s="7" t="s">
        <v>62</v>
      </c>
      <c r="D1145" s="9" t="s">
        <v>45</v>
      </c>
      <c r="E1145" s="9" t="s">
        <v>49</v>
      </c>
      <c r="F1145" s="5" t="n">
        <v>60</v>
      </c>
      <c r="G1145" s="10"/>
      <c r="H1145" s="11" t="str">
        <f aca="false">IFERROR(IF($D1145="Manual Review","",IF($G1145="","",IF($D1145="Direct Expiry",$G1145,EDATE($G1145,$F1145)))),"Check Date")</f>
        <v/>
      </c>
      <c r="I1145" s="12" t="str">
        <f aca="true">IF($H1145="","",IF(ISNUMBER($H1145),$H1145-TODAY(),""))</f>
        <v/>
      </c>
      <c r="J1145" s="4" t="str">
        <f aca="true">IF($D1145="Manual Review","Manual Review",IF($G1145="","No Data",IF(NOT(ISNUMBER($H1145)),"N/A",IF($H1145&lt;TODAY(),"Overdue",IF($H1145&lt;=TODAY()+30,"Due within 1 Month",IF($H1145&lt;=TODAY()+60,"Due within 2 Months","OK"))))))</f>
        <v>No Data</v>
      </c>
      <c r="K1145" s="13"/>
    </row>
    <row r="1146" customFormat="false" ht="15" hidden="false" customHeight="false" outlineLevel="0" collapsed="false">
      <c r="A1146" s="9" t="str">
        <f aca="false">Vessels!B15</f>
        <v>Vessel 11</v>
      </c>
      <c r="B1146" s="9" t="s">
        <v>42</v>
      </c>
      <c r="C1146" s="7" t="s">
        <v>63</v>
      </c>
      <c r="D1146" s="9" t="s">
        <v>45</v>
      </c>
      <c r="E1146" s="9" t="s">
        <v>44</v>
      </c>
      <c r="F1146" s="5" t="n">
        <v>12</v>
      </c>
      <c r="G1146" s="10"/>
      <c r="H1146" s="11" t="str">
        <f aca="false">IFERROR(IF($D1146="Manual Review","",IF($G1146="","",IF($D1146="Direct Expiry",$G1146,EDATE($G1146,$F1146)))),"Check Date")</f>
        <v/>
      </c>
      <c r="I1146" s="12" t="str">
        <f aca="true">IF($H1146="","",IF(ISNUMBER($H1146),$H1146-TODAY(),""))</f>
        <v/>
      </c>
      <c r="J1146" s="4" t="str">
        <f aca="true">IF($D1146="Manual Review","Manual Review",IF($G1146="","No Data",IF(NOT(ISNUMBER($H1146)),"N/A",IF($H1146&lt;TODAY(),"Overdue",IF($H1146&lt;=TODAY()+30,"Due within 1 Month",IF($H1146&lt;=TODAY()+60,"Due within 2 Months","OK"))))))</f>
        <v>No Data</v>
      </c>
      <c r="K1146" s="13"/>
    </row>
    <row r="1147" customFormat="false" ht="15" hidden="false" customHeight="false" outlineLevel="0" collapsed="false">
      <c r="A1147" s="9" t="str">
        <f aca="false">Vessels!B15</f>
        <v>Vessel 11</v>
      </c>
      <c r="B1147" s="9" t="s">
        <v>42</v>
      </c>
      <c r="C1147" s="7" t="s">
        <v>63</v>
      </c>
      <c r="D1147" s="9" t="s">
        <v>45</v>
      </c>
      <c r="E1147" s="9" t="s">
        <v>49</v>
      </c>
      <c r="F1147" s="5" t="n">
        <v>60</v>
      </c>
      <c r="G1147" s="10"/>
      <c r="H1147" s="11" t="str">
        <f aca="false">IFERROR(IF($D1147="Manual Review","",IF($G1147="","",IF($D1147="Direct Expiry",$G1147,EDATE($G1147,$F1147)))),"Check Date")</f>
        <v/>
      </c>
      <c r="I1147" s="12" t="str">
        <f aca="true">IF($H1147="","",IF(ISNUMBER($H1147),$H1147-TODAY(),""))</f>
        <v/>
      </c>
      <c r="J1147" s="4" t="str">
        <f aca="true">IF($D1147="Manual Review","Manual Review",IF($G1147="","No Data",IF(NOT(ISNUMBER($H1147)),"N/A",IF($H1147&lt;TODAY(),"Overdue",IF($H1147&lt;=TODAY()+30,"Due within 1 Month",IF($H1147&lt;=TODAY()+60,"Due within 2 Months","OK"))))))</f>
        <v>No Data</v>
      </c>
      <c r="K1147" s="13"/>
    </row>
    <row r="1148" customFormat="false" ht="15" hidden="false" customHeight="false" outlineLevel="0" collapsed="false">
      <c r="A1148" s="9" t="str">
        <f aca="false">Vessels!B15</f>
        <v>Vessel 11</v>
      </c>
      <c r="B1148" s="9" t="s">
        <v>42</v>
      </c>
      <c r="C1148" s="7" t="s">
        <v>64</v>
      </c>
      <c r="D1148" s="9" t="s">
        <v>45</v>
      </c>
      <c r="E1148" s="9" t="s">
        <v>46</v>
      </c>
      <c r="F1148" s="5" t="n">
        <v>60</v>
      </c>
      <c r="G1148" s="10"/>
      <c r="H1148" s="11" t="str">
        <f aca="false">IFERROR(IF($D1148="Manual Review","",IF($G1148="","",IF($D1148="Direct Expiry",$G1148,EDATE($G1148,$F1148)))),"Check Date")</f>
        <v/>
      </c>
      <c r="I1148" s="12" t="str">
        <f aca="true">IF($H1148="","",IF(ISNUMBER($H1148),$H1148-TODAY(),""))</f>
        <v/>
      </c>
      <c r="J1148" s="4" t="str">
        <f aca="true">IF($D1148="Manual Review","Manual Review",IF($G1148="","No Data",IF(NOT(ISNUMBER($H1148)),"N/A",IF($H1148&lt;TODAY(),"Overdue",IF($H1148&lt;=TODAY()+30,"Due within 1 Month",IF($H1148&lt;=TODAY()+60,"Due within 2 Months","OK"))))))</f>
        <v>No Data</v>
      </c>
      <c r="K1148" s="13"/>
    </row>
    <row r="1149" customFormat="false" ht="15" hidden="false" customHeight="false" outlineLevel="0" collapsed="false">
      <c r="A1149" s="9" t="str">
        <f aca="false">Vessels!B15</f>
        <v>Vessel 11</v>
      </c>
      <c r="B1149" s="9" t="s">
        <v>42</v>
      </c>
      <c r="C1149" s="7" t="s">
        <v>65</v>
      </c>
      <c r="D1149" s="9" t="s">
        <v>45</v>
      </c>
      <c r="E1149" s="9" t="s">
        <v>46</v>
      </c>
      <c r="F1149" s="5" t="n">
        <v>60</v>
      </c>
      <c r="G1149" s="10"/>
      <c r="H1149" s="11" t="str">
        <f aca="false">IFERROR(IF($D1149="Manual Review","",IF($G1149="","",IF($D1149="Direct Expiry",$G1149,EDATE($G1149,$F1149)))),"Check Date")</f>
        <v/>
      </c>
      <c r="I1149" s="12" t="str">
        <f aca="true">IF($H1149="","",IF(ISNUMBER($H1149),$H1149-TODAY(),""))</f>
        <v/>
      </c>
      <c r="J1149" s="4" t="str">
        <f aca="true">IF($D1149="Manual Review","Manual Review",IF($G1149="","No Data",IF(NOT(ISNUMBER($H1149)),"N/A",IF($H1149&lt;TODAY(),"Overdue",IF($H1149&lt;=TODAY()+30,"Due within 1 Month",IF($H1149&lt;=TODAY()+60,"Due within 2 Months","OK"))))))</f>
        <v>No Data</v>
      </c>
      <c r="K1149" s="13"/>
    </row>
    <row r="1150" customFormat="false" ht="15" hidden="false" customHeight="false" outlineLevel="0" collapsed="false">
      <c r="A1150" s="9" t="str">
        <f aca="false">Vessels!B15</f>
        <v>Vessel 11</v>
      </c>
      <c r="B1150" s="9" t="s">
        <v>42</v>
      </c>
      <c r="C1150" s="7" t="s">
        <v>66</v>
      </c>
      <c r="D1150" s="9" t="s">
        <v>45</v>
      </c>
      <c r="E1150" s="9" t="s">
        <v>46</v>
      </c>
      <c r="F1150" s="5" t="n">
        <v>60</v>
      </c>
      <c r="G1150" s="10"/>
      <c r="H1150" s="11" t="str">
        <f aca="false">IFERROR(IF($D1150="Manual Review","",IF($G1150="","",IF($D1150="Direct Expiry",$G1150,EDATE($G1150,$F1150)))),"Check Date")</f>
        <v/>
      </c>
      <c r="I1150" s="12" t="str">
        <f aca="true">IF($H1150="","",IF(ISNUMBER($H1150),$H1150-TODAY(),""))</f>
        <v/>
      </c>
      <c r="J1150" s="4" t="str">
        <f aca="true">IF($D1150="Manual Review","Manual Review",IF($G1150="","No Data",IF(NOT(ISNUMBER($H1150)),"N/A",IF($H1150&lt;TODAY(),"Overdue",IF($H1150&lt;=TODAY()+30,"Due within 1 Month",IF($H1150&lt;=TODAY()+60,"Due within 2 Months","OK"))))))</f>
        <v>No Data</v>
      </c>
      <c r="K1150" s="13"/>
    </row>
    <row r="1151" customFormat="false" ht="15" hidden="false" customHeight="false" outlineLevel="0" collapsed="false">
      <c r="A1151" s="9" t="str">
        <f aca="false">Vessels!B15</f>
        <v>Vessel 11</v>
      </c>
      <c r="B1151" s="9" t="s">
        <v>42</v>
      </c>
      <c r="C1151" s="7" t="s">
        <v>67</v>
      </c>
      <c r="D1151" s="9" t="s">
        <v>45</v>
      </c>
      <c r="E1151" s="9" t="s">
        <v>46</v>
      </c>
      <c r="F1151" s="5" t="n">
        <v>60</v>
      </c>
      <c r="G1151" s="10"/>
      <c r="H1151" s="11" t="str">
        <f aca="false">IFERROR(IF($D1151="Manual Review","",IF($G1151="","",IF($D1151="Direct Expiry",$G1151,EDATE($G1151,$F1151)))),"Check Date")</f>
        <v/>
      </c>
      <c r="I1151" s="12" t="str">
        <f aca="true">IF($H1151="","",IF(ISNUMBER($H1151),$H1151-TODAY(),""))</f>
        <v/>
      </c>
      <c r="J1151" s="4" t="str">
        <f aca="true">IF($D1151="Manual Review","Manual Review",IF($G1151="","No Data",IF(NOT(ISNUMBER($H1151)),"N/A",IF($H1151&lt;TODAY(),"Overdue",IF($H1151&lt;=TODAY()+30,"Due within 1 Month",IF($H1151&lt;=TODAY()+60,"Due within 2 Months","OK"))))))</f>
        <v>No Data</v>
      </c>
      <c r="K1151" s="13"/>
    </row>
    <row r="1152" customFormat="false" ht="15" hidden="false" customHeight="false" outlineLevel="0" collapsed="false">
      <c r="A1152" s="9" t="str">
        <f aca="false">Vessels!B15</f>
        <v>Vessel 11</v>
      </c>
      <c r="B1152" s="9" t="s">
        <v>42</v>
      </c>
      <c r="C1152" s="7" t="s">
        <v>68</v>
      </c>
      <c r="D1152" s="9" t="s">
        <v>45</v>
      </c>
      <c r="E1152" s="9" t="s">
        <v>46</v>
      </c>
      <c r="F1152" s="5" t="n">
        <v>60</v>
      </c>
      <c r="G1152" s="10"/>
      <c r="H1152" s="11" t="str">
        <f aca="false">IFERROR(IF($D1152="Manual Review","",IF($G1152="","",IF($D1152="Direct Expiry",$G1152,EDATE($G1152,$F1152)))),"Check Date")</f>
        <v/>
      </c>
      <c r="I1152" s="12" t="str">
        <f aca="true">IF($H1152="","",IF(ISNUMBER($H1152),$H1152-TODAY(),""))</f>
        <v/>
      </c>
      <c r="J1152" s="4" t="str">
        <f aca="true">IF($D1152="Manual Review","Manual Review",IF($G1152="","No Data",IF(NOT(ISNUMBER($H1152)),"N/A",IF($H1152&lt;TODAY(),"Overdue",IF($H1152&lt;=TODAY()+30,"Due within 1 Month",IF($H1152&lt;=TODAY()+60,"Due within 2 Months","OK"))))))</f>
        <v>No Data</v>
      </c>
      <c r="K1152" s="13"/>
    </row>
    <row r="1153" customFormat="false" ht="15" hidden="false" customHeight="false" outlineLevel="0" collapsed="false">
      <c r="A1153" s="9" t="str">
        <f aca="false">Vessels!B15</f>
        <v>Vessel 11</v>
      </c>
      <c r="B1153" s="9" t="s">
        <v>42</v>
      </c>
      <c r="C1153" s="7" t="s">
        <v>69</v>
      </c>
      <c r="D1153" s="9" t="s">
        <v>45</v>
      </c>
      <c r="E1153" s="9" t="s">
        <v>46</v>
      </c>
      <c r="F1153" s="5" t="n">
        <v>60</v>
      </c>
      <c r="G1153" s="10"/>
      <c r="H1153" s="11" t="str">
        <f aca="false">IFERROR(IF($D1153="Manual Review","",IF($G1153="","",IF($D1153="Direct Expiry",$G1153,EDATE($G1153,$F1153)))),"Check Date")</f>
        <v/>
      </c>
      <c r="I1153" s="12" t="str">
        <f aca="true">IF($H1153="","",IF(ISNUMBER($H1153),$H1153-TODAY(),""))</f>
        <v/>
      </c>
      <c r="J1153" s="4" t="str">
        <f aca="true">IF($D1153="Manual Review","Manual Review",IF($G1153="","No Data",IF(NOT(ISNUMBER($H1153)),"N/A",IF($H1153&lt;TODAY(),"Overdue",IF($H1153&lt;=TODAY()+30,"Due within 1 Month",IF($H1153&lt;=TODAY()+60,"Due within 2 Months","OK"))))))</f>
        <v>No Data</v>
      </c>
      <c r="K1153" s="13"/>
    </row>
    <row r="1154" customFormat="false" ht="15" hidden="false" customHeight="false" outlineLevel="0" collapsed="false">
      <c r="A1154" s="9" t="str">
        <f aca="false">Vessels!B15</f>
        <v>Vessel 11</v>
      </c>
      <c r="B1154" s="9" t="s">
        <v>42</v>
      </c>
      <c r="C1154" s="7" t="s">
        <v>70</v>
      </c>
      <c r="D1154" s="9" t="s">
        <v>59</v>
      </c>
      <c r="E1154" s="9" t="s">
        <v>58</v>
      </c>
      <c r="F1154" s="5"/>
      <c r="G1154" s="10"/>
      <c r="H1154" s="11" t="str">
        <f aca="false">IFERROR(IF($D1154="Manual Review","",IF($G1154="","",IF($D1154="Direct Expiry",$G1154,EDATE($G1154,$F1154)))),"Check Date")</f>
        <v/>
      </c>
      <c r="I1154" s="12" t="str">
        <f aca="true">IF($H1154="","",IF(ISNUMBER($H1154),$H1154-TODAY(),""))</f>
        <v/>
      </c>
      <c r="J1154" s="4" t="str">
        <f aca="true">IF($D1154="Manual Review","Manual Review",IF($G1154="","No Data",IF(NOT(ISNUMBER($H1154)),"N/A",IF($H1154&lt;TODAY(),"Overdue",IF($H1154&lt;=TODAY()+30,"Due within 1 Month",IF($H1154&lt;=TODAY()+60,"Due within 2 Months","OK"))))))</f>
        <v>No Data</v>
      </c>
      <c r="K1154" s="13"/>
    </row>
    <row r="1155" customFormat="false" ht="15" hidden="false" customHeight="false" outlineLevel="0" collapsed="false">
      <c r="A1155" s="9" t="str">
        <f aca="false">Vessels!B15</f>
        <v>Vessel 11</v>
      </c>
      <c r="B1155" s="9" t="s">
        <v>42</v>
      </c>
      <c r="C1155" s="7" t="s">
        <v>71</v>
      </c>
      <c r="D1155" s="9" t="s">
        <v>45</v>
      </c>
      <c r="E1155" s="9" t="s">
        <v>44</v>
      </c>
      <c r="F1155" s="5" t="n">
        <v>12</v>
      </c>
      <c r="G1155" s="10"/>
      <c r="H1155" s="11" t="str">
        <f aca="false">IFERROR(IF($D1155="Manual Review","",IF($G1155="","",IF($D1155="Direct Expiry",$G1155,EDATE($G1155,$F1155)))),"Check Date")</f>
        <v/>
      </c>
      <c r="I1155" s="12" t="str">
        <f aca="true">IF($H1155="","",IF(ISNUMBER($H1155),$H1155-TODAY(),""))</f>
        <v/>
      </c>
      <c r="J1155" s="4" t="str">
        <f aca="true">IF($D1155="Manual Review","Manual Review",IF($G1155="","No Data",IF(NOT(ISNUMBER($H1155)),"N/A",IF($H1155&lt;TODAY(),"Overdue",IF($H1155&lt;=TODAY()+30,"Due within 1 Month",IF($H1155&lt;=TODAY()+60,"Due within 2 Months","OK"))))))</f>
        <v>No Data</v>
      </c>
      <c r="K1155" s="13"/>
    </row>
    <row r="1156" customFormat="false" ht="15" hidden="false" customHeight="false" outlineLevel="0" collapsed="false">
      <c r="A1156" s="9" t="str">
        <f aca="false">Vessels!B15</f>
        <v>Vessel 11</v>
      </c>
      <c r="B1156" s="9" t="s">
        <v>42</v>
      </c>
      <c r="C1156" s="7" t="s">
        <v>72</v>
      </c>
      <c r="D1156" s="9" t="s">
        <v>59</v>
      </c>
      <c r="E1156" s="9" t="s">
        <v>58</v>
      </c>
      <c r="F1156" s="5"/>
      <c r="G1156" s="10"/>
      <c r="H1156" s="11" t="str">
        <f aca="false">IFERROR(IF($D1156="Manual Review","",IF($G1156="","",IF($D1156="Direct Expiry",$G1156,EDATE($G1156,$F1156)))),"Check Date")</f>
        <v/>
      </c>
      <c r="I1156" s="12" t="str">
        <f aca="true">IF($H1156="","",IF(ISNUMBER($H1156),$H1156-TODAY(),""))</f>
        <v/>
      </c>
      <c r="J1156" s="4" t="str">
        <f aca="true">IF($D1156="Manual Review","Manual Review",IF($G1156="","No Data",IF(NOT(ISNUMBER($H1156)),"N/A",IF($H1156&lt;TODAY(),"Overdue",IF($H1156&lt;=TODAY()+30,"Due within 1 Month",IF($H1156&lt;=TODAY()+60,"Due within 2 Months","OK"))))))</f>
        <v>No Data</v>
      </c>
      <c r="K1156" s="13"/>
    </row>
    <row r="1157" customFormat="false" ht="15" hidden="false" customHeight="false" outlineLevel="0" collapsed="false">
      <c r="A1157" s="9" t="str">
        <f aca="false">Vessels!B15</f>
        <v>Vessel 11</v>
      </c>
      <c r="B1157" s="9" t="s">
        <v>42</v>
      </c>
      <c r="C1157" s="7" t="s">
        <v>73</v>
      </c>
      <c r="D1157" s="9" t="s">
        <v>45</v>
      </c>
      <c r="E1157" s="9" t="s">
        <v>44</v>
      </c>
      <c r="F1157" s="5" t="n">
        <v>12</v>
      </c>
      <c r="G1157" s="10"/>
      <c r="H1157" s="11" t="str">
        <f aca="false">IFERROR(IF($D1157="Manual Review","",IF($G1157="","",IF($D1157="Direct Expiry",$G1157,EDATE($G1157,$F1157)))),"Check Date")</f>
        <v/>
      </c>
      <c r="I1157" s="12" t="str">
        <f aca="true">IF($H1157="","",IF(ISNUMBER($H1157),$H1157-TODAY(),""))</f>
        <v/>
      </c>
      <c r="J1157" s="4" t="str">
        <f aca="true">IF($D1157="Manual Review","Manual Review",IF($G1157="","No Data",IF(NOT(ISNUMBER($H1157)),"N/A",IF($H1157&lt;TODAY(),"Overdue",IF($H1157&lt;=TODAY()+30,"Due within 1 Month",IF($H1157&lt;=TODAY()+60,"Due within 2 Months","OK"))))))</f>
        <v>No Data</v>
      </c>
      <c r="K1157" s="13"/>
    </row>
    <row r="1158" customFormat="false" ht="15" hidden="false" customHeight="false" outlineLevel="0" collapsed="false">
      <c r="A1158" s="9" t="str">
        <f aca="false">Vessels!B15</f>
        <v>Vessel 11</v>
      </c>
      <c r="B1158" s="9" t="s">
        <v>42</v>
      </c>
      <c r="C1158" s="7" t="s">
        <v>74</v>
      </c>
      <c r="D1158" s="9" t="s">
        <v>59</v>
      </c>
      <c r="E1158" s="9" t="s">
        <v>58</v>
      </c>
      <c r="F1158" s="5"/>
      <c r="G1158" s="10"/>
      <c r="H1158" s="11" t="str">
        <f aca="false">IFERROR(IF($D1158="Manual Review","",IF($G1158="","",IF($D1158="Direct Expiry",$G1158,EDATE($G1158,$F1158)))),"Check Date")</f>
        <v/>
      </c>
      <c r="I1158" s="12" t="str">
        <f aca="true">IF($H1158="","",IF(ISNUMBER($H1158),$H1158-TODAY(),""))</f>
        <v/>
      </c>
      <c r="J1158" s="4" t="str">
        <f aca="true">IF($D1158="Manual Review","Manual Review",IF($G1158="","No Data",IF(NOT(ISNUMBER($H1158)),"N/A",IF($H1158&lt;TODAY(),"Overdue",IF($H1158&lt;=TODAY()+30,"Due within 1 Month",IF($H1158&lt;=TODAY()+60,"Due within 2 Months","OK"))))))</f>
        <v>No Data</v>
      </c>
      <c r="K1158" s="13"/>
    </row>
    <row r="1159" customFormat="false" ht="15" hidden="false" customHeight="false" outlineLevel="0" collapsed="false">
      <c r="A1159" s="9" t="str">
        <f aca="false">Vessels!B15</f>
        <v>Vessel 11</v>
      </c>
      <c r="B1159" s="9" t="s">
        <v>42</v>
      </c>
      <c r="C1159" s="7" t="s">
        <v>75</v>
      </c>
      <c r="D1159" s="9" t="s">
        <v>45</v>
      </c>
      <c r="E1159" s="9" t="s">
        <v>44</v>
      </c>
      <c r="F1159" s="5" t="n">
        <v>12</v>
      </c>
      <c r="G1159" s="10"/>
      <c r="H1159" s="11" t="str">
        <f aca="false">IFERROR(IF($D1159="Manual Review","",IF($G1159="","",IF($D1159="Direct Expiry",$G1159,EDATE($G1159,$F1159)))),"Check Date")</f>
        <v/>
      </c>
      <c r="I1159" s="12" t="str">
        <f aca="true">IF($H1159="","",IF(ISNUMBER($H1159),$H1159-TODAY(),""))</f>
        <v/>
      </c>
      <c r="J1159" s="4" t="str">
        <f aca="true">IF($D1159="Manual Review","Manual Review",IF($G1159="","No Data",IF(NOT(ISNUMBER($H1159)),"N/A",IF($H1159&lt;TODAY(),"Overdue",IF($H1159&lt;=TODAY()+30,"Due within 1 Month",IF($H1159&lt;=TODAY()+60,"Due within 2 Months","OK"))))))</f>
        <v>No Data</v>
      </c>
      <c r="K1159" s="13"/>
    </row>
    <row r="1160" customFormat="false" ht="15" hidden="false" customHeight="false" outlineLevel="0" collapsed="false">
      <c r="A1160" s="9" t="str">
        <f aca="false">Vessels!B15</f>
        <v>Vessel 11</v>
      </c>
      <c r="B1160" s="9" t="s">
        <v>42</v>
      </c>
      <c r="C1160" s="7" t="s">
        <v>76</v>
      </c>
      <c r="D1160" s="9" t="s">
        <v>59</v>
      </c>
      <c r="E1160" s="9" t="s">
        <v>58</v>
      </c>
      <c r="F1160" s="5"/>
      <c r="G1160" s="10"/>
      <c r="H1160" s="11" t="str">
        <f aca="false">IFERROR(IF($D1160="Manual Review","",IF($G1160="","",IF($D1160="Direct Expiry",$G1160,EDATE($G1160,$F1160)))),"Check Date")</f>
        <v/>
      </c>
      <c r="I1160" s="12" t="str">
        <f aca="true">IF($H1160="","",IF(ISNUMBER($H1160),$H1160-TODAY(),""))</f>
        <v/>
      </c>
      <c r="J1160" s="4" t="str">
        <f aca="true">IF($D1160="Manual Review","Manual Review",IF($G1160="","No Data",IF(NOT(ISNUMBER($H1160)),"N/A",IF($H1160&lt;TODAY(),"Overdue",IF($H1160&lt;=TODAY()+30,"Due within 1 Month",IF($H1160&lt;=TODAY()+60,"Due within 2 Months","OK"))))))</f>
        <v>No Data</v>
      </c>
      <c r="K1160" s="13"/>
    </row>
    <row r="1161" customFormat="false" ht="15" hidden="false" customHeight="false" outlineLevel="0" collapsed="false">
      <c r="A1161" s="9" t="str">
        <f aca="false">Vessels!B15</f>
        <v>Vessel 11</v>
      </c>
      <c r="B1161" s="9" t="s">
        <v>42</v>
      </c>
      <c r="C1161" s="7" t="s">
        <v>77</v>
      </c>
      <c r="D1161" s="9" t="s">
        <v>59</v>
      </c>
      <c r="E1161" s="9" t="s">
        <v>58</v>
      </c>
      <c r="F1161" s="5"/>
      <c r="G1161" s="10"/>
      <c r="H1161" s="11" t="str">
        <f aca="false">IFERROR(IF($D1161="Manual Review","",IF($G1161="","",IF($D1161="Direct Expiry",$G1161,EDATE($G1161,$F1161)))),"Check Date")</f>
        <v/>
      </c>
      <c r="I1161" s="12" t="str">
        <f aca="true">IF($H1161="","",IF(ISNUMBER($H1161),$H1161-TODAY(),""))</f>
        <v/>
      </c>
      <c r="J1161" s="4" t="str">
        <f aca="true">IF($D1161="Manual Review","Manual Review",IF($G1161="","No Data",IF(NOT(ISNUMBER($H1161)),"N/A",IF($H1161&lt;TODAY(),"Overdue",IF($H1161&lt;=TODAY()+30,"Due within 1 Month",IF($H1161&lt;=TODAY()+60,"Due within 2 Months","OK"))))))</f>
        <v>No Data</v>
      </c>
      <c r="K1161" s="13"/>
    </row>
    <row r="1162" customFormat="false" ht="15" hidden="false" customHeight="false" outlineLevel="0" collapsed="false">
      <c r="A1162" s="9" t="str">
        <f aca="false">Vessels!B15</f>
        <v>Vessel 11</v>
      </c>
      <c r="B1162" s="9" t="s">
        <v>42</v>
      </c>
      <c r="C1162" s="7" t="s">
        <v>78</v>
      </c>
      <c r="D1162" s="9" t="s">
        <v>59</v>
      </c>
      <c r="E1162" s="9" t="s">
        <v>58</v>
      </c>
      <c r="F1162" s="5"/>
      <c r="G1162" s="10"/>
      <c r="H1162" s="11" t="str">
        <f aca="false">IFERROR(IF($D1162="Manual Review","",IF($G1162="","",IF($D1162="Direct Expiry",$G1162,EDATE($G1162,$F1162)))),"Check Date")</f>
        <v/>
      </c>
      <c r="I1162" s="12" t="str">
        <f aca="true">IF($H1162="","",IF(ISNUMBER($H1162),$H1162-TODAY(),""))</f>
        <v/>
      </c>
      <c r="J1162" s="4" t="str">
        <f aca="true">IF($D1162="Manual Review","Manual Review",IF($G1162="","No Data",IF(NOT(ISNUMBER($H1162)),"N/A",IF($H1162&lt;TODAY(),"Overdue",IF($H1162&lt;=TODAY()+30,"Due within 1 Month",IF($H1162&lt;=TODAY()+60,"Due within 2 Months","OK"))))))</f>
        <v>No Data</v>
      </c>
      <c r="K1162" s="13"/>
    </row>
    <row r="1163" customFormat="false" ht="15" hidden="false" customHeight="false" outlineLevel="0" collapsed="false">
      <c r="A1163" s="9" t="str">
        <f aca="false">Vessels!B15</f>
        <v>Vessel 11</v>
      </c>
      <c r="B1163" s="9" t="s">
        <v>42</v>
      </c>
      <c r="C1163" s="7" t="s">
        <v>79</v>
      </c>
      <c r="D1163" s="9" t="s">
        <v>45</v>
      </c>
      <c r="E1163" s="9" t="s">
        <v>44</v>
      </c>
      <c r="F1163" s="5" t="n">
        <v>12</v>
      </c>
      <c r="G1163" s="10"/>
      <c r="H1163" s="11" t="str">
        <f aca="false">IFERROR(IF($D1163="Manual Review","",IF($G1163="","",IF($D1163="Direct Expiry",$G1163,EDATE($G1163,$F1163)))),"Check Date")</f>
        <v/>
      </c>
      <c r="I1163" s="12" t="str">
        <f aca="true">IF($H1163="","",IF(ISNUMBER($H1163),$H1163-TODAY(),""))</f>
        <v/>
      </c>
      <c r="J1163" s="4" t="str">
        <f aca="true">IF($D1163="Manual Review","Manual Review",IF($G1163="","No Data",IF(NOT(ISNUMBER($H1163)),"N/A",IF($H1163&lt;TODAY(),"Overdue",IF($H1163&lt;=TODAY()+30,"Due within 1 Month",IF($H1163&lt;=TODAY()+60,"Due within 2 Months","OK"))))))</f>
        <v>No Data</v>
      </c>
      <c r="K1163" s="13"/>
    </row>
    <row r="1164" customFormat="false" ht="15" hidden="false" customHeight="false" outlineLevel="0" collapsed="false">
      <c r="A1164" s="9" t="str">
        <f aca="false">Vessels!B15</f>
        <v>Vessel 11</v>
      </c>
      <c r="B1164" s="9" t="s">
        <v>42</v>
      </c>
      <c r="C1164" s="7" t="s">
        <v>80</v>
      </c>
      <c r="D1164" s="9" t="s">
        <v>45</v>
      </c>
      <c r="E1164" s="9" t="s">
        <v>81</v>
      </c>
      <c r="F1164" s="5" t="n">
        <v>36</v>
      </c>
      <c r="G1164" s="10"/>
      <c r="H1164" s="11" t="str">
        <f aca="false">IFERROR(IF($D1164="Manual Review","",IF($G1164="","",IF($D1164="Direct Expiry",$G1164,EDATE($G1164,$F1164)))),"Check Date")</f>
        <v/>
      </c>
      <c r="I1164" s="12" t="str">
        <f aca="true">IF($H1164="","",IF(ISNUMBER($H1164),$H1164-TODAY(),""))</f>
        <v/>
      </c>
      <c r="J1164" s="4" t="str">
        <f aca="true">IF($D1164="Manual Review","Manual Review",IF($G1164="","No Data",IF(NOT(ISNUMBER($H1164)),"N/A",IF($H1164&lt;TODAY(),"Overdue",IF($H1164&lt;=TODAY()+30,"Due within 1 Month",IF($H1164&lt;=TODAY()+60,"Due within 2 Months","OK"))))))</f>
        <v>No Data</v>
      </c>
      <c r="K1164" s="13"/>
    </row>
    <row r="1165" customFormat="false" ht="15" hidden="false" customHeight="false" outlineLevel="0" collapsed="false">
      <c r="A1165" s="9" t="str">
        <f aca="false">Vessels!B15</f>
        <v>Vessel 11</v>
      </c>
      <c r="B1165" s="9" t="s">
        <v>42</v>
      </c>
      <c r="C1165" s="7" t="s">
        <v>80</v>
      </c>
      <c r="D1165" s="9" t="s">
        <v>45</v>
      </c>
      <c r="E1165" s="9" t="s">
        <v>82</v>
      </c>
      <c r="F1165" s="5" t="n">
        <v>24</v>
      </c>
      <c r="G1165" s="10"/>
      <c r="H1165" s="11" t="str">
        <f aca="false">IFERROR(IF($D1165="Manual Review","",IF($G1165="","",IF($D1165="Direct Expiry",$G1165,EDATE($G1165,$F1165)))),"Check Date")</f>
        <v/>
      </c>
      <c r="I1165" s="12" t="str">
        <f aca="true">IF($H1165="","",IF(ISNUMBER($H1165),$H1165-TODAY(),""))</f>
        <v/>
      </c>
      <c r="J1165" s="4" t="str">
        <f aca="true">IF($D1165="Manual Review","Manual Review",IF($G1165="","No Data",IF(NOT(ISNUMBER($H1165)),"N/A",IF($H1165&lt;TODAY(),"Overdue",IF($H1165&lt;=TODAY()+30,"Due within 1 Month",IF($H1165&lt;=TODAY()+60,"Due within 2 Months","OK"))))))</f>
        <v>No Data</v>
      </c>
      <c r="K1165" s="13"/>
    </row>
    <row r="1166" customFormat="false" ht="15" hidden="false" customHeight="false" outlineLevel="0" collapsed="false">
      <c r="A1166" s="9" t="str">
        <f aca="false">Vessels!B15</f>
        <v>Vessel 11</v>
      </c>
      <c r="B1166" s="9" t="s">
        <v>42</v>
      </c>
      <c r="C1166" s="7" t="s">
        <v>83</v>
      </c>
      <c r="D1166" s="9" t="s">
        <v>45</v>
      </c>
      <c r="E1166" s="9" t="s">
        <v>44</v>
      </c>
      <c r="F1166" s="5" t="n">
        <v>12</v>
      </c>
      <c r="G1166" s="10"/>
      <c r="H1166" s="11" t="str">
        <f aca="false">IFERROR(IF($D1166="Manual Review","",IF($G1166="","",IF($D1166="Direct Expiry",$G1166,EDATE($G1166,$F1166)))),"Check Date")</f>
        <v/>
      </c>
      <c r="I1166" s="12" t="str">
        <f aca="true">IF($H1166="","",IF(ISNUMBER($H1166),$H1166-TODAY(),""))</f>
        <v/>
      </c>
      <c r="J1166" s="4" t="str">
        <f aca="true">IF($D1166="Manual Review","Manual Review",IF($G1166="","No Data",IF(NOT(ISNUMBER($H1166)),"N/A",IF($H1166&lt;TODAY(),"Overdue",IF($H1166&lt;=TODAY()+30,"Due within 1 Month",IF($H1166&lt;=TODAY()+60,"Due within 2 Months","OK"))))))</f>
        <v>No Data</v>
      </c>
      <c r="K1166" s="13"/>
    </row>
    <row r="1167" customFormat="false" ht="15" hidden="false" customHeight="false" outlineLevel="0" collapsed="false">
      <c r="A1167" s="9" t="str">
        <f aca="false">Vessels!B15</f>
        <v>Vessel 11</v>
      </c>
      <c r="B1167" s="9" t="s">
        <v>42</v>
      </c>
      <c r="C1167" s="7" t="s">
        <v>83</v>
      </c>
      <c r="D1167" s="9" t="s">
        <v>45</v>
      </c>
      <c r="E1167" s="9" t="s">
        <v>84</v>
      </c>
      <c r="F1167" s="5" t="n">
        <v>60</v>
      </c>
      <c r="G1167" s="10"/>
      <c r="H1167" s="11" t="str">
        <f aca="false">IFERROR(IF($D1167="Manual Review","",IF($G1167="","",IF($D1167="Direct Expiry",$G1167,EDATE($G1167,$F1167)))),"Check Date")</f>
        <v/>
      </c>
      <c r="I1167" s="12" t="str">
        <f aca="true">IF($H1167="","",IF(ISNUMBER($H1167),$H1167-TODAY(),""))</f>
        <v/>
      </c>
      <c r="J1167" s="4" t="str">
        <f aca="true">IF($D1167="Manual Review","Manual Review",IF($G1167="","No Data",IF(NOT(ISNUMBER($H1167)),"N/A",IF($H1167&lt;TODAY(),"Overdue",IF($H1167&lt;=TODAY()+30,"Due within 1 Month",IF($H1167&lt;=TODAY()+60,"Due within 2 Months","OK"))))))</f>
        <v>No Data</v>
      </c>
      <c r="K1167" s="13"/>
    </row>
    <row r="1168" customFormat="false" ht="15" hidden="false" customHeight="false" outlineLevel="0" collapsed="false">
      <c r="A1168" s="9" t="str">
        <f aca="false">Vessels!B15</f>
        <v>Vessel 11</v>
      </c>
      <c r="B1168" s="9" t="s">
        <v>42</v>
      </c>
      <c r="C1168" s="7" t="s">
        <v>85</v>
      </c>
      <c r="D1168" s="9" t="s">
        <v>45</v>
      </c>
      <c r="E1168" s="9" t="s">
        <v>44</v>
      </c>
      <c r="F1168" s="5" t="n">
        <v>12</v>
      </c>
      <c r="G1168" s="10"/>
      <c r="H1168" s="11" t="str">
        <f aca="false">IFERROR(IF($D1168="Manual Review","",IF($G1168="","",IF($D1168="Direct Expiry",$G1168,EDATE($G1168,$F1168)))),"Check Date")</f>
        <v/>
      </c>
      <c r="I1168" s="12" t="str">
        <f aca="true">IF($H1168="","",IF(ISNUMBER($H1168),$H1168-TODAY(),""))</f>
        <v/>
      </c>
      <c r="J1168" s="4" t="str">
        <f aca="true">IF($D1168="Manual Review","Manual Review",IF($G1168="","No Data",IF(NOT(ISNUMBER($H1168)),"N/A",IF($H1168&lt;TODAY(),"Overdue",IF($H1168&lt;=TODAY()+30,"Due within 1 Month",IF($H1168&lt;=TODAY()+60,"Due within 2 Months","OK"))))))</f>
        <v>No Data</v>
      </c>
      <c r="K1168" s="13"/>
    </row>
    <row r="1169" customFormat="false" ht="15" hidden="false" customHeight="false" outlineLevel="0" collapsed="false">
      <c r="A1169" s="9" t="str">
        <f aca="false">Vessels!B15</f>
        <v>Vessel 11</v>
      </c>
      <c r="B1169" s="9" t="s">
        <v>42</v>
      </c>
      <c r="C1169" s="7" t="s">
        <v>85</v>
      </c>
      <c r="D1169" s="9" t="s">
        <v>45</v>
      </c>
      <c r="E1169" s="9" t="s">
        <v>84</v>
      </c>
      <c r="F1169" s="5" t="n">
        <v>60</v>
      </c>
      <c r="G1169" s="10"/>
      <c r="H1169" s="11" t="str">
        <f aca="false">IFERROR(IF($D1169="Manual Review","",IF($G1169="","",IF($D1169="Direct Expiry",$G1169,EDATE($G1169,$F1169)))),"Check Date")</f>
        <v/>
      </c>
      <c r="I1169" s="12" t="str">
        <f aca="true">IF($H1169="","",IF(ISNUMBER($H1169),$H1169-TODAY(),""))</f>
        <v/>
      </c>
      <c r="J1169" s="4" t="str">
        <f aca="true">IF($D1169="Manual Review","Manual Review",IF($G1169="","No Data",IF(NOT(ISNUMBER($H1169)),"N/A",IF($H1169&lt;TODAY(),"Overdue",IF($H1169&lt;=TODAY()+30,"Due within 1 Month",IF($H1169&lt;=TODAY()+60,"Due within 2 Months","OK"))))))</f>
        <v>No Data</v>
      </c>
      <c r="K1169" s="13"/>
    </row>
    <row r="1170" customFormat="false" ht="15" hidden="false" customHeight="false" outlineLevel="0" collapsed="false">
      <c r="A1170" s="9" t="str">
        <f aca="false">Vessels!B15</f>
        <v>Vessel 11</v>
      </c>
      <c r="B1170" s="9" t="s">
        <v>42</v>
      </c>
      <c r="C1170" s="7" t="s">
        <v>86</v>
      </c>
      <c r="D1170" s="9" t="s">
        <v>45</v>
      </c>
      <c r="E1170" s="9" t="s">
        <v>44</v>
      </c>
      <c r="F1170" s="5" t="n">
        <v>12</v>
      </c>
      <c r="G1170" s="10"/>
      <c r="H1170" s="11" t="str">
        <f aca="false">IFERROR(IF($D1170="Manual Review","",IF($G1170="","",IF($D1170="Direct Expiry",$G1170,EDATE($G1170,$F1170)))),"Check Date")</f>
        <v/>
      </c>
      <c r="I1170" s="12" t="str">
        <f aca="true">IF($H1170="","",IF(ISNUMBER($H1170),$H1170-TODAY(),""))</f>
        <v/>
      </c>
      <c r="J1170" s="4" t="str">
        <f aca="true">IF($D1170="Manual Review","Manual Review",IF($G1170="","No Data",IF(NOT(ISNUMBER($H1170)),"N/A",IF($H1170&lt;TODAY(),"Overdue",IF($H1170&lt;=TODAY()+30,"Due within 1 Month",IF($H1170&lt;=TODAY()+60,"Due within 2 Months","OK"))))))</f>
        <v>No Data</v>
      </c>
      <c r="K1170" s="13"/>
    </row>
    <row r="1171" customFormat="false" ht="15" hidden="false" customHeight="false" outlineLevel="0" collapsed="false">
      <c r="A1171" s="9" t="str">
        <f aca="false">Vessels!B15</f>
        <v>Vessel 11</v>
      </c>
      <c r="B1171" s="9" t="s">
        <v>42</v>
      </c>
      <c r="C1171" s="7" t="s">
        <v>87</v>
      </c>
      <c r="D1171" s="9" t="s">
        <v>45</v>
      </c>
      <c r="E1171" s="9" t="s">
        <v>44</v>
      </c>
      <c r="F1171" s="5" t="n">
        <v>12</v>
      </c>
      <c r="G1171" s="10"/>
      <c r="H1171" s="11" t="str">
        <f aca="false">IFERROR(IF($D1171="Manual Review","",IF($G1171="","",IF($D1171="Direct Expiry",$G1171,EDATE($G1171,$F1171)))),"Check Date")</f>
        <v/>
      </c>
      <c r="I1171" s="12" t="str">
        <f aca="true">IF($H1171="","",IF(ISNUMBER($H1171),$H1171-TODAY(),""))</f>
        <v/>
      </c>
      <c r="J1171" s="4" t="str">
        <f aca="true">IF($D1171="Manual Review","Manual Review",IF($G1171="","No Data",IF(NOT(ISNUMBER($H1171)),"N/A",IF($H1171&lt;TODAY(),"Overdue",IF($H1171&lt;=TODAY()+30,"Due within 1 Month",IF($H1171&lt;=TODAY()+60,"Due within 2 Months","OK"))))))</f>
        <v>No Data</v>
      </c>
      <c r="K1171" s="13"/>
    </row>
    <row r="1172" customFormat="false" ht="15" hidden="false" customHeight="false" outlineLevel="0" collapsed="false">
      <c r="A1172" s="9" t="str">
        <f aca="false">Vessels!B15</f>
        <v>Vessel 11</v>
      </c>
      <c r="B1172" s="9" t="s">
        <v>88</v>
      </c>
      <c r="C1172" s="7" t="s">
        <v>89</v>
      </c>
      <c r="D1172" s="9" t="s">
        <v>45</v>
      </c>
      <c r="E1172" s="9" t="s">
        <v>90</v>
      </c>
      <c r="F1172" s="5" t="n">
        <v>36</v>
      </c>
      <c r="G1172" s="10"/>
      <c r="H1172" s="11" t="str">
        <f aca="false">IFERROR(IF($D1172="Manual Review","",IF($G1172="","",IF($D1172="Direct Expiry",$G1172,EDATE($G1172,$F1172)))),"Check Date")</f>
        <v/>
      </c>
      <c r="I1172" s="12" t="str">
        <f aca="true">IF($H1172="","",IF(ISNUMBER($H1172),$H1172-TODAY(),""))</f>
        <v/>
      </c>
      <c r="J1172" s="4" t="str">
        <f aca="true">IF($D1172="Manual Review","Manual Review",IF($G1172="","No Data",IF(NOT(ISNUMBER($H1172)),"N/A",IF($H1172&lt;TODAY(),"Overdue",IF($H1172&lt;=TODAY()+30,"Due within 1 Month",IF($H1172&lt;=TODAY()+60,"Due within 2 Months","OK"))))))</f>
        <v>No Data</v>
      </c>
      <c r="K1172" s="13"/>
    </row>
    <row r="1173" customFormat="false" ht="15" hidden="false" customHeight="false" outlineLevel="0" collapsed="false">
      <c r="A1173" s="9" t="str">
        <f aca="false">Vessels!B15</f>
        <v>Vessel 11</v>
      </c>
      <c r="B1173" s="9" t="s">
        <v>88</v>
      </c>
      <c r="C1173" s="7" t="s">
        <v>91</v>
      </c>
      <c r="D1173" s="9" t="s">
        <v>45</v>
      </c>
      <c r="E1173" s="9" t="s">
        <v>44</v>
      </c>
      <c r="F1173" s="5" t="n">
        <v>12</v>
      </c>
      <c r="G1173" s="10"/>
      <c r="H1173" s="11" t="str">
        <f aca="false">IFERROR(IF($D1173="Manual Review","",IF($G1173="","",IF($D1173="Direct Expiry",$G1173,EDATE($G1173,$F1173)))),"Check Date")</f>
        <v/>
      </c>
      <c r="I1173" s="12" t="str">
        <f aca="true">IF($H1173="","",IF(ISNUMBER($H1173),$H1173-TODAY(),""))</f>
        <v/>
      </c>
      <c r="J1173" s="4" t="str">
        <f aca="true">IF($D1173="Manual Review","Manual Review",IF($G1173="","No Data",IF(NOT(ISNUMBER($H1173)),"N/A",IF($H1173&lt;TODAY(),"Overdue",IF($H1173&lt;=TODAY()+30,"Due within 1 Month",IF($H1173&lt;=TODAY()+60,"Due within 2 Months","OK"))))))</f>
        <v>No Data</v>
      </c>
      <c r="K1173" s="13"/>
    </row>
    <row r="1174" customFormat="false" ht="15" hidden="false" customHeight="false" outlineLevel="0" collapsed="false">
      <c r="A1174" s="9" t="str">
        <f aca="false">Vessels!B15</f>
        <v>Vessel 11</v>
      </c>
      <c r="B1174" s="9" t="s">
        <v>88</v>
      </c>
      <c r="C1174" s="7" t="s">
        <v>91</v>
      </c>
      <c r="D1174" s="9" t="s">
        <v>45</v>
      </c>
      <c r="E1174" s="9" t="s">
        <v>92</v>
      </c>
      <c r="F1174" s="5" t="n">
        <v>120</v>
      </c>
      <c r="G1174" s="10"/>
      <c r="H1174" s="11" t="str">
        <f aca="false">IFERROR(IF($D1174="Manual Review","",IF($G1174="","",IF($D1174="Direct Expiry",$G1174,EDATE($G1174,$F1174)))),"Check Date")</f>
        <v/>
      </c>
      <c r="I1174" s="12" t="str">
        <f aca="true">IF($H1174="","",IF(ISNUMBER($H1174),$H1174-TODAY(),""))</f>
        <v/>
      </c>
      <c r="J1174" s="4" t="str">
        <f aca="true">IF($D1174="Manual Review","Manual Review",IF($G1174="","No Data",IF(NOT(ISNUMBER($H1174)),"N/A",IF($H1174&lt;TODAY(),"Overdue",IF($H1174&lt;=TODAY()+30,"Due within 1 Month",IF($H1174&lt;=TODAY()+60,"Due within 2 Months","OK"))))))</f>
        <v>No Data</v>
      </c>
      <c r="K1174" s="13"/>
    </row>
    <row r="1175" customFormat="false" ht="15" hidden="false" customHeight="false" outlineLevel="0" collapsed="false">
      <c r="A1175" s="9" t="str">
        <f aca="false">Vessels!B15</f>
        <v>Vessel 11</v>
      </c>
      <c r="B1175" s="9" t="s">
        <v>88</v>
      </c>
      <c r="C1175" s="7" t="s">
        <v>93</v>
      </c>
      <c r="D1175" s="9" t="s">
        <v>45</v>
      </c>
      <c r="E1175" s="9" t="s">
        <v>44</v>
      </c>
      <c r="F1175" s="5" t="n">
        <v>12</v>
      </c>
      <c r="G1175" s="10"/>
      <c r="H1175" s="11" t="str">
        <f aca="false">IFERROR(IF($D1175="Manual Review","",IF($G1175="","",IF($D1175="Direct Expiry",$G1175,EDATE($G1175,$F1175)))),"Check Date")</f>
        <v/>
      </c>
      <c r="I1175" s="12" t="str">
        <f aca="true">IF($H1175="","",IF(ISNUMBER($H1175),$H1175-TODAY(),""))</f>
        <v/>
      </c>
      <c r="J1175" s="4" t="str">
        <f aca="true">IF($D1175="Manual Review","Manual Review",IF($G1175="","No Data",IF(NOT(ISNUMBER($H1175)),"N/A",IF($H1175&lt;TODAY(),"Overdue",IF($H1175&lt;=TODAY()+30,"Due within 1 Month",IF($H1175&lt;=TODAY()+60,"Due within 2 Months","OK"))))))</f>
        <v>No Data</v>
      </c>
      <c r="K1175" s="13"/>
    </row>
    <row r="1176" customFormat="false" ht="15" hidden="false" customHeight="false" outlineLevel="0" collapsed="false">
      <c r="A1176" s="9" t="str">
        <f aca="false">Vessels!B15</f>
        <v>Vessel 11</v>
      </c>
      <c r="B1176" s="9" t="s">
        <v>88</v>
      </c>
      <c r="C1176" s="7" t="s">
        <v>93</v>
      </c>
      <c r="D1176" s="9" t="s">
        <v>45</v>
      </c>
      <c r="E1176" s="9" t="s">
        <v>92</v>
      </c>
      <c r="F1176" s="5" t="n">
        <v>120</v>
      </c>
      <c r="G1176" s="10"/>
      <c r="H1176" s="11" t="str">
        <f aca="false">IFERROR(IF($D1176="Manual Review","",IF($G1176="","",IF($D1176="Direct Expiry",$G1176,EDATE($G1176,$F1176)))),"Check Date")</f>
        <v/>
      </c>
      <c r="I1176" s="12" t="str">
        <f aca="true">IF($H1176="","",IF(ISNUMBER($H1176),$H1176-TODAY(),""))</f>
        <v/>
      </c>
      <c r="J1176" s="4" t="str">
        <f aca="true">IF($D1176="Manual Review","Manual Review",IF($G1176="","No Data",IF(NOT(ISNUMBER($H1176)),"N/A",IF($H1176&lt;TODAY(),"Overdue",IF($H1176&lt;=TODAY()+30,"Due within 1 Month",IF($H1176&lt;=TODAY()+60,"Due within 2 Months","OK"))))))</f>
        <v>No Data</v>
      </c>
      <c r="K1176" s="13"/>
    </row>
    <row r="1177" customFormat="false" ht="15" hidden="false" customHeight="false" outlineLevel="0" collapsed="false">
      <c r="A1177" s="9" t="str">
        <f aca="false">Vessels!B15</f>
        <v>Vessel 11</v>
      </c>
      <c r="B1177" s="9" t="s">
        <v>88</v>
      </c>
      <c r="C1177" s="7" t="s">
        <v>94</v>
      </c>
      <c r="D1177" s="9" t="s">
        <v>45</v>
      </c>
      <c r="E1177" s="9" t="s">
        <v>44</v>
      </c>
      <c r="F1177" s="5" t="n">
        <v>12</v>
      </c>
      <c r="G1177" s="10"/>
      <c r="H1177" s="11" t="str">
        <f aca="false">IFERROR(IF($D1177="Manual Review","",IF($G1177="","",IF($D1177="Direct Expiry",$G1177,EDATE($G1177,$F1177)))),"Check Date")</f>
        <v/>
      </c>
      <c r="I1177" s="12" t="str">
        <f aca="true">IF($H1177="","",IF(ISNUMBER($H1177),$H1177-TODAY(),""))</f>
        <v/>
      </c>
      <c r="J1177" s="4" t="str">
        <f aca="true">IF($D1177="Manual Review","Manual Review",IF($G1177="","No Data",IF(NOT(ISNUMBER($H1177)),"N/A",IF($H1177&lt;TODAY(),"Overdue",IF($H1177&lt;=TODAY()+30,"Due within 1 Month",IF($H1177&lt;=TODAY()+60,"Due within 2 Months","OK"))))))</f>
        <v>No Data</v>
      </c>
      <c r="K1177" s="13"/>
    </row>
    <row r="1178" customFormat="false" ht="15" hidden="false" customHeight="false" outlineLevel="0" collapsed="false">
      <c r="A1178" s="9" t="str">
        <f aca="false">Vessels!B15</f>
        <v>Vessel 11</v>
      </c>
      <c r="B1178" s="9" t="s">
        <v>88</v>
      </c>
      <c r="C1178" s="7" t="s">
        <v>94</v>
      </c>
      <c r="D1178" s="9" t="s">
        <v>45</v>
      </c>
      <c r="E1178" s="9" t="s">
        <v>92</v>
      </c>
      <c r="F1178" s="5" t="n">
        <v>120</v>
      </c>
      <c r="G1178" s="10"/>
      <c r="H1178" s="11" t="str">
        <f aca="false">IFERROR(IF($D1178="Manual Review","",IF($G1178="","",IF($D1178="Direct Expiry",$G1178,EDATE($G1178,$F1178)))),"Check Date")</f>
        <v/>
      </c>
      <c r="I1178" s="12" t="str">
        <f aca="true">IF($H1178="","",IF(ISNUMBER($H1178),$H1178-TODAY(),""))</f>
        <v/>
      </c>
      <c r="J1178" s="4" t="str">
        <f aca="true">IF($D1178="Manual Review","Manual Review",IF($G1178="","No Data",IF(NOT(ISNUMBER($H1178)),"N/A",IF($H1178&lt;TODAY(),"Overdue",IF($H1178&lt;=TODAY()+30,"Due within 1 Month",IF($H1178&lt;=TODAY()+60,"Due within 2 Months","OK"))))))</f>
        <v>No Data</v>
      </c>
      <c r="K1178" s="13"/>
    </row>
    <row r="1179" customFormat="false" ht="15" hidden="false" customHeight="false" outlineLevel="0" collapsed="false">
      <c r="A1179" s="9" t="str">
        <f aca="false">Vessels!B15</f>
        <v>Vessel 11</v>
      </c>
      <c r="B1179" s="9" t="s">
        <v>88</v>
      </c>
      <c r="C1179" s="7" t="s">
        <v>95</v>
      </c>
      <c r="D1179" s="9" t="s">
        <v>45</v>
      </c>
      <c r="E1179" s="9" t="s">
        <v>44</v>
      </c>
      <c r="F1179" s="5" t="n">
        <v>12</v>
      </c>
      <c r="G1179" s="10"/>
      <c r="H1179" s="11" t="str">
        <f aca="false">IFERROR(IF($D1179="Manual Review","",IF($G1179="","",IF($D1179="Direct Expiry",$G1179,EDATE($G1179,$F1179)))),"Check Date")</f>
        <v/>
      </c>
      <c r="I1179" s="12" t="str">
        <f aca="true">IF($H1179="","",IF(ISNUMBER($H1179),$H1179-TODAY(),""))</f>
        <v/>
      </c>
      <c r="J1179" s="4" t="str">
        <f aca="true">IF($D1179="Manual Review","Manual Review",IF($G1179="","No Data",IF(NOT(ISNUMBER($H1179)),"N/A",IF($H1179&lt;TODAY(),"Overdue",IF($H1179&lt;=TODAY()+30,"Due within 1 Month",IF($H1179&lt;=TODAY()+60,"Due within 2 Months","OK"))))))</f>
        <v>No Data</v>
      </c>
      <c r="K1179" s="13"/>
    </row>
    <row r="1180" customFormat="false" ht="15" hidden="false" customHeight="false" outlineLevel="0" collapsed="false">
      <c r="A1180" s="9" t="str">
        <f aca="false">Vessels!B15</f>
        <v>Vessel 11</v>
      </c>
      <c r="B1180" s="9" t="s">
        <v>88</v>
      </c>
      <c r="C1180" s="7" t="s">
        <v>95</v>
      </c>
      <c r="D1180" s="9" t="s">
        <v>45</v>
      </c>
      <c r="E1180" s="9" t="s">
        <v>92</v>
      </c>
      <c r="F1180" s="5" t="n">
        <v>120</v>
      </c>
      <c r="G1180" s="10"/>
      <c r="H1180" s="11" t="str">
        <f aca="false">IFERROR(IF($D1180="Manual Review","",IF($G1180="","",IF($D1180="Direct Expiry",$G1180,EDATE($G1180,$F1180)))),"Check Date")</f>
        <v/>
      </c>
      <c r="I1180" s="12" t="str">
        <f aca="true">IF($H1180="","",IF(ISNUMBER($H1180),$H1180-TODAY(),""))</f>
        <v/>
      </c>
      <c r="J1180" s="4" t="str">
        <f aca="true">IF($D1180="Manual Review","Manual Review",IF($G1180="","No Data",IF(NOT(ISNUMBER($H1180)),"N/A",IF($H1180&lt;TODAY(),"Overdue",IF($H1180&lt;=TODAY()+30,"Due within 1 Month",IF($H1180&lt;=TODAY()+60,"Due within 2 Months","OK"))))))</f>
        <v>No Data</v>
      </c>
      <c r="K1180" s="13"/>
    </row>
    <row r="1181" customFormat="false" ht="15" hidden="false" customHeight="false" outlineLevel="0" collapsed="false">
      <c r="A1181" s="9" t="str">
        <f aca="false">Vessels!B15</f>
        <v>Vessel 11</v>
      </c>
      <c r="B1181" s="9" t="s">
        <v>88</v>
      </c>
      <c r="C1181" s="7" t="s">
        <v>96</v>
      </c>
      <c r="D1181" s="9" t="s">
        <v>45</v>
      </c>
      <c r="E1181" s="9" t="s">
        <v>44</v>
      </c>
      <c r="F1181" s="5" t="n">
        <v>12</v>
      </c>
      <c r="G1181" s="10"/>
      <c r="H1181" s="11" t="str">
        <f aca="false">IFERROR(IF($D1181="Manual Review","",IF($G1181="","",IF($D1181="Direct Expiry",$G1181,EDATE($G1181,$F1181)))),"Check Date")</f>
        <v/>
      </c>
      <c r="I1181" s="12" t="str">
        <f aca="true">IF($H1181="","",IF(ISNUMBER($H1181),$H1181-TODAY(),""))</f>
        <v/>
      </c>
      <c r="J1181" s="4" t="str">
        <f aca="true">IF($D1181="Manual Review","Manual Review",IF($G1181="","No Data",IF(NOT(ISNUMBER($H1181)),"N/A",IF($H1181&lt;TODAY(),"Overdue",IF($H1181&lt;=TODAY()+30,"Due within 1 Month",IF($H1181&lt;=TODAY()+60,"Due within 2 Months","OK"))))))</f>
        <v>No Data</v>
      </c>
      <c r="K1181" s="13"/>
    </row>
    <row r="1182" customFormat="false" ht="15" hidden="false" customHeight="false" outlineLevel="0" collapsed="false">
      <c r="A1182" s="9" t="str">
        <f aca="false">Vessels!B15</f>
        <v>Vessel 11</v>
      </c>
      <c r="B1182" s="9" t="s">
        <v>88</v>
      </c>
      <c r="C1182" s="7" t="s">
        <v>96</v>
      </c>
      <c r="D1182" s="9" t="s">
        <v>45</v>
      </c>
      <c r="E1182" s="9" t="s">
        <v>97</v>
      </c>
      <c r="F1182" s="5" t="n">
        <v>120</v>
      </c>
      <c r="G1182" s="10"/>
      <c r="H1182" s="11" t="str">
        <f aca="false">IFERROR(IF($D1182="Manual Review","",IF($G1182="","",IF($D1182="Direct Expiry",$G1182,EDATE($G1182,$F1182)))),"Check Date")</f>
        <v/>
      </c>
      <c r="I1182" s="12" t="str">
        <f aca="true">IF($H1182="","",IF(ISNUMBER($H1182),$H1182-TODAY(),""))</f>
        <v/>
      </c>
      <c r="J1182" s="4" t="str">
        <f aca="true">IF($D1182="Manual Review","Manual Review",IF($G1182="","No Data",IF(NOT(ISNUMBER($H1182)),"N/A",IF($H1182&lt;TODAY(),"Overdue",IF($H1182&lt;=TODAY()+30,"Due within 1 Month",IF($H1182&lt;=TODAY()+60,"Due within 2 Months","OK"))))))</f>
        <v>No Data</v>
      </c>
      <c r="K1182" s="13"/>
    </row>
    <row r="1183" customFormat="false" ht="15" hidden="false" customHeight="false" outlineLevel="0" collapsed="false">
      <c r="A1183" s="9" t="str">
        <f aca="false">Vessels!B15</f>
        <v>Vessel 11</v>
      </c>
      <c r="B1183" s="9" t="s">
        <v>88</v>
      </c>
      <c r="C1183" s="7" t="s">
        <v>98</v>
      </c>
      <c r="D1183" s="9" t="s">
        <v>45</v>
      </c>
      <c r="E1183" s="9" t="s">
        <v>44</v>
      </c>
      <c r="F1183" s="5" t="n">
        <v>12</v>
      </c>
      <c r="G1183" s="10"/>
      <c r="H1183" s="11" t="str">
        <f aca="false">IFERROR(IF($D1183="Manual Review","",IF($G1183="","",IF($D1183="Direct Expiry",$G1183,EDATE($G1183,$F1183)))),"Check Date")</f>
        <v/>
      </c>
      <c r="I1183" s="12" t="str">
        <f aca="true">IF($H1183="","",IF(ISNUMBER($H1183),$H1183-TODAY(),""))</f>
        <v/>
      </c>
      <c r="J1183" s="4" t="str">
        <f aca="true">IF($D1183="Manual Review","Manual Review",IF($G1183="","No Data",IF(NOT(ISNUMBER($H1183)),"N/A",IF($H1183&lt;TODAY(),"Overdue",IF($H1183&lt;=TODAY()+30,"Due within 1 Month",IF($H1183&lt;=TODAY()+60,"Due within 2 Months","OK"))))))</f>
        <v>No Data</v>
      </c>
      <c r="K1183" s="13"/>
    </row>
    <row r="1184" customFormat="false" ht="15" hidden="false" customHeight="false" outlineLevel="0" collapsed="false">
      <c r="A1184" s="9" t="str">
        <f aca="false">Vessels!B15</f>
        <v>Vessel 11</v>
      </c>
      <c r="B1184" s="9" t="s">
        <v>88</v>
      </c>
      <c r="C1184" s="7" t="s">
        <v>98</v>
      </c>
      <c r="D1184" s="9" t="s">
        <v>45</v>
      </c>
      <c r="E1184" s="9" t="s">
        <v>99</v>
      </c>
      <c r="F1184" s="5" t="n">
        <v>60</v>
      </c>
      <c r="G1184" s="10"/>
      <c r="H1184" s="11" t="str">
        <f aca="false">IFERROR(IF($D1184="Manual Review","",IF($G1184="","",IF($D1184="Direct Expiry",$G1184,EDATE($G1184,$F1184)))),"Check Date")</f>
        <v/>
      </c>
      <c r="I1184" s="12" t="str">
        <f aca="true">IF($H1184="","",IF(ISNUMBER($H1184),$H1184-TODAY(),""))</f>
        <v/>
      </c>
      <c r="J1184" s="4" t="str">
        <f aca="true">IF($D1184="Manual Review","Manual Review",IF($G1184="","No Data",IF(NOT(ISNUMBER($H1184)),"N/A",IF($H1184&lt;TODAY(),"Overdue",IF($H1184&lt;=TODAY()+30,"Due within 1 Month",IF($H1184&lt;=TODAY()+60,"Due within 2 Months","OK"))))))</f>
        <v>No Data</v>
      </c>
      <c r="K1184" s="13"/>
    </row>
    <row r="1185" customFormat="false" ht="15" hidden="false" customHeight="false" outlineLevel="0" collapsed="false">
      <c r="A1185" s="9" t="str">
        <f aca="false">Vessels!B15</f>
        <v>Vessel 11</v>
      </c>
      <c r="B1185" s="9" t="s">
        <v>88</v>
      </c>
      <c r="C1185" s="7" t="s">
        <v>100</v>
      </c>
      <c r="D1185" s="9" t="s">
        <v>45</v>
      </c>
      <c r="E1185" s="9" t="s">
        <v>44</v>
      </c>
      <c r="F1185" s="5" t="n">
        <v>12</v>
      </c>
      <c r="G1185" s="10"/>
      <c r="H1185" s="11" t="str">
        <f aca="false">IFERROR(IF($D1185="Manual Review","",IF($G1185="","",IF($D1185="Direct Expiry",$G1185,EDATE($G1185,$F1185)))),"Check Date")</f>
        <v/>
      </c>
      <c r="I1185" s="12" t="str">
        <f aca="true">IF($H1185="","",IF(ISNUMBER($H1185),$H1185-TODAY(),""))</f>
        <v/>
      </c>
      <c r="J1185" s="4" t="str">
        <f aca="true">IF($D1185="Manual Review","Manual Review",IF($G1185="","No Data",IF(NOT(ISNUMBER($H1185)),"N/A",IF($H1185&lt;TODAY(),"Overdue",IF($H1185&lt;=TODAY()+30,"Due within 1 Month",IF($H1185&lt;=TODAY()+60,"Due within 2 Months","OK"))))))</f>
        <v>No Data</v>
      </c>
      <c r="K1185" s="13"/>
    </row>
    <row r="1186" customFormat="false" ht="15" hidden="false" customHeight="false" outlineLevel="0" collapsed="false">
      <c r="A1186" s="9" t="str">
        <f aca="false">Vessels!B15</f>
        <v>Vessel 11</v>
      </c>
      <c r="B1186" s="9" t="s">
        <v>88</v>
      </c>
      <c r="C1186" s="7" t="s">
        <v>100</v>
      </c>
      <c r="D1186" s="9" t="s">
        <v>45</v>
      </c>
      <c r="E1186" s="9" t="s">
        <v>99</v>
      </c>
      <c r="F1186" s="5" t="n">
        <v>60</v>
      </c>
      <c r="G1186" s="10"/>
      <c r="H1186" s="11" t="str">
        <f aca="false">IFERROR(IF($D1186="Manual Review","",IF($G1186="","",IF($D1186="Direct Expiry",$G1186,EDATE($G1186,$F1186)))),"Check Date")</f>
        <v/>
      </c>
      <c r="I1186" s="12" t="str">
        <f aca="true">IF($H1186="","",IF(ISNUMBER($H1186),$H1186-TODAY(),""))</f>
        <v/>
      </c>
      <c r="J1186" s="4" t="str">
        <f aca="true">IF($D1186="Manual Review","Manual Review",IF($G1186="","No Data",IF(NOT(ISNUMBER($H1186)),"N/A",IF($H1186&lt;TODAY(),"Overdue",IF($H1186&lt;=TODAY()+30,"Due within 1 Month",IF($H1186&lt;=TODAY()+60,"Due within 2 Months","OK"))))))</f>
        <v>No Data</v>
      </c>
      <c r="K1186" s="13"/>
    </row>
    <row r="1187" customFormat="false" ht="15" hidden="false" customHeight="false" outlineLevel="0" collapsed="false">
      <c r="A1187" s="9" t="str">
        <f aca="false">Vessels!B15</f>
        <v>Vessel 11</v>
      </c>
      <c r="B1187" s="9" t="s">
        <v>88</v>
      </c>
      <c r="C1187" s="7" t="s">
        <v>101</v>
      </c>
      <c r="D1187" s="9" t="s">
        <v>45</v>
      </c>
      <c r="E1187" s="9" t="s">
        <v>44</v>
      </c>
      <c r="F1187" s="5" t="n">
        <v>12</v>
      </c>
      <c r="G1187" s="10"/>
      <c r="H1187" s="11" t="str">
        <f aca="false">IFERROR(IF($D1187="Manual Review","",IF($G1187="","",IF($D1187="Direct Expiry",$G1187,EDATE($G1187,$F1187)))),"Check Date")</f>
        <v/>
      </c>
      <c r="I1187" s="12" t="str">
        <f aca="true">IF($H1187="","",IF(ISNUMBER($H1187),$H1187-TODAY(),""))</f>
        <v/>
      </c>
      <c r="J1187" s="4" t="str">
        <f aca="true">IF($D1187="Manual Review","Manual Review",IF($G1187="","No Data",IF(NOT(ISNUMBER($H1187)),"N/A",IF($H1187&lt;TODAY(),"Overdue",IF($H1187&lt;=TODAY()+30,"Due within 1 Month",IF($H1187&lt;=TODAY()+60,"Due within 2 Months","OK"))))))</f>
        <v>No Data</v>
      </c>
      <c r="K1187" s="13"/>
    </row>
    <row r="1188" customFormat="false" ht="23.85" hidden="false" customHeight="false" outlineLevel="0" collapsed="false">
      <c r="A1188" s="9" t="str">
        <f aca="false">Vessels!B15</f>
        <v>Vessel 11</v>
      </c>
      <c r="B1188" s="9" t="s">
        <v>88</v>
      </c>
      <c r="C1188" s="7" t="s">
        <v>102</v>
      </c>
      <c r="D1188" s="9" t="s">
        <v>45</v>
      </c>
      <c r="E1188" s="9" t="s">
        <v>44</v>
      </c>
      <c r="F1188" s="5" t="n">
        <v>12</v>
      </c>
      <c r="G1188" s="10"/>
      <c r="H1188" s="11" t="str">
        <f aca="false">IFERROR(IF($D1188="Manual Review","",IF($G1188="","",IF($D1188="Direct Expiry",$G1188,EDATE($G1188,$F1188)))),"Check Date")</f>
        <v/>
      </c>
      <c r="I1188" s="12" t="str">
        <f aca="true">IF($H1188="","",IF(ISNUMBER($H1188),$H1188-TODAY(),""))</f>
        <v/>
      </c>
      <c r="J1188" s="4" t="str">
        <f aca="true">IF($D1188="Manual Review","Manual Review",IF($G1188="","No Data",IF(NOT(ISNUMBER($H1188)),"N/A",IF($H1188&lt;TODAY(),"Overdue",IF($H1188&lt;=TODAY()+30,"Due within 1 Month",IF($H1188&lt;=TODAY()+60,"Due within 2 Months","OK"))))))</f>
        <v>No Data</v>
      </c>
      <c r="K1188" s="13"/>
    </row>
    <row r="1189" customFormat="false" ht="23.85" hidden="false" customHeight="false" outlineLevel="0" collapsed="false">
      <c r="A1189" s="9" t="str">
        <f aca="false">Vessels!B15</f>
        <v>Vessel 11</v>
      </c>
      <c r="B1189" s="9" t="s">
        <v>88</v>
      </c>
      <c r="C1189" s="7" t="s">
        <v>102</v>
      </c>
      <c r="D1189" s="9" t="s">
        <v>45</v>
      </c>
      <c r="E1189" s="9" t="s">
        <v>97</v>
      </c>
      <c r="F1189" s="5" t="n">
        <v>120</v>
      </c>
      <c r="G1189" s="10"/>
      <c r="H1189" s="11" t="str">
        <f aca="false">IFERROR(IF($D1189="Manual Review","",IF($G1189="","",IF($D1189="Direct Expiry",$G1189,EDATE($G1189,$F1189)))),"Check Date")</f>
        <v/>
      </c>
      <c r="I1189" s="12" t="str">
        <f aca="true">IF($H1189="","",IF(ISNUMBER($H1189),$H1189-TODAY(),""))</f>
        <v/>
      </c>
      <c r="J1189" s="4" t="str">
        <f aca="true">IF($D1189="Manual Review","Manual Review",IF($G1189="","No Data",IF(NOT(ISNUMBER($H1189)),"N/A",IF($H1189&lt;TODAY(),"Overdue",IF($H1189&lt;=TODAY()+30,"Due within 1 Month",IF($H1189&lt;=TODAY()+60,"Due within 2 Months","OK"))))))</f>
        <v>No Data</v>
      </c>
      <c r="K1189" s="13"/>
    </row>
    <row r="1190" customFormat="false" ht="15" hidden="false" customHeight="false" outlineLevel="0" collapsed="false">
      <c r="A1190" s="9" t="str">
        <f aca="false">Vessels!B15</f>
        <v>Vessel 11</v>
      </c>
      <c r="B1190" s="9" t="s">
        <v>88</v>
      </c>
      <c r="C1190" s="7" t="s">
        <v>103</v>
      </c>
      <c r="D1190" s="9" t="s">
        <v>45</v>
      </c>
      <c r="E1190" s="9" t="s">
        <v>44</v>
      </c>
      <c r="F1190" s="5" t="n">
        <v>12</v>
      </c>
      <c r="G1190" s="10"/>
      <c r="H1190" s="11" t="str">
        <f aca="false">IFERROR(IF($D1190="Manual Review","",IF($G1190="","",IF($D1190="Direct Expiry",$G1190,EDATE($G1190,$F1190)))),"Check Date")</f>
        <v/>
      </c>
      <c r="I1190" s="12" t="str">
        <f aca="true">IF($H1190="","",IF(ISNUMBER($H1190),$H1190-TODAY(),""))</f>
        <v/>
      </c>
      <c r="J1190" s="4" t="str">
        <f aca="true">IF($D1190="Manual Review","Manual Review",IF($G1190="","No Data",IF(NOT(ISNUMBER($H1190)),"N/A",IF($H1190&lt;TODAY(),"Overdue",IF($H1190&lt;=TODAY()+30,"Due within 1 Month",IF($H1190&lt;=TODAY()+60,"Due within 2 Months","OK"))))))</f>
        <v>No Data</v>
      </c>
      <c r="K1190" s="13"/>
    </row>
    <row r="1191" customFormat="false" ht="15" hidden="false" customHeight="false" outlineLevel="0" collapsed="false">
      <c r="A1191" s="9" t="str">
        <f aca="false">Vessels!B15</f>
        <v>Vessel 11</v>
      </c>
      <c r="B1191" s="9" t="s">
        <v>88</v>
      </c>
      <c r="C1191" s="7" t="s">
        <v>103</v>
      </c>
      <c r="D1191" s="9" t="s">
        <v>45</v>
      </c>
      <c r="E1191" s="9" t="s">
        <v>97</v>
      </c>
      <c r="F1191" s="5" t="n">
        <v>120</v>
      </c>
      <c r="G1191" s="10"/>
      <c r="H1191" s="11" t="str">
        <f aca="false">IFERROR(IF($D1191="Manual Review","",IF($G1191="","",IF($D1191="Direct Expiry",$G1191,EDATE($G1191,$F1191)))),"Check Date")</f>
        <v/>
      </c>
      <c r="I1191" s="12" t="str">
        <f aca="true">IF($H1191="","",IF(ISNUMBER($H1191),$H1191-TODAY(),""))</f>
        <v/>
      </c>
      <c r="J1191" s="4" t="str">
        <f aca="true">IF($D1191="Manual Review","Manual Review",IF($G1191="","No Data",IF(NOT(ISNUMBER($H1191)),"N/A",IF($H1191&lt;TODAY(),"Overdue",IF($H1191&lt;=TODAY()+30,"Due within 1 Month",IF($H1191&lt;=TODAY()+60,"Due within 2 Months","OK"))))))</f>
        <v>No Data</v>
      </c>
      <c r="K1191" s="13"/>
    </row>
    <row r="1192" customFormat="false" ht="15" hidden="false" customHeight="false" outlineLevel="0" collapsed="false">
      <c r="A1192" s="9" t="str">
        <f aca="false">Vessels!B15</f>
        <v>Vessel 11</v>
      </c>
      <c r="B1192" s="9" t="s">
        <v>88</v>
      </c>
      <c r="C1192" s="7" t="s">
        <v>104</v>
      </c>
      <c r="D1192" s="9" t="s">
        <v>45</v>
      </c>
      <c r="E1192" s="9" t="s">
        <v>44</v>
      </c>
      <c r="F1192" s="5" t="n">
        <v>12</v>
      </c>
      <c r="G1192" s="10"/>
      <c r="H1192" s="11" t="str">
        <f aca="false">IFERROR(IF($D1192="Manual Review","",IF($G1192="","",IF($D1192="Direct Expiry",$G1192,EDATE($G1192,$F1192)))),"Check Date")</f>
        <v/>
      </c>
      <c r="I1192" s="12" t="str">
        <f aca="true">IF($H1192="","",IF(ISNUMBER($H1192),$H1192-TODAY(),""))</f>
        <v/>
      </c>
      <c r="J1192" s="4" t="str">
        <f aca="true">IF($D1192="Manual Review","Manual Review",IF($G1192="","No Data",IF(NOT(ISNUMBER($H1192)),"N/A",IF($H1192&lt;TODAY(),"Overdue",IF($H1192&lt;=TODAY()+30,"Due within 1 Month",IF($H1192&lt;=TODAY()+60,"Due within 2 Months","OK"))))))</f>
        <v>No Data</v>
      </c>
      <c r="K1192" s="13"/>
    </row>
    <row r="1193" customFormat="false" ht="15" hidden="false" customHeight="false" outlineLevel="0" collapsed="false">
      <c r="A1193" s="9" t="str">
        <f aca="false">Vessels!B15</f>
        <v>Vessel 11</v>
      </c>
      <c r="B1193" s="9" t="s">
        <v>88</v>
      </c>
      <c r="C1193" s="7" t="s">
        <v>105</v>
      </c>
      <c r="D1193" s="9" t="s">
        <v>45</v>
      </c>
      <c r="E1193" s="9" t="s">
        <v>44</v>
      </c>
      <c r="F1193" s="5" t="n">
        <v>12</v>
      </c>
      <c r="G1193" s="10"/>
      <c r="H1193" s="11" t="str">
        <f aca="false">IFERROR(IF($D1193="Manual Review","",IF($G1193="","",IF($D1193="Direct Expiry",$G1193,EDATE($G1193,$F1193)))),"Check Date")</f>
        <v/>
      </c>
      <c r="I1193" s="12" t="str">
        <f aca="true">IF($H1193="","",IF(ISNUMBER($H1193),$H1193-TODAY(),""))</f>
        <v/>
      </c>
      <c r="J1193" s="4" t="str">
        <f aca="true">IF($D1193="Manual Review","Manual Review",IF($G1193="","No Data",IF(NOT(ISNUMBER($H1193)),"N/A",IF($H1193&lt;TODAY(),"Overdue",IF($H1193&lt;=TODAY()+30,"Due within 1 Month",IF($H1193&lt;=TODAY()+60,"Due within 2 Months","OK"))))))</f>
        <v>No Data</v>
      </c>
      <c r="K1193" s="13"/>
    </row>
    <row r="1194" customFormat="false" ht="15" hidden="false" customHeight="false" outlineLevel="0" collapsed="false">
      <c r="A1194" s="9" t="str">
        <f aca="false">Vessels!B15</f>
        <v>Vessel 11</v>
      </c>
      <c r="B1194" s="9" t="s">
        <v>88</v>
      </c>
      <c r="C1194" s="7" t="s">
        <v>106</v>
      </c>
      <c r="D1194" s="9" t="s">
        <v>45</v>
      </c>
      <c r="E1194" s="9" t="s">
        <v>44</v>
      </c>
      <c r="F1194" s="5" t="n">
        <v>12</v>
      </c>
      <c r="G1194" s="10"/>
      <c r="H1194" s="11" t="str">
        <f aca="false">IFERROR(IF($D1194="Manual Review","",IF($G1194="","",IF($D1194="Direct Expiry",$G1194,EDATE($G1194,$F1194)))),"Check Date")</f>
        <v/>
      </c>
      <c r="I1194" s="12" t="str">
        <f aca="true">IF($H1194="","",IF(ISNUMBER($H1194),$H1194-TODAY(),""))</f>
        <v/>
      </c>
      <c r="J1194" s="4" t="str">
        <f aca="true">IF($D1194="Manual Review","Manual Review",IF($G1194="","No Data",IF(NOT(ISNUMBER($H1194)),"N/A",IF($H1194&lt;TODAY(),"Overdue",IF($H1194&lt;=TODAY()+30,"Due within 1 Month",IF($H1194&lt;=TODAY()+60,"Due within 2 Months","OK"))))))</f>
        <v>No Data</v>
      </c>
      <c r="K1194" s="13"/>
    </row>
    <row r="1195" customFormat="false" ht="15" hidden="false" customHeight="false" outlineLevel="0" collapsed="false">
      <c r="A1195" s="9" t="str">
        <f aca="false">Vessels!B15</f>
        <v>Vessel 11</v>
      </c>
      <c r="B1195" s="9" t="s">
        <v>88</v>
      </c>
      <c r="C1195" s="7" t="s">
        <v>107</v>
      </c>
      <c r="D1195" s="9" t="s">
        <v>45</v>
      </c>
      <c r="E1195" s="9" t="s">
        <v>44</v>
      </c>
      <c r="F1195" s="5" t="n">
        <v>12</v>
      </c>
      <c r="G1195" s="10"/>
      <c r="H1195" s="11" t="str">
        <f aca="false">IFERROR(IF($D1195="Manual Review","",IF($G1195="","",IF($D1195="Direct Expiry",$G1195,EDATE($G1195,$F1195)))),"Check Date")</f>
        <v/>
      </c>
      <c r="I1195" s="12" t="str">
        <f aca="true">IF($H1195="","",IF(ISNUMBER($H1195),$H1195-TODAY(),""))</f>
        <v/>
      </c>
      <c r="J1195" s="4" t="str">
        <f aca="true">IF($D1195="Manual Review","Manual Review",IF($G1195="","No Data",IF(NOT(ISNUMBER($H1195)),"N/A",IF($H1195&lt;TODAY(),"Overdue",IF($H1195&lt;=TODAY()+30,"Due within 1 Month",IF($H1195&lt;=TODAY()+60,"Due within 2 Months","OK"))))))</f>
        <v>No Data</v>
      </c>
      <c r="K1195" s="13"/>
    </row>
    <row r="1196" customFormat="false" ht="15" hidden="false" customHeight="false" outlineLevel="0" collapsed="false">
      <c r="A1196" s="9" t="str">
        <f aca="false">Vessels!B15</f>
        <v>Vessel 11</v>
      </c>
      <c r="B1196" s="9" t="s">
        <v>88</v>
      </c>
      <c r="C1196" s="7" t="s">
        <v>108</v>
      </c>
      <c r="D1196" s="9" t="s">
        <v>45</v>
      </c>
      <c r="E1196" s="9" t="s">
        <v>109</v>
      </c>
      <c r="F1196" s="5" t="n">
        <v>12</v>
      </c>
      <c r="G1196" s="10"/>
      <c r="H1196" s="11" t="str">
        <f aca="false">IFERROR(IF($D1196="Manual Review","",IF($G1196="","",IF($D1196="Direct Expiry",$G1196,EDATE($G1196,$F1196)))),"Check Date")</f>
        <v/>
      </c>
      <c r="I1196" s="12" t="str">
        <f aca="true">IF($H1196="","",IF(ISNUMBER($H1196),$H1196-TODAY(),""))</f>
        <v/>
      </c>
      <c r="J1196" s="4" t="str">
        <f aca="true">IF($D1196="Manual Review","Manual Review",IF($G1196="","No Data",IF(NOT(ISNUMBER($H1196)),"N/A",IF($H1196&lt;TODAY(),"Overdue",IF($H1196&lt;=TODAY()+30,"Due within 1 Month",IF($H1196&lt;=TODAY()+60,"Due within 2 Months","OK"))))))</f>
        <v>No Data</v>
      </c>
      <c r="K1196" s="13"/>
    </row>
    <row r="1197" customFormat="false" ht="15" hidden="false" customHeight="false" outlineLevel="0" collapsed="false">
      <c r="A1197" s="9" t="str">
        <f aca="false">Vessels!B15</f>
        <v>Vessel 11</v>
      </c>
      <c r="B1197" s="9" t="s">
        <v>88</v>
      </c>
      <c r="C1197" s="7" t="s">
        <v>108</v>
      </c>
      <c r="D1197" s="9" t="s">
        <v>45</v>
      </c>
      <c r="E1197" s="9" t="s">
        <v>110</v>
      </c>
      <c r="F1197" s="5" t="n">
        <v>60</v>
      </c>
      <c r="G1197" s="10"/>
      <c r="H1197" s="11" t="str">
        <f aca="false">IFERROR(IF($D1197="Manual Review","",IF($G1197="","",IF($D1197="Direct Expiry",$G1197,EDATE($G1197,$F1197)))),"Check Date")</f>
        <v/>
      </c>
      <c r="I1197" s="12" t="str">
        <f aca="true">IF($H1197="","",IF(ISNUMBER($H1197),$H1197-TODAY(),""))</f>
        <v/>
      </c>
      <c r="J1197" s="4" t="str">
        <f aca="true">IF($D1197="Manual Review","Manual Review",IF($G1197="","No Data",IF(NOT(ISNUMBER($H1197)),"N/A",IF($H1197&lt;TODAY(),"Overdue",IF($H1197&lt;=TODAY()+30,"Due within 1 Month",IF($H1197&lt;=TODAY()+60,"Due within 2 Months","OK"))))))</f>
        <v>No Data</v>
      </c>
      <c r="K1197" s="13"/>
    </row>
    <row r="1198" customFormat="false" ht="15" hidden="false" customHeight="false" outlineLevel="0" collapsed="false">
      <c r="A1198" s="9" t="str">
        <f aca="false">Vessels!B15</f>
        <v>Vessel 11</v>
      </c>
      <c r="B1198" s="9" t="s">
        <v>88</v>
      </c>
      <c r="C1198" s="7" t="s">
        <v>111</v>
      </c>
      <c r="D1198" s="9" t="s">
        <v>45</v>
      </c>
      <c r="E1198" s="9" t="s">
        <v>44</v>
      </c>
      <c r="F1198" s="5" t="n">
        <v>12</v>
      </c>
      <c r="G1198" s="10"/>
      <c r="H1198" s="11" t="str">
        <f aca="false">IFERROR(IF($D1198="Manual Review","",IF($G1198="","",IF($D1198="Direct Expiry",$G1198,EDATE($G1198,$F1198)))),"Check Date")</f>
        <v/>
      </c>
      <c r="I1198" s="12" t="str">
        <f aca="true">IF($H1198="","",IF(ISNUMBER($H1198),$H1198-TODAY(),""))</f>
        <v/>
      </c>
      <c r="J1198" s="4" t="str">
        <f aca="true">IF($D1198="Manual Review","Manual Review",IF($G1198="","No Data",IF(NOT(ISNUMBER($H1198)),"N/A",IF($H1198&lt;TODAY(),"Overdue",IF($H1198&lt;=TODAY()+30,"Due within 1 Month",IF($H1198&lt;=TODAY()+60,"Due within 2 Months","OK"))))))</f>
        <v>No Data</v>
      </c>
      <c r="K1198" s="13"/>
    </row>
    <row r="1199" customFormat="false" ht="15" hidden="false" customHeight="false" outlineLevel="0" collapsed="false">
      <c r="A1199" s="9" t="str">
        <f aca="false">Vessels!B15</f>
        <v>Vessel 11</v>
      </c>
      <c r="B1199" s="9" t="s">
        <v>88</v>
      </c>
      <c r="C1199" s="7" t="s">
        <v>112</v>
      </c>
      <c r="D1199" s="9" t="s">
        <v>45</v>
      </c>
      <c r="E1199" s="9" t="s">
        <v>44</v>
      </c>
      <c r="F1199" s="5" t="n">
        <v>12</v>
      </c>
      <c r="G1199" s="10"/>
      <c r="H1199" s="11" t="str">
        <f aca="false">IFERROR(IF($D1199="Manual Review","",IF($G1199="","",IF($D1199="Direct Expiry",$G1199,EDATE($G1199,$F1199)))),"Check Date")</f>
        <v/>
      </c>
      <c r="I1199" s="12" t="str">
        <f aca="true">IF($H1199="","",IF(ISNUMBER($H1199),$H1199-TODAY(),""))</f>
        <v/>
      </c>
      <c r="J1199" s="4" t="str">
        <f aca="true">IF($D1199="Manual Review","Manual Review",IF($G1199="","No Data",IF(NOT(ISNUMBER($H1199)),"N/A",IF($H1199&lt;TODAY(),"Overdue",IF($H1199&lt;=TODAY()+30,"Due within 1 Month",IF($H1199&lt;=TODAY()+60,"Due within 2 Months","OK"))))))</f>
        <v>No Data</v>
      </c>
      <c r="K1199" s="13"/>
    </row>
    <row r="1200" customFormat="false" ht="15" hidden="false" customHeight="false" outlineLevel="0" collapsed="false">
      <c r="A1200" s="9" t="str">
        <f aca="false">Vessels!B15</f>
        <v>Vessel 11</v>
      </c>
      <c r="B1200" s="9" t="s">
        <v>88</v>
      </c>
      <c r="C1200" s="7" t="s">
        <v>113</v>
      </c>
      <c r="D1200" s="9" t="s">
        <v>115</v>
      </c>
      <c r="E1200" s="9" t="s">
        <v>114</v>
      </c>
      <c r="F1200" s="5"/>
      <c r="G1200" s="10"/>
      <c r="H1200" s="11" t="str">
        <f aca="false">IFERROR(IF($D1200="Manual Review","",IF($G1200="","",IF($D1200="Direct Expiry",$G1200,EDATE($G1200,$F1200)))),"Check Date")</f>
        <v/>
      </c>
      <c r="I1200" s="12" t="str">
        <f aca="true">IF($H1200="","",IF(ISNUMBER($H1200),$H1200-TODAY(),""))</f>
        <v/>
      </c>
      <c r="J1200" s="4" t="str">
        <f aca="true">IF($D1200="Manual Review","Manual Review",IF($G1200="","No Data",IF(NOT(ISNUMBER($H1200)),"N/A",IF($H1200&lt;TODAY(),"Overdue",IF($H1200&lt;=TODAY()+30,"Due within 1 Month",IF($H1200&lt;=TODAY()+60,"Due within 2 Months","OK"))))))</f>
        <v>Manual Review</v>
      </c>
      <c r="K1200" s="13"/>
    </row>
    <row r="1201" customFormat="false" ht="15" hidden="false" customHeight="false" outlineLevel="0" collapsed="false">
      <c r="A1201" s="9" t="str">
        <f aca="false">Vessels!B15</f>
        <v>Vessel 11</v>
      </c>
      <c r="B1201" s="9" t="s">
        <v>88</v>
      </c>
      <c r="C1201" s="7" t="s">
        <v>116</v>
      </c>
      <c r="D1201" s="9" t="s">
        <v>115</v>
      </c>
      <c r="E1201" s="9" t="s">
        <v>114</v>
      </c>
      <c r="F1201" s="5"/>
      <c r="G1201" s="10"/>
      <c r="H1201" s="11" t="str">
        <f aca="false">IFERROR(IF($D1201="Manual Review","",IF($G1201="","",IF($D1201="Direct Expiry",$G1201,EDATE($G1201,$F1201)))),"Check Date")</f>
        <v/>
      </c>
      <c r="I1201" s="12" t="str">
        <f aca="true">IF($H1201="","",IF(ISNUMBER($H1201),$H1201-TODAY(),""))</f>
        <v/>
      </c>
      <c r="J1201" s="4" t="str">
        <f aca="true">IF($D1201="Manual Review","Manual Review",IF($G1201="","No Data",IF(NOT(ISNUMBER($H1201)),"N/A",IF($H1201&lt;TODAY(),"Overdue",IF($H1201&lt;=TODAY()+30,"Due within 1 Month",IF($H1201&lt;=TODAY()+60,"Due within 2 Months","OK"))))))</f>
        <v>Manual Review</v>
      </c>
      <c r="K1201" s="13"/>
    </row>
    <row r="1202" customFormat="false" ht="15" hidden="false" customHeight="false" outlineLevel="0" collapsed="false">
      <c r="A1202" s="9" t="str">
        <f aca="false">Vessels!B15</f>
        <v>Vessel 11</v>
      </c>
      <c r="B1202" s="9" t="s">
        <v>117</v>
      </c>
      <c r="C1202" s="7" t="s">
        <v>118</v>
      </c>
      <c r="D1202" s="9" t="s">
        <v>59</v>
      </c>
      <c r="E1202" s="9" t="s">
        <v>119</v>
      </c>
      <c r="F1202" s="5"/>
      <c r="G1202" s="10"/>
      <c r="H1202" s="11" t="str">
        <f aca="false">IFERROR(IF($D1202="Manual Review","",IF($G1202="","",IF($D1202="Direct Expiry",$G1202,EDATE($G1202,$F1202)))),"Check Date")</f>
        <v/>
      </c>
      <c r="I1202" s="12" t="str">
        <f aca="true">IF($H1202="","",IF(ISNUMBER($H1202),$H1202-TODAY(),""))</f>
        <v/>
      </c>
      <c r="J1202" s="4" t="str">
        <f aca="true">IF($D1202="Manual Review","Manual Review",IF($G1202="","No Data",IF(NOT(ISNUMBER($H1202)),"N/A",IF($H1202&lt;TODAY(),"Overdue",IF($H1202&lt;=TODAY()+30,"Due within 1 Month",IF($H1202&lt;=TODAY()+60,"Due within 2 Months","OK"))))))</f>
        <v>No Data</v>
      </c>
      <c r="K1202" s="13"/>
    </row>
    <row r="1203" customFormat="false" ht="15" hidden="false" customHeight="false" outlineLevel="0" collapsed="false">
      <c r="A1203" s="9" t="str">
        <f aca="false">Vessels!B15</f>
        <v>Vessel 11</v>
      </c>
      <c r="B1203" s="9" t="s">
        <v>117</v>
      </c>
      <c r="C1203" s="7" t="s">
        <v>120</v>
      </c>
      <c r="D1203" s="9" t="s">
        <v>45</v>
      </c>
      <c r="E1203" s="9" t="s">
        <v>44</v>
      </c>
      <c r="F1203" s="5" t="n">
        <v>12</v>
      </c>
      <c r="G1203" s="10"/>
      <c r="H1203" s="11" t="str">
        <f aca="false">IFERROR(IF($D1203="Manual Review","",IF($G1203="","",IF($D1203="Direct Expiry",$G1203,EDATE($G1203,$F1203)))),"Check Date")</f>
        <v/>
      </c>
      <c r="I1203" s="12" t="str">
        <f aca="true">IF($H1203="","",IF(ISNUMBER($H1203),$H1203-TODAY(),""))</f>
        <v/>
      </c>
      <c r="J1203" s="4" t="str">
        <f aca="true">IF($D1203="Manual Review","Manual Review",IF($G1203="","No Data",IF(NOT(ISNUMBER($H1203)),"N/A",IF($H1203&lt;TODAY(),"Overdue",IF($H1203&lt;=TODAY()+30,"Due within 1 Month",IF($H1203&lt;=TODAY()+60,"Due within 2 Months","OK"))))))</f>
        <v>No Data</v>
      </c>
      <c r="K1203" s="13"/>
    </row>
    <row r="1204" customFormat="false" ht="15" hidden="false" customHeight="false" outlineLevel="0" collapsed="false">
      <c r="A1204" s="9" t="str">
        <f aca="false">Vessels!B15</f>
        <v>Vessel 11</v>
      </c>
      <c r="B1204" s="9" t="s">
        <v>117</v>
      </c>
      <c r="C1204" s="7" t="s">
        <v>121</v>
      </c>
      <c r="D1204" s="9" t="s">
        <v>45</v>
      </c>
      <c r="E1204" s="9" t="s">
        <v>44</v>
      </c>
      <c r="F1204" s="5" t="n">
        <v>12</v>
      </c>
      <c r="G1204" s="10"/>
      <c r="H1204" s="11" t="str">
        <f aca="false">IFERROR(IF($D1204="Manual Review","",IF($G1204="","",IF($D1204="Direct Expiry",$G1204,EDATE($G1204,$F1204)))),"Check Date")</f>
        <v/>
      </c>
      <c r="I1204" s="12" t="str">
        <f aca="true">IF($H1204="","",IF(ISNUMBER($H1204),$H1204-TODAY(),""))</f>
        <v/>
      </c>
      <c r="J1204" s="4" t="str">
        <f aca="true">IF($D1204="Manual Review","Manual Review",IF($G1204="","No Data",IF(NOT(ISNUMBER($H1204)),"N/A",IF($H1204&lt;TODAY(),"Overdue",IF($H1204&lt;=TODAY()+30,"Due within 1 Month",IF($H1204&lt;=TODAY()+60,"Due within 2 Months","OK"))))))</f>
        <v>No Data</v>
      </c>
      <c r="K1204" s="13"/>
    </row>
    <row r="1205" customFormat="false" ht="15" hidden="false" customHeight="false" outlineLevel="0" collapsed="false">
      <c r="A1205" s="9" t="str">
        <f aca="false">Vessels!B15</f>
        <v>Vessel 11</v>
      </c>
      <c r="B1205" s="9" t="s">
        <v>117</v>
      </c>
      <c r="C1205" s="7" t="s">
        <v>122</v>
      </c>
      <c r="D1205" s="9" t="s">
        <v>45</v>
      </c>
      <c r="E1205" s="9" t="s">
        <v>123</v>
      </c>
      <c r="F1205" s="5" t="n">
        <v>24</v>
      </c>
      <c r="G1205" s="10"/>
      <c r="H1205" s="11" t="str">
        <f aca="false">IFERROR(IF($D1205="Manual Review","",IF($G1205="","",IF($D1205="Direct Expiry",$G1205,EDATE($G1205,$F1205)))),"Check Date")</f>
        <v/>
      </c>
      <c r="I1205" s="12" t="str">
        <f aca="true">IF($H1205="","",IF(ISNUMBER($H1205),$H1205-TODAY(),""))</f>
        <v/>
      </c>
      <c r="J1205" s="4" t="str">
        <f aca="true">IF($D1205="Manual Review","Manual Review",IF($G1205="","No Data",IF(NOT(ISNUMBER($H1205)),"N/A",IF($H1205&lt;TODAY(),"Overdue",IF($H1205&lt;=TODAY()+30,"Due within 1 Month",IF($H1205&lt;=TODAY()+60,"Due within 2 Months","OK"))))))</f>
        <v>No Data</v>
      </c>
      <c r="K1205" s="13"/>
    </row>
    <row r="1206" customFormat="false" ht="15" hidden="false" customHeight="false" outlineLevel="0" collapsed="false">
      <c r="A1206" s="9" t="str">
        <f aca="false">Vessels!B15</f>
        <v>Vessel 11</v>
      </c>
      <c r="B1206" s="9" t="s">
        <v>117</v>
      </c>
      <c r="C1206" s="7" t="s">
        <v>124</v>
      </c>
      <c r="D1206" s="9" t="s">
        <v>59</v>
      </c>
      <c r="E1206" s="9" t="s">
        <v>58</v>
      </c>
      <c r="F1206" s="5"/>
      <c r="G1206" s="10"/>
      <c r="H1206" s="11" t="str">
        <f aca="false">IFERROR(IF($D1206="Manual Review","",IF($G1206="","",IF($D1206="Direct Expiry",$G1206,EDATE($G1206,$F1206)))),"Check Date")</f>
        <v/>
      </c>
      <c r="I1206" s="12" t="str">
        <f aca="true">IF($H1206="","",IF(ISNUMBER($H1206),$H1206-TODAY(),""))</f>
        <v/>
      </c>
      <c r="J1206" s="4" t="str">
        <f aca="true">IF($D1206="Manual Review","Manual Review",IF($G1206="","No Data",IF(NOT(ISNUMBER($H1206)),"N/A",IF($H1206&lt;TODAY(),"Overdue",IF($H1206&lt;=TODAY()+30,"Due within 1 Month",IF($H1206&lt;=TODAY()+60,"Due within 2 Months","OK"))))))</f>
        <v>No Data</v>
      </c>
      <c r="K1206" s="13"/>
    </row>
    <row r="1207" customFormat="false" ht="15" hidden="false" customHeight="false" outlineLevel="0" collapsed="false">
      <c r="A1207" s="9" t="str">
        <f aca="false">Vessels!B15</f>
        <v>Vessel 11</v>
      </c>
      <c r="B1207" s="9" t="s">
        <v>117</v>
      </c>
      <c r="C1207" s="7" t="s">
        <v>125</v>
      </c>
      <c r="D1207" s="9" t="s">
        <v>59</v>
      </c>
      <c r="E1207" s="9" t="s">
        <v>58</v>
      </c>
      <c r="F1207" s="5"/>
      <c r="G1207" s="10"/>
      <c r="H1207" s="11" t="str">
        <f aca="false">IFERROR(IF($D1207="Manual Review","",IF($G1207="","",IF($D1207="Direct Expiry",$G1207,EDATE($G1207,$F1207)))),"Check Date")</f>
        <v/>
      </c>
      <c r="I1207" s="12" t="str">
        <f aca="true">IF($H1207="","",IF(ISNUMBER($H1207),$H1207-TODAY(),""))</f>
        <v/>
      </c>
      <c r="J1207" s="4" t="str">
        <f aca="true">IF($D1207="Manual Review","Manual Review",IF($G1207="","No Data",IF(NOT(ISNUMBER($H1207)),"N/A",IF($H1207&lt;TODAY(),"Overdue",IF($H1207&lt;=TODAY()+30,"Due within 1 Month",IF($H1207&lt;=TODAY()+60,"Due within 2 Months","OK"))))))</f>
        <v>No Data</v>
      </c>
      <c r="K1207" s="13"/>
    </row>
    <row r="1208" customFormat="false" ht="15" hidden="false" customHeight="false" outlineLevel="0" collapsed="false">
      <c r="A1208" s="9" t="str">
        <f aca="false">Vessels!B15</f>
        <v>Vessel 11</v>
      </c>
      <c r="B1208" s="9" t="s">
        <v>117</v>
      </c>
      <c r="C1208" s="7" t="s">
        <v>126</v>
      </c>
      <c r="D1208" s="9" t="s">
        <v>45</v>
      </c>
      <c r="E1208" s="9" t="s">
        <v>44</v>
      </c>
      <c r="F1208" s="5" t="n">
        <v>12</v>
      </c>
      <c r="G1208" s="10"/>
      <c r="H1208" s="11" t="str">
        <f aca="false">IFERROR(IF($D1208="Manual Review","",IF($G1208="","",IF($D1208="Direct Expiry",$G1208,EDATE($G1208,$F1208)))),"Check Date")</f>
        <v/>
      </c>
      <c r="I1208" s="12" t="str">
        <f aca="true">IF($H1208="","",IF(ISNUMBER($H1208),$H1208-TODAY(),""))</f>
        <v/>
      </c>
      <c r="J1208" s="4" t="str">
        <f aca="true">IF($D1208="Manual Review","Manual Review",IF($G1208="","No Data",IF(NOT(ISNUMBER($H1208)),"N/A",IF($H1208&lt;TODAY(),"Overdue",IF($H1208&lt;=TODAY()+30,"Due within 1 Month",IF($H1208&lt;=TODAY()+60,"Due within 2 Months","OK"))))))</f>
        <v>No Data</v>
      </c>
      <c r="K1208" s="13"/>
    </row>
    <row r="1209" customFormat="false" ht="15" hidden="false" customHeight="false" outlineLevel="0" collapsed="false">
      <c r="A1209" s="9" t="str">
        <f aca="false">Vessels!B15</f>
        <v>Vessel 11</v>
      </c>
      <c r="B1209" s="9" t="s">
        <v>117</v>
      </c>
      <c r="C1209" s="7" t="s">
        <v>127</v>
      </c>
      <c r="D1209" s="9" t="s">
        <v>59</v>
      </c>
      <c r="E1209" s="9" t="s">
        <v>58</v>
      </c>
      <c r="F1209" s="5"/>
      <c r="G1209" s="10"/>
      <c r="H1209" s="11" t="str">
        <f aca="false">IFERROR(IF($D1209="Manual Review","",IF($G1209="","",IF($D1209="Direct Expiry",$G1209,EDATE($G1209,$F1209)))),"Check Date")</f>
        <v/>
      </c>
      <c r="I1209" s="12" t="str">
        <f aca="true">IF($H1209="","",IF(ISNUMBER($H1209),$H1209-TODAY(),""))</f>
        <v/>
      </c>
      <c r="J1209" s="4" t="str">
        <f aca="true">IF($D1209="Manual Review","Manual Review",IF($G1209="","No Data",IF(NOT(ISNUMBER($H1209)),"N/A",IF($H1209&lt;TODAY(),"Overdue",IF($H1209&lt;=TODAY()+30,"Due within 1 Month",IF($H1209&lt;=TODAY()+60,"Due within 2 Months","OK"))))))</f>
        <v>No Data</v>
      </c>
      <c r="K1209" s="13"/>
    </row>
    <row r="1210" customFormat="false" ht="15" hidden="false" customHeight="false" outlineLevel="0" collapsed="false">
      <c r="A1210" s="9" t="str">
        <f aca="false">Vessels!B15</f>
        <v>Vessel 11</v>
      </c>
      <c r="B1210" s="9" t="s">
        <v>117</v>
      </c>
      <c r="C1210" s="7" t="s">
        <v>128</v>
      </c>
      <c r="D1210" s="9" t="s">
        <v>59</v>
      </c>
      <c r="E1210" s="9" t="s">
        <v>58</v>
      </c>
      <c r="F1210" s="5"/>
      <c r="G1210" s="10"/>
      <c r="H1210" s="11" t="str">
        <f aca="false">IFERROR(IF($D1210="Manual Review","",IF($G1210="","",IF($D1210="Direct Expiry",$G1210,EDATE($G1210,$F1210)))),"Check Date")</f>
        <v/>
      </c>
      <c r="I1210" s="12" t="str">
        <f aca="true">IF($H1210="","",IF(ISNUMBER($H1210),$H1210-TODAY(),""))</f>
        <v/>
      </c>
      <c r="J1210" s="4" t="str">
        <f aca="true">IF($D1210="Manual Review","Manual Review",IF($G1210="","No Data",IF(NOT(ISNUMBER($H1210)),"N/A",IF($H1210&lt;TODAY(),"Overdue",IF($H1210&lt;=TODAY()+30,"Due within 1 Month",IF($H1210&lt;=TODAY()+60,"Due within 2 Months","OK"))))))</f>
        <v>No Data</v>
      </c>
      <c r="K1210" s="13"/>
    </row>
    <row r="1211" customFormat="false" ht="15" hidden="false" customHeight="false" outlineLevel="0" collapsed="false">
      <c r="A1211" s="9" t="str">
        <f aca="false">Vessels!B15</f>
        <v>Vessel 11</v>
      </c>
      <c r="B1211" s="9" t="s">
        <v>117</v>
      </c>
      <c r="C1211" s="7" t="s">
        <v>129</v>
      </c>
      <c r="D1211" s="9" t="s">
        <v>59</v>
      </c>
      <c r="E1211" s="9" t="s">
        <v>58</v>
      </c>
      <c r="F1211" s="5"/>
      <c r="G1211" s="10"/>
      <c r="H1211" s="11" t="str">
        <f aca="false">IFERROR(IF($D1211="Manual Review","",IF($G1211="","",IF($D1211="Direct Expiry",$G1211,EDATE($G1211,$F1211)))),"Check Date")</f>
        <v/>
      </c>
      <c r="I1211" s="12" t="str">
        <f aca="true">IF($H1211="","",IF(ISNUMBER($H1211),$H1211-TODAY(),""))</f>
        <v/>
      </c>
      <c r="J1211" s="4" t="str">
        <f aca="true">IF($D1211="Manual Review","Manual Review",IF($G1211="","No Data",IF(NOT(ISNUMBER($H1211)),"N/A",IF($H1211&lt;TODAY(),"Overdue",IF($H1211&lt;=TODAY()+30,"Due within 1 Month",IF($H1211&lt;=TODAY()+60,"Due within 2 Months","OK"))))))</f>
        <v>No Data</v>
      </c>
      <c r="K1211" s="13"/>
    </row>
    <row r="1212" customFormat="false" ht="15" hidden="false" customHeight="false" outlineLevel="0" collapsed="false">
      <c r="A1212" s="9" t="str">
        <f aca="false">Vessels!B15</f>
        <v>Vessel 11</v>
      </c>
      <c r="B1212" s="9" t="s">
        <v>117</v>
      </c>
      <c r="C1212" s="7" t="s">
        <v>130</v>
      </c>
      <c r="D1212" s="9" t="s">
        <v>45</v>
      </c>
      <c r="E1212" s="9" t="s">
        <v>44</v>
      </c>
      <c r="F1212" s="5" t="n">
        <v>12</v>
      </c>
      <c r="G1212" s="10"/>
      <c r="H1212" s="11" t="str">
        <f aca="false">IFERROR(IF($D1212="Manual Review","",IF($G1212="","",IF($D1212="Direct Expiry",$G1212,EDATE($G1212,$F1212)))),"Check Date")</f>
        <v/>
      </c>
      <c r="I1212" s="12" t="str">
        <f aca="true">IF($H1212="","",IF(ISNUMBER($H1212),$H1212-TODAY(),""))</f>
        <v/>
      </c>
      <c r="J1212" s="4" t="str">
        <f aca="true">IF($D1212="Manual Review","Manual Review",IF($G1212="","No Data",IF(NOT(ISNUMBER($H1212)),"N/A",IF($H1212&lt;TODAY(),"Overdue",IF($H1212&lt;=TODAY()+30,"Due within 1 Month",IF($H1212&lt;=TODAY()+60,"Due within 2 Months","OK"))))))</f>
        <v>No Data</v>
      </c>
      <c r="K1212" s="13"/>
    </row>
    <row r="1213" customFormat="false" ht="15" hidden="false" customHeight="false" outlineLevel="0" collapsed="false">
      <c r="A1213" s="9" t="str">
        <f aca="false">Vessels!B15</f>
        <v>Vessel 11</v>
      </c>
      <c r="B1213" s="9" t="s">
        <v>117</v>
      </c>
      <c r="C1213" s="7" t="s">
        <v>131</v>
      </c>
      <c r="D1213" s="9" t="s">
        <v>45</v>
      </c>
      <c r="E1213" s="9" t="s">
        <v>44</v>
      </c>
      <c r="F1213" s="5" t="n">
        <v>12</v>
      </c>
      <c r="G1213" s="10"/>
      <c r="H1213" s="11" t="str">
        <f aca="false">IFERROR(IF($D1213="Manual Review","",IF($G1213="","",IF($D1213="Direct Expiry",$G1213,EDATE($G1213,$F1213)))),"Check Date")</f>
        <v/>
      </c>
      <c r="I1213" s="12" t="str">
        <f aca="true">IF($H1213="","",IF(ISNUMBER($H1213),$H1213-TODAY(),""))</f>
        <v/>
      </c>
      <c r="J1213" s="4" t="str">
        <f aca="true">IF($D1213="Manual Review","Manual Review",IF($G1213="","No Data",IF(NOT(ISNUMBER($H1213)),"N/A",IF($H1213&lt;TODAY(),"Overdue",IF($H1213&lt;=TODAY()+30,"Due within 1 Month",IF($H1213&lt;=TODAY()+60,"Due within 2 Months","OK"))))))</f>
        <v>No Data</v>
      </c>
      <c r="K1213" s="13"/>
    </row>
    <row r="1214" customFormat="false" ht="15" hidden="false" customHeight="false" outlineLevel="0" collapsed="false">
      <c r="A1214" s="9" t="str">
        <f aca="false">Vessels!B15</f>
        <v>Vessel 11</v>
      </c>
      <c r="B1214" s="9" t="s">
        <v>117</v>
      </c>
      <c r="C1214" s="7" t="s">
        <v>132</v>
      </c>
      <c r="D1214" s="9" t="s">
        <v>45</v>
      </c>
      <c r="E1214" s="9" t="s">
        <v>44</v>
      </c>
      <c r="F1214" s="5" t="n">
        <v>12</v>
      </c>
      <c r="G1214" s="10"/>
      <c r="H1214" s="11" t="str">
        <f aca="false">IFERROR(IF($D1214="Manual Review","",IF($G1214="","",IF($D1214="Direct Expiry",$G1214,EDATE($G1214,$F1214)))),"Check Date")</f>
        <v/>
      </c>
      <c r="I1214" s="12" t="str">
        <f aca="true">IF($H1214="","",IF(ISNUMBER($H1214),$H1214-TODAY(),""))</f>
        <v/>
      </c>
      <c r="J1214" s="4" t="str">
        <f aca="true">IF($D1214="Manual Review","Manual Review",IF($G1214="","No Data",IF(NOT(ISNUMBER($H1214)),"N/A",IF($H1214&lt;TODAY(),"Overdue",IF($H1214&lt;=TODAY()+30,"Due within 1 Month",IF($H1214&lt;=TODAY()+60,"Due within 2 Months","OK"))))))</f>
        <v>No Data</v>
      </c>
      <c r="K1214" s="13"/>
    </row>
    <row r="1215" customFormat="false" ht="15" hidden="false" customHeight="false" outlineLevel="0" collapsed="false">
      <c r="A1215" s="9" t="str">
        <f aca="false">Vessels!B15</f>
        <v>Vessel 11</v>
      </c>
      <c r="B1215" s="9" t="s">
        <v>117</v>
      </c>
      <c r="C1215" s="7" t="s">
        <v>133</v>
      </c>
      <c r="D1215" s="9" t="s">
        <v>45</v>
      </c>
      <c r="E1215" s="9" t="s">
        <v>44</v>
      </c>
      <c r="F1215" s="5" t="n">
        <v>12</v>
      </c>
      <c r="G1215" s="10"/>
      <c r="H1215" s="11" t="str">
        <f aca="false">IFERROR(IF($D1215="Manual Review","",IF($G1215="","",IF($D1215="Direct Expiry",$G1215,EDATE($G1215,$F1215)))),"Check Date")</f>
        <v/>
      </c>
      <c r="I1215" s="12" t="str">
        <f aca="true">IF($H1215="","",IF(ISNUMBER($H1215),$H1215-TODAY(),""))</f>
        <v/>
      </c>
      <c r="J1215" s="4" t="str">
        <f aca="true">IF($D1215="Manual Review","Manual Review",IF($G1215="","No Data",IF(NOT(ISNUMBER($H1215)),"N/A",IF($H1215&lt;TODAY(),"Overdue",IF($H1215&lt;=TODAY()+30,"Due within 1 Month",IF($H1215&lt;=TODAY()+60,"Due within 2 Months","OK"))))))</f>
        <v>No Data</v>
      </c>
      <c r="K1215" s="13"/>
    </row>
    <row r="1216" customFormat="false" ht="15" hidden="false" customHeight="false" outlineLevel="0" collapsed="false">
      <c r="A1216" s="9" t="str">
        <f aca="false">Vessels!B15</f>
        <v>Vessel 11</v>
      </c>
      <c r="B1216" s="9" t="s">
        <v>117</v>
      </c>
      <c r="C1216" s="7" t="s">
        <v>134</v>
      </c>
      <c r="D1216" s="9" t="s">
        <v>45</v>
      </c>
      <c r="E1216" s="9" t="s">
        <v>44</v>
      </c>
      <c r="F1216" s="5" t="n">
        <v>12</v>
      </c>
      <c r="G1216" s="10"/>
      <c r="H1216" s="11" t="str">
        <f aca="false">IFERROR(IF($D1216="Manual Review","",IF($G1216="","",IF($D1216="Direct Expiry",$G1216,EDATE($G1216,$F1216)))),"Check Date")</f>
        <v/>
      </c>
      <c r="I1216" s="12" t="str">
        <f aca="true">IF($H1216="","",IF(ISNUMBER($H1216),$H1216-TODAY(),""))</f>
        <v/>
      </c>
      <c r="J1216" s="4" t="str">
        <f aca="true">IF($D1216="Manual Review","Manual Review",IF($G1216="","No Data",IF(NOT(ISNUMBER($H1216)),"N/A",IF($H1216&lt;TODAY(),"Overdue",IF($H1216&lt;=TODAY()+30,"Due within 1 Month",IF($H1216&lt;=TODAY()+60,"Due within 2 Months","OK"))))))</f>
        <v>No Data</v>
      </c>
      <c r="K1216" s="13"/>
    </row>
    <row r="1217" customFormat="false" ht="15" hidden="false" customHeight="false" outlineLevel="0" collapsed="false">
      <c r="A1217" s="9" t="str">
        <f aca="false">Vessels!B15</f>
        <v>Vessel 11</v>
      </c>
      <c r="B1217" s="9" t="s">
        <v>117</v>
      </c>
      <c r="C1217" s="7" t="s">
        <v>135</v>
      </c>
      <c r="D1217" s="9" t="s">
        <v>45</v>
      </c>
      <c r="E1217" s="9" t="s">
        <v>44</v>
      </c>
      <c r="F1217" s="5" t="n">
        <v>12</v>
      </c>
      <c r="G1217" s="10"/>
      <c r="H1217" s="11" t="str">
        <f aca="false">IFERROR(IF($D1217="Manual Review","",IF($G1217="","",IF($D1217="Direct Expiry",$G1217,EDATE($G1217,$F1217)))),"Check Date")</f>
        <v/>
      </c>
      <c r="I1217" s="12" t="str">
        <f aca="true">IF($H1217="","",IF(ISNUMBER($H1217),$H1217-TODAY(),""))</f>
        <v/>
      </c>
      <c r="J1217" s="4" t="str">
        <f aca="true">IF($D1217="Manual Review","Manual Review",IF($G1217="","No Data",IF(NOT(ISNUMBER($H1217)),"N/A",IF($H1217&lt;TODAY(),"Overdue",IF($H1217&lt;=TODAY()+30,"Due within 1 Month",IF($H1217&lt;=TODAY()+60,"Due within 2 Months","OK"))))))</f>
        <v>No Data</v>
      </c>
      <c r="K1217" s="13"/>
    </row>
    <row r="1218" customFormat="false" ht="15" hidden="false" customHeight="false" outlineLevel="0" collapsed="false">
      <c r="A1218" s="9" t="str">
        <f aca="false">Vessels!B15</f>
        <v>Vessel 11</v>
      </c>
      <c r="B1218" s="9" t="s">
        <v>136</v>
      </c>
      <c r="C1218" s="7" t="s">
        <v>137</v>
      </c>
      <c r="D1218" s="9" t="s">
        <v>45</v>
      </c>
      <c r="E1218" s="9" t="s">
        <v>44</v>
      </c>
      <c r="F1218" s="5" t="n">
        <v>12</v>
      </c>
      <c r="G1218" s="10"/>
      <c r="H1218" s="11" t="str">
        <f aca="false">IFERROR(IF($D1218="Manual Review","",IF($G1218="","",IF($D1218="Direct Expiry",$G1218,EDATE($G1218,$F1218)))),"Check Date")</f>
        <v/>
      </c>
      <c r="I1218" s="12" t="str">
        <f aca="true">IF($H1218="","",IF(ISNUMBER($H1218),$H1218-TODAY(),""))</f>
        <v/>
      </c>
      <c r="J1218" s="4" t="str">
        <f aca="true">IF($D1218="Manual Review","Manual Review",IF($G1218="","No Data",IF(NOT(ISNUMBER($H1218)),"N/A",IF($H1218&lt;TODAY(),"Overdue",IF($H1218&lt;=TODAY()+30,"Due within 1 Month",IF($H1218&lt;=TODAY()+60,"Due within 2 Months","OK"))))))</f>
        <v>No Data</v>
      </c>
      <c r="K1218" s="13"/>
    </row>
    <row r="1219" customFormat="false" ht="15" hidden="false" customHeight="false" outlineLevel="0" collapsed="false">
      <c r="A1219" s="9" t="str">
        <f aca="false">Vessels!B15</f>
        <v>Vessel 11</v>
      </c>
      <c r="B1219" s="9" t="s">
        <v>136</v>
      </c>
      <c r="C1219" s="7" t="s">
        <v>138</v>
      </c>
      <c r="D1219" s="9" t="s">
        <v>45</v>
      </c>
      <c r="E1219" s="9" t="s">
        <v>44</v>
      </c>
      <c r="F1219" s="5" t="n">
        <v>12</v>
      </c>
      <c r="G1219" s="10"/>
      <c r="H1219" s="11" t="str">
        <f aca="false">IFERROR(IF($D1219="Manual Review","",IF($G1219="","",IF($D1219="Direct Expiry",$G1219,EDATE($G1219,$F1219)))),"Check Date")</f>
        <v/>
      </c>
      <c r="I1219" s="12" t="str">
        <f aca="true">IF($H1219="","",IF(ISNUMBER($H1219),$H1219-TODAY(),""))</f>
        <v/>
      </c>
      <c r="J1219" s="4" t="str">
        <f aca="true">IF($D1219="Manual Review","Manual Review",IF($G1219="","No Data",IF(NOT(ISNUMBER($H1219)),"N/A",IF($H1219&lt;TODAY(),"Overdue",IF($H1219&lt;=TODAY()+30,"Due within 1 Month",IF($H1219&lt;=TODAY()+60,"Due within 2 Months","OK"))))))</f>
        <v>No Data</v>
      </c>
      <c r="K1219" s="13"/>
    </row>
    <row r="1220" customFormat="false" ht="15" hidden="false" customHeight="false" outlineLevel="0" collapsed="false">
      <c r="A1220" s="9" t="str">
        <f aca="false">Vessels!B15</f>
        <v>Vessel 11</v>
      </c>
      <c r="B1220" s="9" t="s">
        <v>136</v>
      </c>
      <c r="C1220" s="7" t="s">
        <v>139</v>
      </c>
      <c r="D1220" s="9" t="s">
        <v>45</v>
      </c>
      <c r="E1220" s="9" t="s">
        <v>140</v>
      </c>
      <c r="F1220" s="5" t="n">
        <v>12</v>
      </c>
      <c r="G1220" s="10"/>
      <c r="H1220" s="11" t="str">
        <f aca="false">IFERROR(IF($D1220="Manual Review","",IF($G1220="","",IF($D1220="Direct Expiry",$G1220,EDATE($G1220,$F1220)))),"Check Date")</f>
        <v/>
      </c>
      <c r="I1220" s="12" t="str">
        <f aca="true">IF($H1220="","",IF(ISNUMBER($H1220),$H1220-TODAY(),""))</f>
        <v/>
      </c>
      <c r="J1220" s="4" t="str">
        <f aca="true">IF($D1220="Manual Review","Manual Review",IF($G1220="","No Data",IF(NOT(ISNUMBER($H1220)),"N/A",IF($H1220&lt;TODAY(),"Overdue",IF($H1220&lt;=TODAY()+30,"Due within 1 Month",IF($H1220&lt;=TODAY()+60,"Due within 2 Months","OK"))))))</f>
        <v>No Data</v>
      </c>
      <c r="K1220" s="13"/>
    </row>
    <row r="1221" customFormat="false" ht="15" hidden="false" customHeight="false" outlineLevel="0" collapsed="false">
      <c r="A1221" s="9" t="str">
        <f aca="false">Vessels!B15</f>
        <v>Vessel 11</v>
      </c>
      <c r="B1221" s="9" t="s">
        <v>136</v>
      </c>
      <c r="C1221" s="7" t="s">
        <v>141</v>
      </c>
      <c r="D1221" s="9" t="s">
        <v>45</v>
      </c>
      <c r="E1221" s="9" t="s">
        <v>44</v>
      </c>
      <c r="F1221" s="5" t="n">
        <v>12</v>
      </c>
      <c r="G1221" s="10"/>
      <c r="H1221" s="11" t="str">
        <f aca="false">IFERROR(IF($D1221="Manual Review","",IF($G1221="","",IF($D1221="Direct Expiry",$G1221,EDATE($G1221,$F1221)))),"Check Date")</f>
        <v/>
      </c>
      <c r="I1221" s="12" t="str">
        <f aca="true">IF($H1221="","",IF(ISNUMBER($H1221),$H1221-TODAY(),""))</f>
        <v/>
      </c>
      <c r="J1221" s="4" t="str">
        <f aca="true">IF($D1221="Manual Review","Manual Review",IF($G1221="","No Data",IF(NOT(ISNUMBER($H1221)),"N/A",IF($H1221&lt;TODAY(),"Overdue",IF($H1221&lt;=TODAY()+30,"Due within 1 Month",IF($H1221&lt;=TODAY()+60,"Due within 2 Months","OK"))))))</f>
        <v>No Data</v>
      </c>
      <c r="K1221" s="13"/>
    </row>
    <row r="1222" customFormat="false" ht="15" hidden="false" customHeight="false" outlineLevel="0" collapsed="false">
      <c r="A1222" s="9" t="str">
        <f aca="false">Vessels!B15</f>
        <v>Vessel 11</v>
      </c>
      <c r="B1222" s="9" t="s">
        <v>136</v>
      </c>
      <c r="C1222" s="7" t="s">
        <v>142</v>
      </c>
      <c r="D1222" s="9" t="s">
        <v>115</v>
      </c>
      <c r="E1222" s="9" t="s">
        <v>143</v>
      </c>
      <c r="F1222" s="5"/>
      <c r="G1222" s="10"/>
      <c r="H1222" s="11" t="str">
        <f aca="false">IFERROR(IF($D1222="Manual Review","",IF($G1222="","",IF($D1222="Direct Expiry",$G1222,EDATE($G1222,$F1222)))),"Check Date")</f>
        <v/>
      </c>
      <c r="I1222" s="12" t="str">
        <f aca="true">IF($H1222="","",IF(ISNUMBER($H1222),$H1222-TODAY(),""))</f>
        <v/>
      </c>
      <c r="J1222" s="4" t="str">
        <f aca="true">IF($D1222="Manual Review","Manual Review",IF($G1222="","No Data",IF(NOT(ISNUMBER($H1222)),"N/A",IF($H1222&lt;TODAY(),"Overdue",IF($H1222&lt;=TODAY()+30,"Due within 1 Month",IF($H1222&lt;=TODAY()+60,"Due within 2 Months","OK"))))))</f>
        <v>Manual Review</v>
      </c>
      <c r="K1222" s="13"/>
    </row>
    <row r="1223" customFormat="false" ht="15" hidden="false" customHeight="false" outlineLevel="0" collapsed="false">
      <c r="A1223" s="9" t="str">
        <f aca="false">Vessels!B15</f>
        <v>Vessel 11</v>
      </c>
      <c r="B1223" s="9" t="s">
        <v>136</v>
      </c>
      <c r="C1223" s="7" t="s">
        <v>144</v>
      </c>
      <c r="D1223" s="9" t="s">
        <v>45</v>
      </c>
      <c r="E1223" s="9" t="s">
        <v>44</v>
      </c>
      <c r="F1223" s="5" t="n">
        <v>12</v>
      </c>
      <c r="G1223" s="10"/>
      <c r="H1223" s="11" t="str">
        <f aca="false">IFERROR(IF($D1223="Manual Review","",IF($G1223="","",IF($D1223="Direct Expiry",$G1223,EDATE($G1223,$F1223)))),"Check Date")</f>
        <v/>
      </c>
      <c r="I1223" s="12" t="str">
        <f aca="true">IF($H1223="","",IF(ISNUMBER($H1223),$H1223-TODAY(),""))</f>
        <v/>
      </c>
      <c r="J1223" s="4" t="str">
        <f aca="true">IF($D1223="Manual Review","Manual Review",IF($G1223="","No Data",IF(NOT(ISNUMBER($H1223)),"N/A",IF($H1223&lt;TODAY(),"Overdue",IF($H1223&lt;=TODAY()+30,"Due within 1 Month",IF($H1223&lt;=TODAY()+60,"Due within 2 Months","OK"))))))</f>
        <v>No Data</v>
      </c>
      <c r="K1223" s="13"/>
    </row>
    <row r="1224" customFormat="false" ht="15" hidden="false" customHeight="false" outlineLevel="0" collapsed="false">
      <c r="A1224" s="9" t="str">
        <f aca="false">Vessels!B15</f>
        <v>Vessel 11</v>
      </c>
      <c r="B1224" s="9" t="s">
        <v>136</v>
      </c>
      <c r="C1224" s="7" t="s">
        <v>145</v>
      </c>
      <c r="D1224" s="9" t="s">
        <v>45</v>
      </c>
      <c r="E1224" s="9" t="s">
        <v>44</v>
      </c>
      <c r="F1224" s="5" t="n">
        <v>12</v>
      </c>
      <c r="G1224" s="10"/>
      <c r="H1224" s="11" t="str">
        <f aca="false">IFERROR(IF($D1224="Manual Review","",IF($G1224="","",IF($D1224="Direct Expiry",$G1224,EDATE($G1224,$F1224)))),"Check Date")</f>
        <v/>
      </c>
      <c r="I1224" s="12" t="str">
        <f aca="true">IF($H1224="","",IF(ISNUMBER($H1224),$H1224-TODAY(),""))</f>
        <v/>
      </c>
      <c r="J1224" s="4" t="str">
        <f aca="true">IF($D1224="Manual Review","Manual Review",IF($G1224="","No Data",IF(NOT(ISNUMBER($H1224)),"N/A",IF($H1224&lt;TODAY(),"Overdue",IF($H1224&lt;=TODAY()+30,"Due within 1 Month",IF($H1224&lt;=TODAY()+60,"Due within 2 Months","OK"))))))</f>
        <v>No Data</v>
      </c>
      <c r="K1224" s="13"/>
    </row>
    <row r="1225" customFormat="false" ht="15" hidden="false" customHeight="false" outlineLevel="0" collapsed="false">
      <c r="A1225" s="9" t="str">
        <f aca="false">Vessels!B15</f>
        <v>Vessel 11</v>
      </c>
      <c r="B1225" s="9" t="s">
        <v>136</v>
      </c>
      <c r="C1225" s="7" t="s">
        <v>146</v>
      </c>
      <c r="D1225" s="9" t="s">
        <v>45</v>
      </c>
      <c r="E1225" s="9" t="s">
        <v>44</v>
      </c>
      <c r="F1225" s="5" t="n">
        <v>12</v>
      </c>
      <c r="G1225" s="10"/>
      <c r="H1225" s="11" t="str">
        <f aca="false">IFERROR(IF($D1225="Manual Review","",IF($G1225="","",IF($D1225="Direct Expiry",$G1225,EDATE($G1225,$F1225)))),"Check Date")</f>
        <v/>
      </c>
      <c r="I1225" s="12" t="str">
        <f aca="true">IF($H1225="","",IF(ISNUMBER($H1225),$H1225-TODAY(),""))</f>
        <v/>
      </c>
      <c r="J1225" s="4" t="str">
        <f aca="true">IF($D1225="Manual Review","Manual Review",IF($G1225="","No Data",IF(NOT(ISNUMBER($H1225)),"N/A",IF($H1225&lt;TODAY(),"Overdue",IF($H1225&lt;=TODAY()+30,"Due within 1 Month",IF($H1225&lt;=TODAY()+60,"Due within 2 Months","OK"))))))</f>
        <v>No Data</v>
      </c>
      <c r="K1225" s="13"/>
    </row>
    <row r="1226" customFormat="false" ht="15" hidden="false" customHeight="false" outlineLevel="0" collapsed="false">
      <c r="A1226" s="9" t="str">
        <f aca="false">Vessels!B15</f>
        <v>Vessel 11</v>
      </c>
      <c r="B1226" s="9" t="s">
        <v>136</v>
      </c>
      <c r="C1226" s="7" t="s">
        <v>147</v>
      </c>
      <c r="D1226" s="9" t="s">
        <v>45</v>
      </c>
      <c r="E1226" s="9" t="s">
        <v>44</v>
      </c>
      <c r="F1226" s="5" t="n">
        <v>12</v>
      </c>
      <c r="G1226" s="10"/>
      <c r="H1226" s="11" t="str">
        <f aca="false">IFERROR(IF($D1226="Manual Review","",IF($G1226="","",IF($D1226="Direct Expiry",$G1226,EDATE($G1226,$F1226)))),"Check Date")</f>
        <v/>
      </c>
      <c r="I1226" s="12" t="str">
        <f aca="true">IF($H1226="","",IF(ISNUMBER($H1226),$H1226-TODAY(),""))</f>
        <v/>
      </c>
      <c r="J1226" s="4" t="str">
        <f aca="true">IF($D1226="Manual Review","Manual Review",IF($G1226="","No Data",IF(NOT(ISNUMBER($H1226)),"N/A",IF($H1226&lt;TODAY(),"Overdue",IF($H1226&lt;=TODAY()+30,"Due within 1 Month",IF($H1226&lt;=TODAY()+60,"Due within 2 Months","OK"))))))</f>
        <v>No Data</v>
      </c>
      <c r="K1226" s="13"/>
    </row>
    <row r="1227" customFormat="false" ht="15" hidden="false" customHeight="false" outlineLevel="0" collapsed="false">
      <c r="A1227" s="9" t="str">
        <f aca="false">Vessels!B15</f>
        <v>Vessel 11</v>
      </c>
      <c r="B1227" s="9" t="s">
        <v>136</v>
      </c>
      <c r="C1227" s="7" t="s">
        <v>148</v>
      </c>
      <c r="D1227" s="9" t="s">
        <v>45</v>
      </c>
      <c r="E1227" s="9" t="s">
        <v>44</v>
      </c>
      <c r="F1227" s="5" t="n">
        <v>12</v>
      </c>
      <c r="G1227" s="10"/>
      <c r="H1227" s="11" t="str">
        <f aca="false">IFERROR(IF($D1227="Manual Review","",IF($G1227="","",IF($D1227="Direct Expiry",$G1227,EDATE($G1227,$F1227)))),"Check Date")</f>
        <v/>
      </c>
      <c r="I1227" s="12" t="str">
        <f aca="true">IF($H1227="","",IF(ISNUMBER($H1227),$H1227-TODAY(),""))</f>
        <v/>
      </c>
      <c r="J1227" s="4" t="str">
        <f aca="true">IF($D1227="Manual Review","Manual Review",IF($G1227="","No Data",IF(NOT(ISNUMBER($H1227)),"N/A",IF($H1227&lt;TODAY(),"Overdue",IF($H1227&lt;=TODAY()+30,"Due within 1 Month",IF($H1227&lt;=TODAY()+60,"Due within 2 Months","OK"))))))</f>
        <v>No Data</v>
      </c>
      <c r="K1227" s="13"/>
    </row>
    <row r="1228" customFormat="false" ht="15" hidden="false" customHeight="false" outlineLevel="0" collapsed="false">
      <c r="A1228" s="9" t="str">
        <f aca="false">Vessels!B15</f>
        <v>Vessel 11</v>
      </c>
      <c r="B1228" s="9" t="s">
        <v>136</v>
      </c>
      <c r="C1228" s="7" t="s">
        <v>149</v>
      </c>
      <c r="D1228" s="9" t="s">
        <v>45</v>
      </c>
      <c r="E1228" s="9" t="s">
        <v>44</v>
      </c>
      <c r="F1228" s="5" t="n">
        <v>12</v>
      </c>
      <c r="G1228" s="10"/>
      <c r="H1228" s="11" t="str">
        <f aca="false">IFERROR(IF($D1228="Manual Review","",IF($G1228="","",IF($D1228="Direct Expiry",$G1228,EDATE($G1228,$F1228)))),"Check Date")</f>
        <v/>
      </c>
      <c r="I1228" s="12" t="str">
        <f aca="true">IF($H1228="","",IF(ISNUMBER($H1228),$H1228-TODAY(),""))</f>
        <v/>
      </c>
      <c r="J1228" s="4" t="str">
        <f aca="true">IF($D1228="Manual Review","Manual Review",IF($G1228="","No Data",IF(NOT(ISNUMBER($H1228)),"N/A",IF($H1228&lt;TODAY(),"Overdue",IF($H1228&lt;=TODAY()+30,"Due within 1 Month",IF($H1228&lt;=TODAY()+60,"Due within 2 Months","OK"))))))</f>
        <v>No Data</v>
      </c>
      <c r="K1228" s="13"/>
    </row>
    <row r="1229" customFormat="false" ht="15" hidden="false" customHeight="false" outlineLevel="0" collapsed="false">
      <c r="A1229" s="9" t="str">
        <f aca="false">Vessels!B15</f>
        <v>Vessel 11</v>
      </c>
      <c r="B1229" s="9" t="s">
        <v>136</v>
      </c>
      <c r="C1229" s="7" t="s">
        <v>150</v>
      </c>
      <c r="D1229" s="9" t="s">
        <v>45</v>
      </c>
      <c r="E1229" s="9" t="s">
        <v>44</v>
      </c>
      <c r="F1229" s="5" t="n">
        <v>12</v>
      </c>
      <c r="G1229" s="10"/>
      <c r="H1229" s="11" t="str">
        <f aca="false">IFERROR(IF($D1229="Manual Review","",IF($G1229="","",IF($D1229="Direct Expiry",$G1229,EDATE($G1229,$F1229)))),"Check Date")</f>
        <v/>
      </c>
      <c r="I1229" s="12" t="str">
        <f aca="true">IF($H1229="","",IF(ISNUMBER($H1229),$H1229-TODAY(),""))</f>
        <v/>
      </c>
      <c r="J1229" s="4" t="str">
        <f aca="true">IF($D1229="Manual Review","Manual Review",IF($G1229="","No Data",IF(NOT(ISNUMBER($H1229)),"N/A",IF($H1229&lt;TODAY(),"Overdue",IF($H1229&lt;=TODAY()+30,"Due within 1 Month",IF($H1229&lt;=TODAY()+60,"Due within 2 Months","OK"))))))</f>
        <v>No Data</v>
      </c>
      <c r="K1229" s="13"/>
    </row>
    <row r="1230" customFormat="false" ht="15" hidden="false" customHeight="false" outlineLevel="0" collapsed="false">
      <c r="A1230" s="9" t="str">
        <f aca="false">Vessels!B15</f>
        <v>Vessel 11</v>
      </c>
      <c r="B1230" s="9" t="s">
        <v>136</v>
      </c>
      <c r="C1230" s="7" t="s">
        <v>151</v>
      </c>
      <c r="D1230" s="9" t="s">
        <v>45</v>
      </c>
      <c r="E1230" s="9" t="s">
        <v>44</v>
      </c>
      <c r="F1230" s="5" t="n">
        <v>12</v>
      </c>
      <c r="G1230" s="10"/>
      <c r="H1230" s="11" t="str">
        <f aca="false">IFERROR(IF($D1230="Manual Review","",IF($G1230="","",IF($D1230="Direct Expiry",$G1230,EDATE($G1230,$F1230)))),"Check Date")</f>
        <v/>
      </c>
      <c r="I1230" s="12" t="str">
        <f aca="true">IF($H1230="","",IF(ISNUMBER($H1230),$H1230-TODAY(),""))</f>
        <v/>
      </c>
      <c r="J1230" s="4" t="str">
        <f aca="true">IF($D1230="Manual Review","Manual Review",IF($G1230="","No Data",IF(NOT(ISNUMBER($H1230)),"N/A",IF($H1230&lt;TODAY(),"Overdue",IF($H1230&lt;=TODAY()+30,"Due within 1 Month",IF($H1230&lt;=TODAY()+60,"Due within 2 Months","OK"))))))</f>
        <v>No Data</v>
      </c>
      <c r="K1230" s="13"/>
    </row>
    <row r="1231" customFormat="false" ht="15" hidden="false" customHeight="false" outlineLevel="0" collapsed="false">
      <c r="A1231" s="9" t="str">
        <f aca="false">Vessels!B15</f>
        <v>Vessel 11</v>
      </c>
      <c r="B1231" s="9" t="s">
        <v>136</v>
      </c>
      <c r="C1231" s="7" t="s">
        <v>152</v>
      </c>
      <c r="D1231" s="9" t="s">
        <v>45</v>
      </c>
      <c r="E1231" s="9" t="s">
        <v>44</v>
      </c>
      <c r="F1231" s="5" t="n">
        <v>12</v>
      </c>
      <c r="G1231" s="10"/>
      <c r="H1231" s="11" t="str">
        <f aca="false">IFERROR(IF($D1231="Manual Review","",IF($G1231="","",IF($D1231="Direct Expiry",$G1231,EDATE($G1231,$F1231)))),"Check Date")</f>
        <v/>
      </c>
      <c r="I1231" s="12" t="str">
        <f aca="true">IF($H1231="","",IF(ISNUMBER($H1231),$H1231-TODAY(),""))</f>
        <v/>
      </c>
      <c r="J1231" s="4" t="str">
        <f aca="true">IF($D1231="Manual Review","Manual Review",IF($G1231="","No Data",IF(NOT(ISNUMBER($H1231)),"N/A",IF($H1231&lt;TODAY(),"Overdue",IF($H1231&lt;=TODAY()+30,"Due within 1 Month",IF($H1231&lt;=TODAY()+60,"Due within 2 Months","OK"))))))</f>
        <v>No Data</v>
      </c>
      <c r="K1231" s="13"/>
    </row>
    <row r="1232" customFormat="false" ht="15" hidden="false" customHeight="false" outlineLevel="0" collapsed="false">
      <c r="A1232" s="9" t="str">
        <f aca="false">Vessels!B15</f>
        <v>Vessel 11</v>
      </c>
      <c r="B1232" s="9" t="s">
        <v>136</v>
      </c>
      <c r="C1232" s="7" t="s">
        <v>153</v>
      </c>
      <c r="D1232" s="9" t="s">
        <v>45</v>
      </c>
      <c r="E1232" s="9" t="s">
        <v>44</v>
      </c>
      <c r="F1232" s="5" t="n">
        <v>12</v>
      </c>
      <c r="G1232" s="10"/>
      <c r="H1232" s="11" t="str">
        <f aca="false">IFERROR(IF($D1232="Manual Review","",IF($G1232="","",IF($D1232="Direct Expiry",$G1232,EDATE($G1232,$F1232)))),"Check Date")</f>
        <v/>
      </c>
      <c r="I1232" s="12" t="str">
        <f aca="true">IF($H1232="","",IF(ISNUMBER($H1232),$H1232-TODAY(),""))</f>
        <v/>
      </c>
      <c r="J1232" s="4" t="str">
        <f aca="true">IF($D1232="Manual Review","Manual Review",IF($G1232="","No Data",IF(NOT(ISNUMBER($H1232)),"N/A",IF($H1232&lt;TODAY(),"Overdue",IF($H1232&lt;=TODAY()+30,"Due within 1 Month",IF($H1232&lt;=TODAY()+60,"Due within 2 Months","OK"))))))</f>
        <v>No Data</v>
      </c>
      <c r="K1232" s="13"/>
    </row>
    <row r="1233" customFormat="false" ht="15" hidden="false" customHeight="false" outlineLevel="0" collapsed="false">
      <c r="A1233" s="9" t="str">
        <f aca="false">Vessels!B15</f>
        <v>Vessel 11</v>
      </c>
      <c r="B1233" s="9" t="s">
        <v>136</v>
      </c>
      <c r="C1233" s="7" t="s">
        <v>154</v>
      </c>
      <c r="D1233" s="9" t="s">
        <v>45</v>
      </c>
      <c r="E1233" s="9" t="s">
        <v>44</v>
      </c>
      <c r="F1233" s="5" t="n">
        <v>12</v>
      </c>
      <c r="G1233" s="10"/>
      <c r="H1233" s="11" t="str">
        <f aca="false">IFERROR(IF($D1233="Manual Review","",IF($G1233="","",IF($D1233="Direct Expiry",$G1233,EDATE($G1233,$F1233)))),"Check Date")</f>
        <v/>
      </c>
      <c r="I1233" s="12" t="str">
        <f aca="true">IF($H1233="","",IF(ISNUMBER($H1233),$H1233-TODAY(),""))</f>
        <v/>
      </c>
      <c r="J1233" s="4" t="str">
        <f aca="true">IF($D1233="Manual Review","Manual Review",IF($G1233="","No Data",IF(NOT(ISNUMBER($H1233)),"N/A",IF($H1233&lt;TODAY(),"Overdue",IF($H1233&lt;=TODAY()+30,"Due within 1 Month",IF($H1233&lt;=TODAY()+60,"Due within 2 Months","OK"))))))</f>
        <v>No Data</v>
      </c>
      <c r="K1233" s="13"/>
    </row>
    <row r="1234" customFormat="false" ht="15" hidden="false" customHeight="false" outlineLevel="0" collapsed="false">
      <c r="A1234" s="9" t="str">
        <f aca="false">Vessels!B15</f>
        <v>Vessel 11</v>
      </c>
      <c r="B1234" s="9" t="s">
        <v>136</v>
      </c>
      <c r="C1234" s="7" t="s">
        <v>155</v>
      </c>
      <c r="D1234" s="9" t="s">
        <v>45</v>
      </c>
      <c r="E1234" s="9" t="s">
        <v>44</v>
      </c>
      <c r="F1234" s="5" t="n">
        <v>12</v>
      </c>
      <c r="G1234" s="10"/>
      <c r="H1234" s="11" t="str">
        <f aca="false">IFERROR(IF($D1234="Manual Review","",IF($G1234="","",IF($D1234="Direct Expiry",$G1234,EDATE($G1234,$F1234)))),"Check Date")</f>
        <v/>
      </c>
      <c r="I1234" s="12" t="str">
        <f aca="true">IF($H1234="","",IF(ISNUMBER($H1234),$H1234-TODAY(),""))</f>
        <v/>
      </c>
      <c r="J1234" s="4" t="str">
        <f aca="true">IF($D1234="Manual Review","Manual Review",IF($G1234="","No Data",IF(NOT(ISNUMBER($H1234)),"N/A",IF($H1234&lt;TODAY(),"Overdue",IF($H1234&lt;=TODAY()+30,"Due within 1 Month",IF($H1234&lt;=TODAY()+60,"Due within 2 Months","OK"))))))</f>
        <v>No Data</v>
      </c>
      <c r="K1234" s="13"/>
    </row>
    <row r="1235" customFormat="false" ht="15" hidden="false" customHeight="false" outlineLevel="0" collapsed="false">
      <c r="A1235" s="9" t="str">
        <f aca="false">Vessels!B15</f>
        <v>Vessel 11</v>
      </c>
      <c r="B1235" s="9" t="s">
        <v>136</v>
      </c>
      <c r="C1235" s="7" t="s">
        <v>156</v>
      </c>
      <c r="D1235" s="9" t="s">
        <v>45</v>
      </c>
      <c r="E1235" s="9" t="s">
        <v>44</v>
      </c>
      <c r="F1235" s="5" t="n">
        <v>12</v>
      </c>
      <c r="G1235" s="10"/>
      <c r="H1235" s="11" t="str">
        <f aca="false">IFERROR(IF($D1235="Manual Review","",IF($G1235="","",IF($D1235="Direct Expiry",$G1235,EDATE($G1235,$F1235)))),"Check Date")</f>
        <v/>
      </c>
      <c r="I1235" s="12" t="str">
        <f aca="true">IF($H1235="","",IF(ISNUMBER($H1235),$H1235-TODAY(),""))</f>
        <v/>
      </c>
      <c r="J1235" s="4" t="str">
        <f aca="true">IF($D1235="Manual Review","Manual Review",IF($G1235="","No Data",IF(NOT(ISNUMBER($H1235)),"N/A",IF($H1235&lt;TODAY(),"Overdue",IF($H1235&lt;=TODAY()+30,"Due within 1 Month",IF($H1235&lt;=TODAY()+60,"Due within 2 Months","OK"))))))</f>
        <v>No Data</v>
      </c>
      <c r="K1235" s="13"/>
    </row>
    <row r="1236" customFormat="false" ht="15" hidden="false" customHeight="false" outlineLevel="0" collapsed="false">
      <c r="A1236" s="9" t="str">
        <f aca="false">Vessels!B15</f>
        <v>Vessel 11</v>
      </c>
      <c r="B1236" s="9" t="s">
        <v>136</v>
      </c>
      <c r="C1236" s="7" t="s">
        <v>157</v>
      </c>
      <c r="D1236" s="9" t="s">
        <v>45</v>
      </c>
      <c r="E1236" s="9" t="s">
        <v>44</v>
      </c>
      <c r="F1236" s="5" t="n">
        <v>12</v>
      </c>
      <c r="G1236" s="10"/>
      <c r="H1236" s="11" t="str">
        <f aca="false">IFERROR(IF($D1236="Manual Review","",IF($G1236="","",IF($D1236="Direct Expiry",$G1236,EDATE($G1236,$F1236)))),"Check Date")</f>
        <v/>
      </c>
      <c r="I1236" s="12" t="str">
        <f aca="true">IF($H1236="","",IF(ISNUMBER($H1236),$H1236-TODAY(),""))</f>
        <v/>
      </c>
      <c r="J1236" s="4" t="str">
        <f aca="true">IF($D1236="Manual Review","Manual Review",IF($G1236="","No Data",IF(NOT(ISNUMBER($H1236)),"N/A",IF($H1236&lt;TODAY(),"Overdue",IF($H1236&lt;=TODAY()+30,"Due within 1 Month",IF($H1236&lt;=TODAY()+60,"Due within 2 Months","OK"))))))</f>
        <v>No Data</v>
      </c>
      <c r="K1236" s="13"/>
    </row>
    <row r="1237" customFormat="false" ht="15" hidden="false" customHeight="false" outlineLevel="0" collapsed="false">
      <c r="A1237" s="9" t="str">
        <f aca="false">Vessels!B16</f>
        <v>Vessel 12</v>
      </c>
      <c r="B1237" s="9" t="s">
        <v>42</v>
      </c>
      <c r="C1237" s="7" t="s">
        <v>43</v>
      </c>
      <c r="D1237" s="9" t="s">
        <v>45</v>
      </c>
      <c r="E1237" s="9" t="s">
        <v>44</v>
      </c>
      <c r="F1237" s="5" t="n">
        <v>12</v>
      </c>
      <c r="G1237" s="10"/>
      <c r="H1237" s="11" t="str">
        <f aca="false">IFERROR(IF($D1237="Manual Review","",IF($G1237="","",IF($D1237="Direct Expiry",$G1237,EDATE($G1237,$F1237)))),"Check Date")</f>
        <v/>
      </c>
      <c r="I1237" s="12" t="str">
        <f aca="true">IF($H1237="","",IF(ISNUMBER($H1237),$H1237-TODAY(),""))</f>
        <v/>
      </c>
      <c r="J1237" s="4" t="str">
        <f aca="true">IF($D1237="Manual Review","Manual Review",IF($G1237="","No Data",IF(NOT(ISNUMBER($H1237)),"N/A",IF($H1237&lt;TODAY(),"Overdue",IF($H1237&lt;=TODAY()+30,"Due within 1 Month",IF($H1237&lt;=TODAY()+60,"Due within 2 Months","OK"))))))</f>
        <v>No Data</v>
      </c>
      <c r="K1237" s="13"/>
    </row>
    <row r="1238" customFormat="false" ht="15" hidden="false" customHeight="false" outlineLevel="0" collapsed="false">
      <c r="A1238" s="9" t="str">
        <f aca="false">Vessels!B16</f>
        <v>Vessel 12</v>
      </c>
      <c r="B1238" s="9" t="s">
        <v>42</v>
      </c>
      <c r="C1238" s="7" t="s">
        <v>43</v>
      </c>
      <c r="D1238" s="9" t="s">
        <v>45</v>
      </c>
      <c r="E1238" s="9" t="s">
        <v>46</v>
      </c>
      <c r="F1238" s="5" t="n">
        <v>60</v>
      </c>
      <c r="G1238" s="10"/>
      <c r="H1238" s="11" t="str">
        <f aca="false">IFERROR(IF($D1238="Manual Review","",IF($G1238="","",IF($D1238="Direct Expiry",$G1238,EDATE($G1238,$F1238)))),"Check Date")</f>
        <v/>
      </c>
      <c r="I1238" s="12" t="str">
        <f aca="true">IF($H1238="","",IF(ISNUMBER($H1238),$H1238-TODAY(),""))</f>
        <v/>
      </c>
      <c r="J1238" s="4" t="str">
        <f aca="true">IF($D1238="Manual Review","Manual Review",IF($G1238="","No Data",IF(NOT(ISNUMBER($H1238)),"N/A",IF($H1238&lt;TODAY(),"Overdue",IF($H1238&lt;=TODAY()+30,"Due within 1 Month",IF($H1238&lt;=TODAY()+60,"Due within 2 Months","OK"))))))</f>
        <v>No Data</v>
      </c>
      <c r="K1238" s="13"/>
    </row>
    <row r="1239" customFormat="false" ht="15" hidden="false" customHeight="false" outlineLevel="0" collapsed="false">
      <c r="A1239" s="9" t="str">
        <f aca="false">Vessels!B16</f>
        <v>Vessel 12</v>
      </c>
      <c r="B1239" s="9" t="s">
        <v>42</v>
      </c>
      <c r="C1239" s="7" t="s">
        <v>47</v>
      </c>
      <c r="D1239" s="9" t="s">
        <v>45</v>
      </c>
      <c r="E1239" s="9" t="s">
        <v>44</v>
      </c>
      <c r="F1239" s="5" t="n">
        <v>12</v>
      </c>
      <c r="G1239" s="10"/>
      <c r="H1239" s="11" t="str">
        <f aca="false">IFERROR(IF($D1239="Manual Review","",IF($G1239="","",IF($D1239="Direct Expiry",$G1239,EDATE($G1239,$F1239)))),"Check Date")</f>
        <v/>
      </c>
      <c r="I1239" s="12" t="str">
        <f aca="true">IF($H1239="","",IF(ISNUMBER($H1239),$H1239-TODAY(),""))</f>
        <v/>
      </c>
      <c r="J1239" s="4" t="str">
        <f aca="true">IF($D1239="Manual Review","Manual Review",IF($G1239="","No Data",IF(NOT(ISNUMBER($H1239)),"N/A",IF($H1239&lt;TODAY(),"Overdue",IF($H1239&lt;=TODAY()+30,"Due within 1 Month",IF($H1239&lt;=TODAY()+60,"Due within 2 Months","OK"))))))</f>
        <v>No Data</v>
      </c>
      <c r="K1239" s="13"/>
    </row>
    <row r="1240" customFormat="false" ht="15" hidden="false" customHeight="false" outlineLevel="0" collapsed="false">
      <c r="A1240" s="9" t="str">
        <f aca="false">Vessels!B16</f>
        <v>Vessel 12</v>
      </c>
      <c r="B1240" s="9" t="s">
        <v>42</v>
      </c>
      <c r="C1240" s="7" t="s">
        <v>47</v>
      </c>
      <c r="D1240" s="9" t="s">
        <v>45</v>
      </c>
      <c r="E1240" s="9" t="s">
        <v>46</v>
      </c>
      <c r="F1240" s="5" t="n">
        <v>60</v>
      </c>
      <c r="G1240" s="10"/>
      <c r="H1240" s="11" t="str">
        <f aca="false">IFERROR(IF($D1240="Manual Review","",IF($G1240="","",IF($D1240="Direct Expiry",$G1240,EDATE($G1240,$F1240)))),"Check Date")</f>
        <v/>
      </c>
      <c r="I1240" s="12" t="str">
        <f aca="true">IF($H1240="","",IF(ISNUMBER($H1240),$H1240-TODAY(),""))</f>
        <v/>
      </c>
      <c r="J1240" s="4" t="str">
        <f aca="true">IF($D1240="Manual Review","Manual Review",IF($G1240="","No Data",IF(NOT(ISNUMBER($H1240)),"N/A",IF($H1240&lt;TODAY(),"Overdue",IF($H1240&lt;=TODAY()+30,"Due within 1 Month",IF($H1240&lt;=TODAY()+60,"Due within 2 Months","OK"))))))</f>
        <v>No Data</v>
      </c>
      <c r="K1240" s="13"/>
    </row>
    <row r="1241" customFormat="false" ht="15" hidden="false" customHeight="false" outlineLevel="0" collapsed="false">
      <c r="A1241" s="9" t="str">
        <f aca="false">Vessels!B16</f>
        <v>Vessel 12</v>
      </c>
      <c r="B1241" s="9" t="s">
        <v>42</v>
      </c>
      <c r="C1241" s="7" t="s">
        <v>48</v>
      </c>
      <c r="D1241" s="9" t="s">
        <v>45</v>
      </c>
      <c r="E1241" s="9" t="s">
        <v>44</v>
      </c>
      <c r="F1241" s="5" t="n">
        <v>12</v>
      </c>
      <c r="G1241" s="10"/>
      <c r="H1241" s="11" t="str">
        <f aca="false">IFERROR(IF($D1241="Manual Review","",IF($G1241="","",IF($D1241="Direct Expiry",$G1241,EDATE($G1241,$F1241)))),"Check Date")</f>
        <v/>
      </c>
      <c r="I1241" s="12" t="str">
        <f aca="true">IF($H1241="","",IF(ISNUMBER($H1241),$H1241-TODAY(),""))</f>
        <v/>
      </c>
      <c r="J1241" s="4" t="str">
        <f aca="true">IF($D1241="Manual Review","Manual Review",IF($G1241="","No Data",IF(NOT(ISNUMBER($H1241)),"N/A",IF($H1241&lt;TODAY(),"Overdue",IF($H1241&lt;=TODAY()+30,"Due within 1 Month",IF($H1241&lt;=TODAY()+60,"Due within 2 Months","OK"))))))</f>
        <v>No Data</v>
      </c>
      <c r="K1241" s="13"/>
    </row>
    <row r="1242" customFormat="false" ht="15" hidden="false" customHeight="false" outlineLevel="0" collapsed="false">
      <c r="A1242" s="9" t="str">
        <f aca="false">Vessels!B16</f>
        <v>Vessel 12</v>
      </c>
      <c r="B1242" s="9" t="s">
        <v>42</v>
      </c>
      <c r="C1242" s="7" t="s">
        <v>48</v>
      </c>
      <c r="D1242" s="9" t="s">
        <v>45</v>
      </c>
      <c r="E1242" s="9" t="s">
        <v>49</v>
      </c>
      <c r="F1242" s="5" t="n">
        <v>60</v>
      </c>
      <c r="G1242" s="10"/>
      <c r="H1242" s="11" t="str">
        <f aca="false">IFERROR(IF($D1242="Manual Review","",IF($G1242="","",IF($D1242="Direct Expiry",$G1242,EDATE($G1242,$F1242)))),"Check Date")</f>
        <v/>
      </c>
      <c r="I1242" s="12" t="str">
        <f aca="true">IF($H1242="","",IF(ISNUMBER($H1242),$H1242-TODAY(),""))</f>
        <v/>
      </c>
      <c r="J1242" s="4" t="str">
        <f aca="true">IF($D1242="Manual Review","Manual Review",IF($G1242="","No Data",IF(NOT(ISNUMBER($H1242)),"N/A",IF($H1242&lt;TODAY(),"Overdue",IF($H1242&lt;=TODAY()+30,"Due within 1 Month",IF($H1242&lt;=TODAY()+60,"Due within 2 Months","OK"))))))</f>
        <v>No Data</v>
      </c>
      <c r="K1242" s="13"/>
    </row>
    <row r="1243" customFormat="false" ht="15" hidden="false" customHeight="false" outlineLevel="0" collapsed="false">
      <c r="A1243" s="9" t="str">
        <f aca="false">Vessels!B16</f>
        <v>Vessel 12</v>
      </c>
      <c r="B1243" s="9" t="s">
        <v>42</v>
      </c>
      <c r="C1243" s="7" t="s">
        <v>50</v>
      </c>
      <c r="D1243" s="9" t="s">
        <v>45</v>
      </c>
      <c r="E1243" s="9" t="s">
        <v>44</v>
      </c>
      <c r="F1243" s="5" t="n">
        <v>12</v>
      </c>
      <c r="G1243" s="10"/>
      <c r="H1243" s="11" t="str">
        <f aca="false">IFERROR(IF($D1243="Manual Review","",IF($G1243="","",IF($D1243="Direct Expiry",$G1243,EDATE($G1243,$F1243)))),"Check Date")</f>
        <v/>
      </c>
      <c r="I1243" s="12" t="str">
        <f aca="true">IF($H1243="","",IF(ISNUMBER($H1243),$H1243-TODAY(),""))</f>
        <v/>
      </c>
      <c r="J1243" s="4" t="str">
        <f aca="true">IF($D1243="Manual Review","Manual Review",IF($G1243="","No Data",IF(NOT(ISNUMBER($H1243)),"N/A",IF($H1243&lt;TODAY(),"Overdue",IF($H1243&lt;=TODAY()+30,"Due within 1 Month",IF($H1243&lt;=TODAY()+60,"Due within 2 Months","OK"))))))</f>
        <v>No Data</v>
      </c>
      <c r="K1243" s="13"/>
    </row>
    <row r="1244" customFormat="false" ht="15" hidden="false" customHeight="false" outlineLevel="0" collapsed="false">
      <c r="A1244" s="9" t="str">
        <f aca="false">Vessels!B16</f>
        <v>Vessel 12</v>
      </c>
      <c r="B1244" s="9" t="s">
        <v>42</v>
      </c>
      <c r="C1244" s="7" t="s">
        <v>50</v>
      </c>
      <c r="D1244" s="9" t="s">
        <v>45</v>
      </c>
      <c r="E1244" s="9" t="s">
        <v>49</v>
      </c>
      <c r="F1244" s="5" t="n">
        <v>60</v>
      </c>
      <c r="G1244" s="10"/>
      <c r="H1244" s="11" t="str">
        <f aca="false">IFERROR(IF($D1244="Manual Review","",IF($G1244="","",IF($D1244="Direct Expiry",$G1244,EDATE($G1244,$F1244)))),"Check Date")</f>
        <v/>
      </c>
      <c r="I1244" s="12" t="str">
        <f aca="true">IF($H1244="","",IF(ISNUMBER($H1244),$H1244-TODAY(),""))</f>
        <v/>
      </c>
      <c r="J1244" s="4" t="str">
        <f aca="true">IF($D1244="Manual Review","Manual Review",IF($G1244="","No Data",IF(NOT(ISNUMBER($H1244)),"N/A",IF($H1244&lt;TODAY(),"Overdue",IF($H1244&lt;=TODAY()+30,"Due within 1 Month",IF($H1244&lt;=TODAY()+60,"Due within 2 Months","OK"))))))</f>
        <v>No Data</v>
      </c>
      <c r="K1244" s="13"/>
    </row>
    <row r="1245" customFormat="false" ht="15" hidden="false" customHeight="false" outlineLevel="0" collapsed="false">
      <c r="A1245" s="9" t="str">
        <f aca="false">Vessels!B16</f>
        <v>Vessel 12</v>
      </c>
      <c r="B1245" s="9" t="s">
        <v>42</v>
      </c>
      <c r="C1245" s="7" t="s">
        <v>51</v>
      </c>
      <c r="D1245" s="9" t="s">
        <v>45</v>
      </c>
      <c r="E1245" s="9" t="s">
        <v>46</v>
      </c>
      <c r="F1245" s="5" t="n">
        <v>60</v>
      </c>
      <c r="G1245" s="10"/>
      <c r="H1245" s="11" t="str">
        <f aca="false">IFERROR(IF($D1245="Manual Review","",IF($G1245="","",IF($D1245="Direct Expiry",$G1245,EDATE($G1245,$F1245)))),"Check Date")</f>
        <v/>
      </c>
      <c r="I1245" s="12" t="str">
        <f aca="true">IF($H1245="","",IF(ISNUMBER($H1245),$H1245-TODAY(),""))</f>
        <v/>
      </c>
      <c r="J1245" s="4" t="str">
        <f aca="true">IF($D1245="Manual Review","Manual Review",IF($G1245="","No Data",IF(NOT(ISNUMBER($H1245)),"N/A",IF($H1245&lt;TODAY(),"Overdue",IF($H1245&lt;=TODAY()+30,"Due within 1 Month",IF($H1245&lt;=TODAY()+60,"Due within 2 Months","OK"))))))</f>
        <v>No Data</v>
      </c>
      <c r="K1245" s="13"/>
    </row>
    <row r="1246" customFormat="false" ht="15" hidden="false" customHeight="false" outlineLevel="0" collapsed="false">
      <c r="A1246" s="9" t="str">
        <f aca="false">Vessels!B16</f>
        <v>Vessel 12</v>
      </c>
      <c r="B1246" s="9" t="s">
        <v>42</v>
      </c>
      <c r="C1246" s="7" t="s">
        <v>52</v>
      </c>
      <c r="D1246" s="9" t="s">
        <v>45</v>
      </c>
      <c r="E1246" s="9" t="s">
        <v>46</v>
      </c>
      <c r="F1246" s="5" t="n">
        <v>60</v>
      </c>
      <c r="G1246" s="10"/>
      <c r="H1246" s="11" t="str">
        <f aca="false">IFERROR(IF($D1246="Manual Review","",IF($G1246="","",IF($D1246="Direct Expiry",$G1246,EDATE($G1246,$F1246)))),"Check Date")</f>
        <v/>
      </c>
      <c r="I1246" s="12" t="str">
        <f aca="true">IF($H1246="","",IF(ISNUMBER($H1246),$H1246-TODAY(),""))</f>
        <v/>
      </c>
      <c r="J1246" s="4" t="str">
        <f aca="true">IF($D1246="Manual Review","Manual Review",IF($G1246="","No Data",IF(NOT(ISNUMBER($H1246)),"N/A",IF($H1246&lt;TODAY(),"Overdue",IF($H1246&lt;=TODAY()+30,"Due within 1 Month",IF($H1246&lt;=TODAY()+60,"Due within 2 Months","OK"))))))</f>
        <v>No Data</v>
      </c>
      <c r="K1246" s="13"/>
    </row>
    <row r="1247" customFormat="false" ht="15" hidden="false" customHeight="false" outlineLevel="0" collapsed="false">
      <c r="A1247" s="9" t="str">
        <f aca="false">Vessels!B16</f>
        <v>Vessel 12</v>
      </c>
      <c r="B1247" s="9" t="s">
        <v>42</v>
      </c>
      <c r="C1247" s="7" t="s">
        <v>53</v>
      </c>
      <c r="D1247" s="9" t="s">
        <v>45</v>
      </c>
      <c r="E1247" s="9" t="s">
        <v>46</v>
      </c>
      <c r="F1247" s="5" t="n">
        <v>60</v>
      </c>
      <c r="G1247" s="10"/>
      <c r="H1247" s="11" t="str">
        <f aca="false">IFERROR(IF($D1247="Manual Review","",IF($G1247="","",IF($D1247="Direct Expiry",$G1247,EDATE($G1247,$F1247)))),"Check Date")</f>
        <v/>
      </c>
      <c r="I1247" s="12" t="str">
        <f aca="true">IF($H1247="","",IF(ISNUMBER($H1247),$H1247-TODAY(),""))</f>
        <v/>
      </c>
      <c r="J1247" s="4" t="str">
        <f aca="true">IF($D1247="Manual Review","Manual Review",IF($G1247="","No Data",IF(NOT(ISNUMBER($H1247)),"N/A",IF($H1247&lt;TODAY(),"Overdue",IF($H1247&lt;=TODAY()+30,"Due within 1 Month",IF($H1247&lt;=TODAY()+60,"Due within 2 Months","OK"))))))</f>
        <v>No Data</v>
      </c>
      <c r="K1247" s="13"/>
    </row>
    <row r="1248" customFormat="false" ht="15" hidden="false" customHeight="false" outlineLevel="0" collapsed="false">
      <c r="A1248" s="9" t="str">
        <f aca="false">Vessels!B16</f>
        <v>Vessel 12</v>
      </c>
      <c r="B1248" s="9" t="s">
        <v>42</v>
      </c>
      <c r="C1248" s="7" t="s">
        <v>54</v>
      </c>
      <c r="D1248" s="9" t="s">
        <v>45</v>
      </c>
      <c r="E1248" s="9" t="s">
        <v>46</v>
      </c>
      <c r="F1248" s="5" t="n">
        <v>60</v>
      </c>
      <c r="G1248" s="10"/>
      <c r="H1248" s="11" t="str">
        <f aca="false">IFERROR(IF($D1248="Manual Review","",IF($G1248="","",IF($D1248="Direct Expiry",$G1248,EDATE($G1248,$F1248)))),"Check Date")</f>
        <v/>
      </c>
      <c r="I1248" s="12" t="str">
        <f aca="true">IF($H1248="","",IF(ISNUMBER($H1248),$H1248-TODAY(),""))</f>
        <v/>
      </c>
      <c r="J1248" s="4" t="str">
        <f aca="true">IF($D1248="Manual Review","Manual Review",IF($G1248="","No Data",IF(NOT(ISNUMBER($H1248)),"N/A",IF($H1248&lt;TODAY(),"Overdue",IF($H1248&lt;=TODAY()+30,"Due within 1 Month",IF($H1248&lt;=TODAY()+60,"Due within 2 Months","OK"))))))</f>
        <v>No Data</v>
      </c>
      <c r="K1248" s="13"/>
    </row>
    <row r="1249" customFormat="false" ht="15" hidden="false" customHeight="false" outlineLevel="0" collapsed="false">
      <c r="A1249" s="9" t="str">
        <f aca="false">Vessels!B16</f>
        <v>Vessel 12</v>
      </c>
      <c r="B1249" s="9" t="s">
        <v>42</v>
      </c>
      <c r="C1249" s="7" t="s">
        <v>55</v>
      </c>
      <c r="D1249" s="9" t="s">
        <v>45</v>
      </c>
      <c r="E1249" s="9" t="s">
        <v>46</v>
      </c>
      <c r="F1249" s="5" t="n">
        <v>60</v>
      </c>
      <c r="G1249" s="10"/>
      <c r="H1249" s="11" t="str">
        <f aca="false">IFERROR(IF($D1249="Manual Review","",IF($G1249="","",IF($D1249="Direct Expiry",$G1249,EDATE($G1249,$F1249)))),"Check Date")</f>
        <v/>
      </c>
      <c r="I1249" s="12" t="str">
        <f aca="true">IF($H1249="","",IF(ISNUMBER($H1249),$H1249-TODAY(),""))</f>
        <v/>
      </c>
      <c r="J1249" s="4" t="str">
        <f aca="true">IF($D1249="Manual Review","Manual Review",IF($G1249="","No Data",IF(NOT(ISNUMBER($H1249)),"N/A",IF($H1249&lt;TODAY(),"Overdue",IF($H1249&lt;=TODAY()+30,"Due within 1 Month",IF($H1249&lt;=TODAY()+60,"Due within 2 Months","OK"))))))</f>
        <v>No Data</v>
      </c>
      <c r="K1249" s="13"/>
    </row>
    <row r="1250" customFormat="false" ht="15" hidden="false" customHeight="false" outlineLevel="0" collapsed="false">
      <c r="A1250" s="9" t="str">
        <f aca="false">Vessels!B16</f>
        <v>Vessel 12</v>
      </c>
      <c r="B1250" s="9" t="s">
        <v>42</v>
      </c>
      <c r="C1250" s="7" t="s">
        <v>56</v>
      </c>
      <c r="D1250" s="9" t="s">
        <v>45</v>
      </c>
      <c r="E1250" s="9" t="s">
        <v>46</v>
      </c>
      <c r="F1250" s="5" t="n">
        <v>60</v>
      </c>
      <c r="G1250" s="10"/>
      <c r="H1250" s="11" t="str">
        <f aca="false">IFERROR(IF($D1250="Manual Review","",IF($G1250="","",IF($D1250="Direct Expiry",$G1250,EDATE($G1250,$F1250)))),"Check Date")</f>
        <v/>
      </c>
      <c r="I1250" s="12" t="str">
        <f aca="true">IF($H1250="","",IF(ISNUMBER($H1250),$H1250-TODAY(),""))</f>
        <v/>
      </c>
      <c r="J1250" s="4" t="str">
        <f aca="true">IF($D1250="Manual Review","Manual Review",IF($G1250="","No Data",IF(NOT(ISNUMBER($H1250)),"N/A",IF($H1250&lt;TODAY(),"Overdue",IF($H1250&lt;=TODAY()+30,"Due within 1 Month",IF($H1250&lt;=TODAY()+60,"Due within 2 Months","OK"))))))</f>
        <v>No Data</v>
      </c>
      <c r="K1250" s="13"/>
    </row>
    <row r="1251" customFormat="false" ht="15" hidden="false" customHeight="false" outlineLevel="0" collapsed="false">
      <c r="A1251" s="9" t="str">
        <f aca="false">Vessels!B16</f>
        <v>Vessel 12</v>
      </c>
      <c r="B1251" s="9" t="s">
        <v>42</v>
      </c>
      <c r="C1251" s="7" t="s">
        <v>57</v>
      </c>
      <c r="D1251" s="9" t="s">
        <v>59</v>
      </c>
      <c r="E1251" s="9" t="s">
        <v>58</v>
      </c>
      <c r="F1251" s="5"/>
      <c r="G1251" s="10"/>
      <c r="H1251" s="11" t="str">
        <f aca="false">IFERROR(IF($D1251="Manual Review","",IF($G1251="","",IF($D1251="Direct Expiry",$G1251,EDATE($G1251,$F1251)))),"Check Date")</f>
        <v/>
      </c>
      <c r="I1251" s="12" t="str">
        <f aca="true">IF($H1251="","",IF(ISNUMBER($H1251),$H1251-TODAY(),""))</f>
        <v/>
      </c>
      <c r="J1251" s="4" t="str">
        <f aca="true">IF($D1251="Manual Review","Manual Review",IF($G1251="","No Data",IF(NOT(ISNUMBER($H1251)),"N/A",IF($H1251&lt;TODAY(),"Overdue",IF($H1251&lt;=TODAY()+30,"Due within 1 Month",IF($H1251&lt;=TODAY()+60,"Due within 2 Months","OK"))))))</f>
        <v>No Data</v>
      </c>
      <c r="K1251" s="13"/>
    </row>
    <row r="1252" customFormat="false" ht="15" hidden="false" customHeight="false" outlineLevel="0" collapsed="false">
      <c r="A1252" s="9" t="str">
        <f aca="false">Vessels!B16</f>
        <v>Vessel 12</v>
      </c>
      <c r="B1252" s="9" t="s">
        <v>42</v>
      </c>
      <c r="C1252" s="7" t="s">
        <v>60</v>
      </c>
      <c r="D1252" s="9" t="s">
        <v>45</v>
      </c>
      <c r="E1252" s="9" t="s">
        <v>44</v>
      </c>
      <c r="F1252" s="5" t="n">
        <v>12</v>
      </c>
      <c r="G1252" s="10"/>
      <c r="H1252" s="11" t="str">
        <f aca="false">IFERROR(IF($D1252="Manual Review","",IF($G1252="","",IF($D1252="Direct Expiry",$G1252,EDATE($G1252,$F1252)))),"Check Date")</f>
        <v/>
      </c>
      <c r="I1252" s="12" t="str">
        <f aca="true">IF($H1252="","",IF(ISNUMBER($H1252),$H1252-TODAY(),""))</f>
        <v/>
      </c>
      <c r="J1252" s="4" t="str">
        <f aca="true">IF($D1252="Manual Review","Manual Review",IF($G1252="","No Data",IF(NOT(ISNUMBER($H1252)),"N/A",IF($H1252&lt;TODAY(),"Overdue",IF($H1252&lt;=TODAY()+30,"Due within 1 Month",IF($H1252&lt;=TODAY()+60,"Due within 2 Months","OK"))))))</f>
        <v>No Data</v>
      </c>
      <c r="K1252" s="13"/>
    </row>
    <row r="1253" customFormat="false" ht="15" hidden="false" customHeight="false" outlineLevel="0" collapsed="false">
      <c r="A1253" s="9" t="str">
        <f aca="false">Vessels!B16</f>
        <v>Vessel 12</v>
      </c>
      <c r="B1253" s="9" t="s">
        <v>42</v>
      </c>
      <c r="C1253" s="7" t="s">
        <v>60</v>
      </c>
      <c r="D1253" s="9" t="s">
        <v>45</v>
      </c>
      <c r="E1253" s="9" t="s">
        <v>46</v>
      </c>
      <c r="F1253" s="5" t="n">
        <v>60</v>
      </c>
      <c r="G1253" s="10"/>
      <c r="H1253" s="11" t="str">
        <f aca="false">IFERROR(IF($D1253="Manual Review","",IF($G1253="","",IF($D1253="Direct Expiry",$G1253,EDATE($G1253,$F1253)))),"Check Date")</f>
        <v/>
      </c>
      <c r="I1253" s="12" t="str">
        <f aca="true">IF($H1253="","",IF(ISNUMBER($H1253),$H1253-TODAY(),""))</f>
        <v/>
      </c>
      <c r="J1253" s="4" t="str">
        <f aca="true">IF($D1253="Manual Review","Manual Review",IF($G1253="","No Data",IF(NOT(ISNUMBER($H1253)),"N/A",IF($H1253&lt;TODAY(),"Overdue",IF($H1253&lt;=TODAY()+30,"Due within 1 Month",IF($H1253&lt;=TODAY()+60,"Due within 2 Months","OK"))))))</f>
        <v>No Data</v>
      </c>
      <c r="K1253" s="13"/>
    </row>
    <row r="1254" customFormat="false" ht="15" hidden="false" customHeight="false" outlineLevel="0" collapsed="false">
      <c r="A1254" s="9" t="str">
        <f aca="false">Vessels!B16</f>
        <v>Vessel 12</v>
      </c>
      <c r="B1254" s="9" t="s">
        <v>42</v>
      </c>
      <c r="C1254" s="7" t="s">
        <v>61</v>
      </c>
      <c r="D1254" s="9" t="s">
        <v>45</v>
      </c>
      <c r="E1254" s="9" t="s">
        <v>44</v>
      </c>
      <c r="F1254" s="5" t="n">
        <v>12</v>
      </c>
      <c r="G1254" s="10"/>
      <c r="H1254" s="11" t="str">
        <f aca="false">IFERROR(IF($D1254="Manual Review","",IF($G1254="","",IF($D1254="Direct Expiry",$G1254,EDATE($G1254,$F1254)))),"Check Date")</f>
        <v/>
      </c>
      <c r="I1254" s="12" t="str">
        <f aca="true">IF($H1254="","",IF(ISNUMBER($H1254),$H1254-TODAY(),""))</f>
        <v/>
      </c>
      <c r="J1254" s="4" t="str">
        <f aca="true">IF($D1254="Manual Review","Manual Review",IF($G1254="","No Data",IF(NOT(ISNUMBER($H1254)),"N/A",IF($H1254&lt;TODAY(),"Overdue",IF($H1254&lt;=TODAY()+30,"Due within 1 Month",IF($H1254&lt;=TODAY()+60,"Due within 2 Months","OK"))))))</f>
        <v>No Data</v>
      </c>
      <c r="K1254" s="13"/>
    </row>
    <row r="1255" customFormat="false" ht="15" hidden="false" customHeight="false" outlineLevel="0" collapsed="false">
      <c r="A1255" s="9" t="str">
        <f aca="false">Vessels!B16</f>
        <v>Vessel 12</v>
      </c>
      <c r="B1255" s="9" t="s">
        <v>42</v>
      </c>
      <c r="C1255" s="7" t="s">
        <v>61</v>
      </c>
      <c r="D1255" s="9" t="s">
        <v>45</v>
      </c>
      <c r="E1255" s="9" t="s">
        <v>46</v>
      </c>
      <c r="F1255" s="5" t="n">
        <v>60</v>
      </c>
      <c r="G1255" s="10"/>
      <c r="H1255" s="11" t="str">
        <f aca="false">IFERROR(IF($D1255="Manual Review","",IF($G1255="","",IF($D1255="Direct Expiry",$G1255,EDATE($G1255,$F1255)))),"Check Date")</f>
        <v/>
      </c>
      <c r="I1255" s="12" t="str">
        <f aca="true">IF($H1255="","",IF(ISNUMBER($H1255),$H1255-TODAY(),""))</f>
        <v/>
      </c>
      <c r="J1255" s="4" t="str">
        <f aca="true">IF($D1255="Manual Review","Manual Review",IF($G1255="","No Data",IF(NOT(ISNUMBER($H1255)),"N/A",IF($H1255&lt;TODAY(),"Overdue",IF($H1255&lt;=TODAY()+30,"Due within 1 Month",IF($H1255&lt;=TODAY()+60,"Due within 2 Months","OK"))))))</f>
        <v>No Data</v>
      </c>
      <c r="K1255" s="13"/>
    </row>
    <row r="1256" customFormat="false" ht="15" hidden="false" customHeight="false" outlineLevel="0" collapsed="false">
      <c r="A1256" s="9" t="str">
        <f aca="false">Vessels!B16</f>
        <v>Vessel 12</v>
      </c>
      <c r="B1256" s="9" t="s">
        <v>42</v>
      </c>
      <c r="C1256" s="7" t="s">
        <v>62</v>
      </c>
      <c r="D1256" s="9" t="s">
        <v>45</v>
      </c>
      <c r="E1256" s="9" t="s">
        <v>44</v>
      </c>
      <c r="F1256" s="5" t="n">
        <v>12</v>
      </c>
      <c r="G1256" s="10"/>
      <c r="H1256" s="11" t="str">
        <f aca="false">IFERROR(IF($D1256="Manual Review","",IF($G1256="","",IF($D1256="Direct Expiry",$G1256,EDATE($G1256,$F1256)))),"Check Date")</f>
        <v/>
      </c>
      <c r="I1256" s="12" t="str">
        <f aca="true">IF($H1256="","",IF(ISNUMBER($H1256),$H1256-TODAY(),""))</f>
        <v/>
      </c>
      <c r="J1256" s="4" t="str">
        <f aca="true">IF($D1256="Manual Review","Manual Review",IF($G1256="","No Data",IF(NOT(ISNUMBER($H1256)),"N/A",IF($H1256&lt;TODAY(),"Overdue",IF($H1256&lt;=TODAY()+30,"Due within 1 Month",IF($H1256&lt;=TODAY()+60,"Due within 2 Months","OK"))))))</f>
        <v>No Data</v>
      </c>
      <c r="K1256" s="13"/>
    </row>
    <row r="1257" customFormat="false" ht="15" hidden="false" customHeight="false" outlineLevel="0" collapsed="false">
      <c r="A1257" s="9" t="str">
        <f aca="false">Vessels!B16</f>
        <v>Vessel 12</v>
      </c>
      <c r="B1257" s="9" t="s">
        <v>42</v>
      </c>
      <c r="C1257" s="7" t="s">
        <v>62</v>
      </c>
      <c r="D1257" s="9" t="s">
        <v>45</v>
      </c>
      <c r="E1257" s="9" t="s">
        <v>49</v>
      </c>
      <c r="F1257" s="5" t="n">
        <v>60</v>
      </c>
      <c r="G1257" s="10"/>
      <c r="H1257" s="11" t="str">
        <f aca="false">IFERROR(IF($D1257="Manual Review","",IF($G1257="","",IF($D1257="Direct Expiry",$G1257,EDATE($G1257,$F1257)))),"Check Date")</f>
        <v/>
      </c>
      <c r="I1257" s="12" t="str">
        <f aca="true">IF($H1257="","",IF(ISNUMBER($H1257),$H1257-TODAY(),""))</f>
        <v/>
      </c>
      <c r="J1257" s="4" t="str">
        <f aca="true">IF($D1257="Manual Review","Manual Review",IF($G1257="","No Data",IF(NOT(ISNUMBER($H1257)),"N/A",IF($H1257&lt;TODAY(),"Overdue",IF($H1257&lt;=TODAY()+30,"Due within 1 Month",IF($H1257&lt;=TODAY()+60,"Due within 2 Months","OK"))))))</f>
        <v>No Data</v>
      </c>
      <c r="K1257" s="13"/>
    </row>
    <row r="1258" customFormat="false" ht="15" hidden="false" customHeight="false" outlineLevel="0" collapsed="false">
      <c r="A1258" s="9" t="str">
        <f aca="false">Vessels!B16</f>
        <v>Vessel 12</v>
      </c>
      <c r="B1258" s="9" t="s">
        <v>42</v>
      </c>
      <c r="C1258" s="7" t="s">
        <v>63</v>
      </c>
      <c r="D1258" s="9" t="s">
        <v>45</v>
      </c>
      <c r="E1258" s="9" t="s">
        <v>44</v>
      </c>
      <c r="F1258" s="5" t="n">
        <v>12</v>
      </c>
      <c r="G1258" s="10"/>
      <c r="H1258" s="11" t="str">
        <f aca="false">IFERROR(IF($D1258="Manual Review","",IF($G1258="","",IF($D1258="Direct Expiry",$G1258,EDATE($G1258,$F1258)))),"Check Date")</f>
        <v/>
      </c>
      <c r="I1258" s="12" t="str">
        <f aca="true">IF($H1258="","",IF(ISNUMBER($H1258),$H1258-TODAY(),""))</f>
        <v/>
      </c>
      <c r="J1258" s="4" t="str">
        <f aca="true">IF($D1258="Manual Review","Manual Review",IF($G1258="","No Data",IF(NOT(ISNUMBER($H1258)),"N/A",IF($H1258&lt;TODAY(),"Overdue",IF($H1258&lt;=TODAY()+30,"Due within 1 Month",IF($H1258&lt;=TODAY()+60,"Due within 2 Months","OK"))))))</f>
        <v>No Data</v>
      </c>
      <c r="K1258" s="13"/>
    </row>
    <row r="1259" customFormat="false" ht="15" hidden="false" customHeight="false" outlineLevel="0" collapsed="false">
      <c r="A1259" s="9" t="str">
        <f aca="false">Vessels!B16</f>
        <v>Vessel 12</v>
      </c>
      <c r="B1259" s="9" t="s">
        <v>42</v>
      </c>
      <c r="C1259" s="7" t="s">
        <v>63</v>
      </c>
      <c r="D1259" s="9" t="s">
        <v>45</v>
      </c>
      <c r="E1259" s="9" t="s">
        <v>49</v>
      </c>
      <c r="F1259" s="5" t="n">
        <v>60</v>
      </c>
      <c r="G1259" s="10"/>
      <c r="H1259" s="11" t="str">
        <f aca="false">IFERROR(IF($D1259="Manual Review","",IF($G1259="","",IF($D1259="Direct Expiry",$G1259,EDATE($G1259,$F1259)))),"Check Date")</f>
        <v/>
      </c>
      <c r="I1259" s="12" t="str">
        <f aca="true">IF($H1259="","",IF(ISNUMBER($H1259),$H1259-TODAY(),""))</f>
        <v/>
      </c>
      <c r="J1259" s="4" t="str">
        <f aca="true">IF($D1259="Manual Review","Manual Review",IF($G1259="","No Data",IF(NOT(ISNUMBER($H1259)),"N/A",IF($H1259&lt;TODAY(),"Overdue",IF($H1259&lt;=TODAY()+30,"Due within 1 Month",IF($H1259&lt;=TODAY()+60,"Due within 2 Months","OK"))))))</f>
        <v>No Data</v>
      </c>
      <c r="K1259" s="13"/>
    </row>
    <row r="1260" customFormat="false" ht="15" hidden="false" customHeight="false" outlineLevel="0" collapsed="false">
      <c r="A1260" s="9" t="str">
        <f aca="false">Vessels!B16</f>
        <v>Vessel 12</v>
      </c>
      <c r="B1260" s="9" t="s">
        <v>42</v>
      </c>
      <c r="C1260" s="7" t="s">
        <v>64</v>
      </c>
      <c r="D1260" s="9" t="s">
        <v>45</v>
      </c>
      <c r="E1260" s="9" t="s">
        <v>46</v>
      </c>
      <c r="F1260" s="5" t="n">
        <v>60</v>
      </c>
      <c r="G1260" s="10"/>
      <c r="H1260" s="11" t="str">
        <f aca="false">IFERROR(IF($D1260="Manual Review","",IF($G1260="","",IF($D1260="Direct Expiry",$G1260,EDATE($G1260,$F1260)))),"Check Date")</f>
        <v/>
      </c>
      <c r="I1260" s="12" t="str">
        <f aca="true">IF($H1260="","",IF(ISNUMBER($H1260),$H1260-TODAY(),""))</f>
        <v/>
      </c>
      <c r="J1260" s="4" t="str">
        <f aca="true">IF($D1260="Manual Review","Manual Review",IF($G1260="","No Data",IF(NOT(ISNUMBER($H1260)),"N/A",IF($H1260&lt;TODAY(),"Overdue",IF($H1260&lt;=TODAY()+30,"Due within 1 Month",IF($H1260&lt;=TODAY()+60,"Due within 2 Months","OK"))))))</f>
        <v>No Data</v>
      </c>
      <c r="K1260" s="13"/>
    </row>
    <row r="1261" customFormat="false" ht="15" hidden="false" customHeight="false" outlineLevel="0" collapsed="false">
      <c r="A1261" s="9" t="str">
        <f aca="false">Vessels!B16</f>
        <v>Vessel 12</v>
      </c>
      <c r="B1261" s="9" t="s">
        <v>42</v>
      </c>
      <c r="C1261" s="7" t="s">
        <v>65</v>
      </c>
      <c r="D1261" s="9" t="s">
        <v>45</v>
      </c>
      <c r="E1261" s="9" t="s">
        <v>46</v>
      </c>
      <c r="F1261" s="5" t="n">
        <v>60</v>
      </c>
      <c r="G1261" s="10"/>
      <c r="H1261" s="11" t="str">
        <f aca="false">IFERROR(IF($D1261="Manual Review","",IF($G1261="","",IF($D1261="Direct Expiry",$G1261,EDATE($G1261,$F1261)))),"Check Date")</f>
        <v/>
      </c>
      <c r="I1261" s="12" t="str">
        <f aca="true">IF($H1261="","",IF(ISNUMBER($H1261),$H1261-TODAY(),""))</f>
        <v/>
      </c>
      <c r="J1261" s="4" t="str">
        <f aca="true">IF($D1261="Manual Review","Manual Review",IF($G1261="","No Data",IF(NOT(ISNUMBER($H1261)),"N/A",IF($H1261&lt;TODAY(),"Overdue",IF($H1261&lt;=TODAY()+30,"Due within 1 Month",IF($H1261&lt;=TODAY()+60,"Due within 2 Months","OK"))))))</f>
        <v>No Data</v>
      </c>
      <c r="K1261" s="13"/>
    </row>
    <row r="1262" customFormat="false" ht="15" hidden="false" customHeight="false" outlineLevel="0" collapsed="false">
      <c r="A1262" s="9" t="str">
        <f aca="false">Vessels!B16</f>
        <v>Vessel 12</v>
      </c>
      <c r="B1262" s="9" t="s">
        <v>42</v>
      </c>
      <c r="C1262" s="7" t="s">
        <v>66</v>
      </c>
      <c r="D1262" s="9" t="s">
        <v>45</v>
      </c>
      <c r="E1262" s="9" t="s">
        <v>46</v>
      </c>
      <c r="F1262" s="5" t="n">
        <v>60</v>
      </c>
      <c r="G1262" s="10"/>
      <c r="H1262" s="11" t="str">
        <f aca="false">IFERROR(IF($D1262="Manual Review","",IF($G1262="","",IF($D1262="Direct Expiry",$G1262,EDATE($G1262,$F1262)))),"Check Date")</f>
        <v/>
      </c>
      <c r="I1262" s="12" t="str">
        <f aca="true">IF($H1262="","",IF(ISNUMBER($H1262),$H1262-TODAY(),""))</f>
        <v/>
      </c>
      <c r="J1262" s="4" t="str">
        <f aca="true">IF($D1262="Manual Review","Manual Review",IF($G1262="","No Data",IF(NOT(ISNUMBER($H1262)),"N/A",IF($H1262&lt;TODAY(),"Overdue",IF($H1262&lt;=TODAY()+30,"Due within 1 Month",IF($H1262&lt;=TODAY()+60,"Due within 2 Months","OK"))))))</f>
        <v>No Data</v>
      </c>
      <c r="K1262" s="13"/>
    </row>
    <row r="1263" customFormat="false" ht="15" hidden="false" customHeight="false" outlineLevel="0" collapsed="false">
      <c r="A1263" s="9" t="str">
        <f aca="false">Vessels!B16</f>
        <v>Vessel 12</v>
      </c>
      <c r="B1263" s="9" t="s">
        <v>42</v>
      </c>
      <c r="C1263" s="7" t="s">
        <v>67</v>
      </c>
      <c r="D1263" s="9" t="s">
        <v>45</v>
      </c>
      <c r="E1263" s="9" t="s">
        <v>46</v>
      </c>
      <c r="F1263" s="5" t="n">
        <v>60</v>
      </c>
      <c r="G1263" s="10"/>
      <c r="H1263" s="11" t="str">
        <f aca="false">IFERROR(IF($D1263="Manual Review","",IF($G1263="","",IF($D1263="Direct Expiry",$G1263,EDATE($G1263,$F1263)))),"Check Date")</f>
        <v/>
      </c>
      <c r="I1263" s="12" t="str">
        <f aca="true">IF($H1263="","",IF(ISNUMBER($H1263),$H1263-TODAY(),""))</f>
        <v/>
      </c>
      <c r="J1263" s="4" t="str">
        <f aca="true">IF($D1263="Manual Review","Manual Review",IF($G1263="","No Data",IF(NOT(ISNUMBER($H1263)),"N/A",IF($H1263&lt;TODAY(),"Overdue",IF($H1263&lt;=TODAY()+30,"Due within 1 Month",IF($H1263&lt;=TODAY()+60,"Due within 2 Months","OK"))))))</f>
        <v>No Data</v>
      </c>
      <c r="K1263" s="13"/>
    </row>
    <row r="1264" customFormat="false" ht="15" hidden="false" customHeight="false" outlineLevel="0" collapsed="false">
      <c r="A1264" s="9" t="str">
        <f aca="false">Vessels!B16</f>
        <v>Vessel 12</v>
      </c>
      <c r="B1264" s="9" t="s">
        <v>42</v>
      </c>
      <c r="C1264" s="7" t="s">
        <v>68</v>
      </c>
      <c r="D1264" s="9" t="s">
        <v>45</v>
      </c>
      <c r="E1264" s="9" t="s">
        <v>46</v>
      </c>
      <c r="F1264" s="5" t="n">
        <v>60</v>
      </c>
      <c r="G1264" s="10"/>
      <c r="H1264" s="11" t="str">
        <f aca="false">IFERROR(IF($D1264="Manual Review","",IF($G1264="","",IF($D1264="Direct Expiry",$G1264,EDATE($G1264,$F1264)))),"Check Date")</f>
        <v/>
      </c>
      <c r="I1264" s="12" t="str">
        <f aca="true">IF($H1264="","",IF(ISNUMBER($H1264),$H1264-TODAY(),""))</f>
        <v/>
      </c>
      <c r="J1264" s="4" t="str">
        <f aca="true">IF($D1264="Manual Review","Manual Review",IF($G1264="","No Data",IF(NOT(ISNUMBER($H1264)),"N/A",IF($H1264&lt;TODAY(),"Overdue",IF($H1264&lt;=TODAY()+30,"Due within 1 Month",IF($H1264&lt;=TODAY()+60,"Due within 2 Months","OK"))))))</f>
        <v>No Data</v>
      </c>
      <c r="K1264" s="13"/>
    </row>
    <row r="1265" customFormat="false" ht="15" hidden="false" customHeight="false" outlineLevel="0" collapsed="false">
      <c r="A1265" s="9" t="str">
        <f aca="false">Vessels!B16</f>
        <v>Vessel 12</v>
      </c>
      <c r="B1265" s="9" t="s">
        <v>42</v>
      </c>
      <c r="C1265" s="7" t="s">
        <v>69</v>
      </c>
      <c r="D1265" s="9" t="s">
        <v>45</v>
      </c>
      <c r="E1265" s="9" t="s">
        <v>46</v>
      </c>
      <c r="F1265" s="5" t="n">
        <v>60</v>
      </c>
      <c r="G1265" s="10"/>
      <c r="H1265" s="11" t="str">
        <f aca="false">IFERROR(IF($D1265="Manual Review","",IF($G1265="","",IF($D1265="Direct Expiry",$G1265,EDATE($G1265,$F1265)))),"Check Date")</f>
        <v/>
      </c>
      <c r="I1265" s="12" t="str">
        <f aca="true">IF($H1265="","",IF(ISNUMBER($H1265),$H1265-TODAY(),""))</f>
        <v/>
      </c>
      <c r="J1265" s="4" t="str">
        <f aca="true">IF($D1265="Manual Review","Manual Review",IF($G1265="","No Data",IF(NOT(ISNUMBER($H1265)),"N/A",IF($H1265&lt;TODAY(),"Overdue",IF($H1265&lt;=TODAY()+30,"Due within 1 Month",IF($H1265&lt;=TODAY()+60,"Due within 2 Months","OK"))))))</f>
        <v>No Data</v>
      </c>
      <c r="K1265" s="13"/>
    </row>
    <row r="1266" customFormat="false" ht="15" hidden="false" customHeight="false" outlineLevel="0" collapsed="false">
      <c r="A1266" s="9" t="str">
        <f aca="false">Vessels!B16</f>
        <v>Vessel 12</v>
      </c>
      <c r="B1266" s="9" t="s">
        <v>42</v>
      </c>
      <c r="C1266" s="7" t="s">
        <v>70</v>
      </c>
      <c r="D1266" s="9" t="s">
        <v>59</v>
      </c>
      <c r="E1266" s="9" t="s">
        <v>58</v>
      </c>
      <c r="F1266" s="5"/>
      <c r="G1266" s="10"/>
      <c r="H1266" s="11" t="str">
        <f aca="false">IFERROR(IF($D1266="Manual Review","",IF($G1266="","",IF($D1266="Direct Expiry",$G1266,EDATE($G1266,$F1266)))),"Check Date")</f>
        <v/>
      </c>
      <c r="I1266" s="12" t="str">
        <f aca="true">IF($H1266="","",IF(ISNUMBER($H1266),$H1266-TODAY(),""))</f>
        <v/>
      </c>
      <c r="J1266" s="4" t="str">
        <f aca="true">IF($D1266="Manual Review","Manual Review",IF($G1266="","No Data",IF(NOT(ISNUMBER($H1266)),"N/A",IF($H1266&lt;TODAY(),"Overdue",IF($H1266&lt;=TODAY()+30,"Due within 1 Month",IF($H1266&lt;=TODAY()+60,"Due within 2 Months","OK"))))))</f>
        <v>No Data</v>
      </c>
      <c r="K1266" s="13"/>
    </row>
    <row r="1267" customFormat="false" ht="15" hidden="false" customHeight="false" outlineLevel="0" collapsed="false">
      <c r="A1267" s="9" t="str">
        <f aca="false">Vessels!B16</f>
        <v>Vessel 12</v>
      </c>
      <c r="B1267" s="9" t="s">
        <v>42</v>
      </c>
      <c r="C1267" s="7" t="s">
        <v>71</v>
      </c>
      <c r="D1267" s="9" t="s">
        <v>45</v>
      </c>
      <c r="E1267" s="9" t="s">
        <v>44</v>
      </c>
      <c r="F1267" s="5" t="n">
        <v>12</v>
      </c>
      <c r="G1267" s="10"/>
      <c r="H1267" s="11" t="str">
        <f aca="false">IFERROR(IF($D1267="Manual Review","",IF($G1267="","",IF($D1267="Direct Expiry",$G1267,EDATE($G1267,$F1267)))),"Check Date")</f>
        <v/>
      </c>
      <c r="I1267" s="12" t="str">
        <f aca="true">IF($H1267="","",IF(ISNUMBER($H1267),$H1267-TODAY(),""))</f>
        <v/>
      </c>
      <c r="J1267" s="4" t="str">
        <f aca="true">IF($D1267="Manual Review","Manual Review",IF($G1267="","No Data",IF(NOT(ISNUMBER($H1267)),"N/A",IF($H1267&lt;TODAY(),"Overdue",IF($H1267&lt;=TODAY()+30,"Due within 1 Month",IF($H1267&lt;=TODAY()+60,"Due within 2 Months","OK"))))))</f>
        <v>No Data</v>
      </c>
      <c r="K1267" s="13"/>
    </row>
    <row r="1268" customFormat="false" ht="15" hidden="false" customHeight="false" outlineLevel="0" collapsed="false">
      <c r="A1268" s="9" t="str">
        <f aca="false">Vessels!B16</f>
        <v>Vessel 12</v>
      </c>
      <c r="B1268" s="9" t="s">
        <v>42</v>
      </c>
      <c r="C1268" s="7" t="s">
        <v>72</v>
      </c>
      <c r="D1268" s="9" t="s">
        <v>59</v>
      </c>
      <c r="E1268" s="9" t="s">
        <v>58</v>
      </c>
      <c r="F1268" s="5"/>
      <c r="G1268" s="10"/>
      <c r="H1268" s="11" t="str">
        <f aca="false">IFERROR(IF($D1268="Manual Review","",IF($G1268="","",IF($D1268="Direct Expiry",$G1268,EDATE($G1268,$F1268)))),"Check Date")</f>
        <v/>
      </c>
      <c r="I1268" s="12" t="str">
        <f aca="true">IF($H1268="","",IF(ISNUMBER($H1268),$H1268-TODAY(),""))</f>
        <v/>
      </c>
      <c r="J1268" s="4" t="str">
        <f aca="true">IF($D1268="Manual Review","Manual Review",IF($G1268="","No Data",IF(NOT(ISNUMBER($H1268)),"N/A",IF($H1268&lt;TODAY(),"Overdue",IF($H1268&lt;=TODAY()+30,"Due within 1 Month",IF($H1268&lt;=TODAY()+60,"Due within 2 Months","OK"))))))</f>
        <v>No Data</v>
      </c>
      <c r="K1268" s="13"/>
    </row>
    <row r="1269" customFormat="false" ht="15" hidden="false" customHeight="false" outlineLevel="0" collapsed="false">
      <c r="A1269" s="9" t="str">
        <f aca="false">Vessels!B16</f>
        <v>Vessel 12</v>
      </c>
      <c r="B1269" s="9" t="s">
        <v>42</v>
      </c>
      <c r="C1269" s="7" t="s">
        <v>73</v>
      </c>
      <c r="D1269" s="9" t="s">
        <v>45</v>
      </c>
      <c r="E1269" s="9" t="s">
        <v>44</v>
      </c>
      <c r="F1269" s="5" t="n">
        <v>12</v>
      </c>
      <c r="G1269" s="10"/>
      <c r="H1269" s="11" t="str">
        <f aca="false">IFERROR(IF($D1269="Manual Review","",IF($G1269="","",IF($D1269="Direct Expiry",$G1269,EDATE($G1269,$F1269)))),"Check Date")</f>
        <v/>
      </c>
      <c r="I1269" s="12" t="str">
        <f aca="true">IF($H1269="","",IF(ISNUMBER($H1269),$H1269-TODAY(),""))</f>
        <v/>
      </c>
      <c r="J1269" s="4" t="str">
        <f aca="true">IF($D1269="Manual Review","Manual Review",IF($G1269="","No Data",IF(NOT(ISNUMBER($H1269)),"N/A",IF($H1269&lt;TODAY(),"Overdue",IF($H1269&lt;=TODAY()+30,"Due within 1 Month",IF($H1269&lt;=TODAY()+60,"Due within 2 Months","OK"))))))</f>
        <v>No Data</v>
      </c>
      <c r="K1269" s="13"/>
    </row>
    <row r="1270" customFormat="false" ht="15" hidden="false" customHeight="false" outlineLevel="0" collapsed="false">
      <c r="A1270" s="9" t="str">
        <f aca="false">Vessels!B16</f>
        <v>Vessel 12</v>
      </c>
      <c r="B1270" s="9" t="s">
        <v>42</v>
      </c>
      <c r="C1270" s="7" t="s">
        <v>74</v>
      </c>
      <c r="D1270" s="9" t="s">
        <v>59</v>
      </c>
      <c r="E1270" s="9" t="s">
        <v>58</v>
      </c>
      <c r="F1270" s="5"/>
      <c r="G1270" s="10"/>
      <c r="H1270" s="11" t="str">
        <f aca="false">IFERROR(IF($D1270="Manual Review","",IF($G1270="","",IF($D1270="Direct Expiry",$G1270,EDATE($G1270,$F1270)))),"Check Date")</f>
        <v/>
      </c>
      <c r="I1270" s="12" t="str">
        <f aca="true">IF($H1270="","",IF(ISNUMBER($H1270),$H1270-TODAY(),""))</f>
        <v/>
      </c>
      <c r="J1270" s="4" t="str">
        <f aca="true">IF($D1270="Manual Review","Manual Review",IF($G1270="","No Data",IF(NOT(ISNUMBER($H1270)),"N/A",IF($H1270&lt;TODAY(),"Overdue",IF($H1270&lt;=TODAY()+30,"Due within 1 Month",IF($H1270&lt;=TODAY()+60,"Due within 2 Months","OK"))))))</f>
        <v>No Data</v>
      </c>
      <c r="K1270" s="13"/>
    </row>
    <row r="1271" customFormat="false" ht="15" hidden="false" customHeight="false" outlineLevel="0" collapsed="false">
      <c r="A1271" s="9" t="str">
        <f aca="false">Vessels!B16</f>
        <v>Vessel 12</v>
      </c>
      <c r="B1271" s="9" t="s">
        <v>42</v>
      </c>
      <c r="C1271" s="7" t="s">
        <v>75</v>
      </c>
      <c r="D1271" s="9" t="s">
        <v>45</v>
      </c>
      <c r="E1271" s="9" t="s">
        <v>44</v>
      </c>
      <c r="F1271" s="5" t="n">
        <v>12</v>
      </c>
      <c r="G1271" s="10"/>
      <c r="H1271" s="11" t="str">
        <f aca="false">IFERROR(IF($D1271="Manual Review","",IF($G1271="","",IF($D1271="Direct Expiry",$G1271,EDATE($G1271,$F1271)))),"Check Date")</f>
        <v/>
      </c>
      <c r="I1271" s="12" t="str">
        <f aca="true">IF($H1271="","",IF(ISNUMBER($H1271),$H1271-TODAY(),""))</f>
        <v/>
      </c>
      <c r="J1271" s="4" t="str">
        <f aca="true">IF($D1271="Manual Review","Manual Review",IF($G1271="","No Data",IF(NOT(ISNUMBER($H1271)),"N/A",IF($H1271&lt;TODAY(),"Overdue",IF($H1271&lt;=TODAY()+30,"Due within 1 Month",IF($H1271&lt;=TODAY()+60,"Due within 2 Months","OK"))))))</f>
        <v>No Data</v>
      </c>
      <c r="K1271" s="13"/>
    </row>
    <row r="1272" customFormat="false" ht="15" hidden="false" customHeight="false" outlineLevel="0" collapsed="false">
      <c r="A1272" s="9" t="str">
        <f aca="false">Vessels!B16</f>
        <v>Vessel 12</v>
      </c>
      <c r="B1272" s="9" t="s">
        <v>42</v>
      </c>
      <c r="C1272" s="7" t="s">
        <v>76</v>
      </c>
      <c r="D1272" s="9" t="s">
        <v>59</v>
      </c>
      <c r="E1272" s="9" t="s">
        <v>58</v>
      </c>
      <c r="F1272" s="5"/>
      <c r="G1272" s="10"/>
      <c r="H1272" s="11" t="str">
        <f aca="false">IFERROR(IF($D1272="Manual Review","",IF($G1272="","",IF($D1272="Direct Expiry",$G1272,EDATE($G1272,$F1272)))),"Check Date")</f>
        <v/>
      </c>
      <c r="I1272" s="12" t="str">
        <f aca="true">IF($H1272="","",IF(ISNUMBER($H1272),$H1272-TODAY(),""))</f>
        <v/>
      </c>
      <c r="J1272" s="4" t="str">
        <f aca="true">IF($D1272="Manual Review","Manual Review",IF($G1272="","No Data",IF(NOT(ISNUMBER($H1272)),"N/A",IF($H1272&lt;TODAY(),"Overdue",IF($H1272&lt;=TODAY()+30,"Due within 1 Month",IF($H1272&lt;=TODAY()+60,"Due within 2 Months","OK"))))))</f>
        <v>No Data</v>
      </c>
      <c r="K1272" s="13"/>
    </row>
    <row r="1273" customFormat="false" ht="15" hidden="false" customHeight="false" outlineLevel="0" collapsed="false">
      <c r="A1273" s="9" t="str">
        <f aca="false">Vessels!B16</f>
        <v>Vessel 12</v>
      </c>
      <c r="B1273" s="9" t="s">
        <v>42</v>
      </c>
      <c r="C1273" s="7" t="s">
        <v>77</v>
      </c>
      <c r="D1273" s="9" t="s">
        <v>59</v>
      </c>
      <c r="E1273" s="9" t="s">
        <v>58</v>
      </c>
      <c r="F1273" s="5"/>
      <c r="G1273" s="10"/>
      <c r="H1273" s="11" t="str">
        <f aca="false">IFERROR(IF($D1273="Manual Review","",IF($G1273="","",IF($D1273="Direct Expiry",$G1273,EDATE($G1273,$F1273)))),"Check Date")</f>
        <v/>
      </c>
      <c r="I1273" s="12" t="str">
        <f aca="true">IF($H1273="","",IF(ISNUMBER($H1273),$H1273-TODAY(),""))</f>
        <v/>
      </c>
      <c r="J1273" s="4" t="str">
        <f aca="true">IF($D1273="Manual Review","Manual Review",IF($G1273="","No Data",IF(NOT(ISNUMBER($H1273)),"N/A",IF($H1273&lt;TODAY(),"Overdue",IF($H1273&lt;=TODAY()+30,"Due within 1 Month",IF($H1273&lt;=TODAY()+60,"Due within 2 Months","OK"))))))</f>
        <v>No Data</v>
      </c>
      <c r="K1273" s="13"/>
    </row>
    <row r="1274" customFormat="false" ht="15" hidden="false" customHeight="false" outlineLevel="0" collapsed="false">
      <c r="A1274" s="9" t="str">
        <f aca="false">Vessels!B16</f>
        <v>Vessel 12</v>
      </c>
      <c r="B1274" s="9" t="s">
        <v>42</v>
      </c>
      <c r="C1274" s="7" t="s">
        <v>78</v>
      </c>
      <c r="D1274" s="9" t="s">
        <v>59</v>
      </c>
      <c r="E1274" s="9" t="s">
        <v>58</v>
      </c>
      <c r="F1274" s="5"/>
      <c r="G1274" s="10"/>
      <c r="H1274" s="11" t="str">
        <f aca="false">IFERROR(IF($D1274="Manual Review","",IF($G1274="","",IF($D1274="Direct Expiry",$G1274,EDATE($G1274,$F1274)))),"Check Date")</f>
        <v/>
      </c>
      <c r="I1274" s="12" t="str">
        <f aca="true">IF($H1274="","",IF(ISNUMBER($H1274),$H1274-TODAY(),""))</f>
        <v/>
      </c>
      <c r="J1274" s="4" t="str">
        <f aca="true">IF($D1274="Manual Review","Manual Review",IF($G1274="","No Data",IF(NOT(ISNUMBER($H1274)),"N/A",IF($H1274&lt;TODAY(),"Overdue",IF($H1274&lt;=TODAY()+30,"Due within 1 Month",IF($H1274&lt;=TODAY()+60,"Due within 2 Months","OK"))))))</f>
        <v>No Data</v>
      </c>
      <c r="K1274" s="13"/>
    </row>
    <row r="1275" customFormat="false" ht="15" hidden="false" customHeight="false" outlineLevel="0" collapsed="false">
      <c r="A1275" s="9" t="str">
        <f aca="false">Vessels!B16</f>
        <v>Vessel 12</v>
      </c>
      <c r="B1275" s="9" t="s">
        <v>42</v>
      </c>
      <c r="C1275" s="7" t="s">
        <v>79</v>
      </c>
      <c r="D1275" s="9" t="s">
        <v>45</v>
      </c>
      <c r="E1275" s="9" t="s">
        <v>44</v>
      </c>
      <c r="F1275" s="5" t="n">
        <v>12</v>
      </c>
      <c r="G1275" s="10"/>
      <c r="H1275" s="11" t="str">
        <f aca="false">IFERROR(IF($D1275="Manual Review","",IF($G1275="","",IF($D1275="Direct Expiry",$G1275,EDATE($G1275,$F1275)))),"Check Date")</f>
        <v/>
      </c>
      <c r="I1275" s="12" t="str">
        <f aca="true">IF($H1275="","",IF(ISNUMBER($H1275),$H1275-TODAY(),""))</f>
        <v/>
      </c>
      <c r="J1275" s="4" t="str">
        <f aca="true">IF($D1275="Manual Review","Manual Review",IF($G1275="","No Data",IF(NOT(ISNUMBER($H1275)),"N/A",IF($H1275&lt;TODAY(),"Overdue",IF($H1275&lt;=TODAY()+30,"Due within 1 Month",IF($H1275&lt;=TODAY()+60,"Due within 2 Months","OK"))))))</f>
        <v>No Data</v>
      </c>
      <c r="K1275" s="13"/>
    </row>
    <row r="1276" customFormat="false" ht="15" hidden="false" customHeight="false" outlineLevel="0" collapsed="false">
      <c r="A1276" s="9" t="str">
        <f aca="false">Vessels!B16</f>
        <v>Vessel 12</v>
      </c>
      <c r="B1276" s="9" t="s">
        <v>42</v>
      </c>
      <c r="C1276" s="7" t="s">
        <v>80</v>
      </c>
      <c r="D1276" s="9" t="s">
        <v>45</v>
      </c>
      <c r="E1276" s="9" t="s">
        <v>81</v>
      </c>
      <c r="F1276" s="5" t="n">
        <v>36</v>
      </c>
      <c r="G1276" s="10"/>
      <c r="H1276" s="11" t="str">
        <f aca="false">IFERROR(IF($D1276="Manual Review","",IF($G1276="","",IF($D1276="Direct Expiry",$G1276,EDATE($G1276,$F1276)))),"Check Date")</f>
        <v/>
      </c>
      <c r="I1276" s="12" t="str">
        <f aca="true">IF($H1276="","",IF(ISNUMBER($H1276),$H1276-TODAY(),""))</f>
        <v/>
      </c>
      <c r="J1276" s="4" t="str">
        <f aca="true">IF($D1276="Manual Review","Manual Review",IF($G1276="","No Data",IF(NOT(ISNUMBER($H1276)),"N/A",IF($H1276&lt;TODAY(),"Overdue",IF($H1276&lt;=TODAY()+30,"Due within 1 Month",IF($H1276&lt;=TODAY()+60,"Due within 2 Months","OK"))))))</f>
        <v>No Data</v>
      </c>
      <c r="K1276" s="13"/>
    </row>
    <row r="1277" customFormat="false" ht="15" hidden="false" customHeight="false" outlineLevel="0" collapsed="false">
      <c r="A1277" s="9" t="str">
        <f aca="false">Vessels!B16</f>
        <v>Vessel 12</v>
      </c>
      <c r="B1277" s="9" t="s">
        <v>42</v>
      </c>
      <c r="C1277" s="7" t="s">
        <v>80</v>
      </c>
      <c r="D1277" s="9" t="s">
        <v>45</v>
      </c>
      <c r="E1277" s="9" t="s">
        <v>82</v>
      </c>
      <c r="F1277" s="5" t="n">
        <v>24</v>
      </c>
      <c r="G1277" s="10"/>
      <c r="H1277" s="11" t="str">
        <f aca="false">IFERROR(IF($D1277="Manual Review","",IF($G1277="","",IF($D1277="Direct Expiry",$G1277,EDATE($G1277,$F1277)))),"Check Date")</f>
        <v/>
      </c>
      <c r="I1277" s="12" t="str">
        <f aca="true">IF($H1277="","",IF(ISNUMBER($H1277),$H1277-TODAY(),""))</f>
        <v/>
      </c>
      <c r="J1277" s="4" t="str">
        <f aca="true">IF($D1277="Manual Review","Manual Review",IF($G1277="","No Data",IF(NOT(ISNUMBER($H1277)),"N/A",IF($H1277&lt;TODAY(),"Overdue",IF($H1277&lt;=TODAY()+30,"Due within 1 Month",IF($H1277&lt;=TODAY()+60,"Due within 2 Months","OK"))))))</f>
        <v>No Data</v>
      </c>
      <c r="K1277" s="13"/>
    </row>
    <row r="1278" customFormat="false" ht="15" hidden="false" customHeight="false" outlineLevel="0" collapsed="false">
      <c r="A1278" s="9" t="str">
        <f aca="false">Vessels!B16</f>
        <v>Vessel 12</v>
      </c>
      <c r="B1278" s="9" t="s">
        <v>42</v>
      </c>
      <c r="C1278" s="7" t="s">
        <v>83</v>
      </c>
      <c r="D1278" s="9" t="s">
        <v>45</v>
      </c>
      <c r="E1278" s="9" t="s">
        <v>44</v>
      </c>
      <c r="F1278" s="5" t="n">
        <v>12</v>
      </c>
      <c r="G1278" s="10"/>
      <c r="H1278" s="11" t="str">
        <f aca="false">IFERROR(IF($D1278="Manual Review","",IF($G1278="","",IF($D1278="Direct Expiry",$G1278,EDATE($G1278,$F1278)))),"Check Date")</f>
        <v/>
      </c>
      <c r="I1278" s="12" t="str">
        <f aca="true">IF($H1278="","",IF(ISNUMBER($H1278),$H1278-TODAY(),""))</f>
        <v/>
      </c>
      <c r="J1278" s="4" t="str">
        <f aca="true">IF($D1278="Manual Review","Manual Review",IF($G1278="","No Data",IF(NOT(ISNUMBER($H1278)),"N/A",IF($H1278&lt;TODAY(),"Overdue",IF($H1278&lt;=TODAY()+30,"Due within 1 Month",IF($H1278&lt;=TODAY()+60,"Due within 2 Months","OK"))))))</f>
        <v>No Data</v>
      </c>
      <c r="K1278" s="13"/>
    </row>
    <row r="1279" customFormat="false" ht="15" hidden="false" customHeight="false" outlineLevel="0" collapsed="false">
      <c r="A1279" s="9" t="str">
        <f aca="false">Vessels!B16</f>
        <v>Vessel 12</v>
      </c>
      <c r="B1279" s="9" t="s">
        <v>42</v>
      </c>
      <c r="C1279" s="7" t="s">
        <v>83</v>
      </c>
      <c r="D1279" s="9" t="s">
        <v>45</v>
      </c>
      <c r="E1279" s="9" t="s">
        <v>84</v>
      </c>
      <c r="F1279" s="5" t="n">
        <v>60</v>
      </c>
      <c r="G1279" s="10"/>
      <c r="H1279" s="11" t="str">
        <f aca="false">IFERROR(IF($D1279="Manual Review","",IF($G1279="","",IF($D1279="Direct Expiry",$G1279,EDATE($G1279,$F1279)))),"Check Date")</f>
        <v/>
      </c>
      <c r="I1279" s="12" t="str">
        <f aca="true">IF($H1279="","",IF(ISNUMBER($H1279),$H1279-TODAY(),""))</f>
        <v/>
      </c>
      <c r="J1279" s="4" t="str">
        <f aca="true">IF($D1279="Manual Review","Manual Review",IF($G1279="","No Data",IF(NOT(ISNUMBER($H1279)),"N/A",IF($H1279&lt;TODAY(),"Overdue",IF($H1279&lt;=TODAY()+30,"Due within 1 Month",IF($H1279&lt;=TODAY()+60,"Due within 2 Months","OK"))))))</f>
        <v>No Data</v>
      </c>
      <c r="K1279" s="13"/>
    </row>
    <row r="1280" customFormat="false" ht="15" hidden="false" customHeight="false" outlineLevel="0" collapsed="false">
      <c r="A1280" s="9" t="str">
        <f aca="false">Vessels!B16</f>
        <v>Vessel 12</v>
      </c>
      <c r="B1280" s="9" t="s">
        <v>42</v>
      </c>
      <c r="C1280" s="7" t="s">
        <v>85</v>
      </c>
      <c r="D1280" s="9" t="s">
        <v>45</v>
      </c>
      <c r="E1280" s="9" t="s">
        <v>44</v>
      </c>
      <c r="F1280" s="5" t="n">
        <v>12</v>
      </c>
      <c r="G1280" s="10"/>
      <c r="H1280" s="11" t="str">
        <f aca="false">IFERROR(IF($D1280="Manual Review","",IF($G1280="","",IF($D1280="Direct Expiry",$G1280,EDATE($G1280,$F1280)))),"Check Date")</f>
        <v/>
      </c>
      <c r="I1280" s="12" t="str">
        <f aca="true">IF($H1280="","",IF(ISNUMBER($H1280),$H1280-TODAY(),""))</f>
        <v/>
      </c>
      <c r="J1280" s="4" t="str">
        <f aca="true">IF($D1280="Manual Review","Manual Review",IF($G1280="","No Data",IF(NOT(ISNUMBER($H1280)),"N/A",IF($H1280&lt;TODAY(),"Overdue",IF($H1280&lt;=TODAY()+30,"Due within 1 Month",IF($H1280&lt;=TODAY()+60,"Due within 2 Months","OK"))))))</f>
        <v>No Data</v>
      </c>
      <c r="K1280" s="13"/>
    </row>
    <row r="1281" customFormat="false" ht="15" hidden="false" customHeight="false" outlineLevel="0" collapsed="false">
      <c r="A1281" s="9" t="str">
        <f aca="false">Vessels!B16</f>
        <v>Vessel 12</v>
      </c>
      <c r="B1281" s="9" t="s">
        <v>42</v>
      </c>
      <c r="C1281" s="7" t="s">
        <v>85</v>
      </c>
      <c r="D1281" s="9" t="s">
        <v>45</v>
      </c>
      <c r="E1281" s="9" t="s">
        <v>84</v>
      </c>
      <c r="F1281" s="5" t="n">
        <v>60</v>
      </c>
      <c r="G1281" s="10"/>
      <c r="H1281" s="11" t="str">
        <f aca="false">IFERROR(IF($D1281="Manual Review","",IF($G1281="","",IF($D1281="Direct Expiry",$G1281,EDATE($G1281,$F1281)))),"Check Date")</f>
        <v/>
      </c>
      <c r="I1281" s="12" t="str">
        <f aca="true">IF($H1281="","",IF(ISNUMBER($H1281),$H1281-TODAY(),""))</f>
        <v/>
      </c>
      <c r="J1281" s="4" t="str">
        <f aca="true">IF($D1281="Manual Review","Manual Review",IF($G1281="","No Data",IF(NOT(ISNUMBER($H1281)),"N/A",IF($H1281&lt;TODAY(),"Overdue",IF($H1281&lt;=TODAY()+30,"Due within 1 Month",IF($H1281&lt;=TODAY()+60,"Due within 2 Months","OK"))))))</f>
        <v>No Data</v>
      </c>
      <c r="K1281" s="13"/>
    </row>
    <row r="1282" customFormat="false" ht="15" hidden="false" customHeight="false" outlineLevel="0" collapsed="false">
      <c r="A1282" s="9" t="str">
        <f aca="false">Vessels!B16</f>
        <v>Vessel 12</v>
      </c>
      <c r="B1282" s="9" t="s">
        <v>42</v>
      </c>
      <c r="C1282" s="7" t="s">
        <v>86</v>
      </c>
      <c r="D1282" s="9" t="s">
        <v>45</v>
      </c>
      <c r="E1282" s="9" t="s">
        <v>44</v>
      </c>
      <c r="F1282" s="5" t="n">
        <v>12</v>
      </c>
      <c r="G1282" s="10"/>
      <c r="H1282" s="11" t="str">
        <f aca="false">IFERROR(IF($D1282="Manual Review","",IF($G1282="","",IF($D1282="Direct Expiry",$G1282,EDATE($G1282,$F1282)))),"Check Date")</f>
        <v/>
      </c>
      <c r="I1282" s="12" t="str">
        <f aca="true">IF($H1282="","",IF(ISNUMBER($H1282),$H1282-TODAY(),""))</f>
        <v/>
      </c>
      <c r="J1282" s="4" t="str">
        <f aca="true">IF($D1282="Manual Review","Manual Review",IF($G1282="","No Data",IF(NOT(ISNUMBER($H1282)),"N/A",IF($H1282&lt;TODAY(),"Overdue",IF($H1282&lt;=TODAY()+30,"Due within 1 Month",IF($H1282&lt;=TODAY()+60,"Due within 2 Months","OK"))))))</f>
        <v>No Data</v>
      </c>
      <c r="K1282" s="13"/>
    </row>
    <row r="1283" customFormat="false" ht="15" hidden="false" customHeight="false" outlineLevel="0" collapsed="false">
      <c r="A1283" s="9" t="str">
        <f aca="false">Vessels!B16</f>
        <v>Vessel 12</v>
      </c>
      <c r="B1283" s="9" t="s">
        <v>42</v>
      </c>
      <c r="C1283" s="7" t="s">
        <v>87</v>
      </c>
      <c r="D1283" s="9" t="s">
        <v>45</v>
      </c>
      <c r="E1283" s="9" t="s">
        <v>44</v>
      </c>
      <c r="F1283" s="5" t="n">
        <v>12</v>
      </c>
      <c r="G1283" s="10"/>
      <c r="H1283" s="11" t="str">
        <f aca="false">IFERROR(IF($D1283="Manual Review","",IF($G1283="","",IF($D1283="Direct Expiry",$G1283,EDATE($G1283,$F1283)))),"Check Date")</f>
        <v/>
      </c>
      <c r="I1283" s="12" t="str">
        <f aca="true">IF($H1283="","",IF(ISNUMBER($H1283),$H1283-TODAY(),""))</f>
        <v/>
      </c>
      <c r="J1283" s="4" t="str">
        <f aca="true">IF($D1283="Manual Review","Manual Review",IF($G1283="","No Data",IF(NOT(ISNUMBER($H1283)),"N/A",IF($H1283&lt;TODAY(),"Overdue",IF($H1283&lt;=TODAY()+30,"Due within 1 Month",IF($H1283&lt;=TODAY()+60,"Due within 2 Months","OK"))))))</f>
        <v>No Data</v>
      </c>
      <c r="K1283" s="13"/>
    </row>
    <row r="1284" customFormat="false" ht="15" hidden="false" customHeight="false" outlineLevel="0" collapsed="false">
      <c r="A1284" s="9" t="str">
        <f aca="false">Vessels!B16</f>
        <v>Vessel 12</v>
      </c>
      <c r="B1284" s="9" t="s">
        <v>88</v>
      </c>
      <c r="C1284" s="7" t="s">
        <v>89</v>
      </c>
      <c r="D1284" s="9" t="s">
        <v>45</v>
      </c>
      <c r="E1284" s="9" t="s">
        <v>90</v>
      </c>
      <c r="F1284" s="5" t="n">
        <v>36</v>
      </c>
      <c r="G1284" s="10"/>
      <c r="H1284" s="11" t="str">
        <f aca="false">IFERROR(IF($D1284="Manual Review","",IF($G1284="","",IF($D1284="Direct Expiry",$G1284,EDATE($G1284,$F1284)))),"Check Date")</f>
        <v/>
      </c>
      <c r="I1284" s="12" t="str">
        <f aca="true">IF($H1284="","",IF(ISNUMBER($H1284),$H1284-TODAY(),""))</f>
        <v/>
      </c>
      <c r="J1284" s="4" t="str">
        <f aca="true">IF($D1284="Manual Review","Manual Review",IF($G1284="","No Data",IF(NOT(ISNUMBER($H1284)),"N/A",IF($H1284&lt;TODAY(),"Overdue",IF($H1284&lt;=TODAY()+30,"Due within 1 Month",IF($H1284&lt;=TODAY()+60,"Due within 2 Months","OK"))))))</f>
        <v>No Data</v>
      </c>
      <c r="K1284" s="13"/>
    </row>
    <row r="1285" customFormat="false" ht="15" hidden="false" customHeight="false" outlineLevel="0" collapsed="false">
      <c r="A1285" s="9" t="str">
        <f aca="false">Vessels!B16</f>
        <v>Vessel 12</v>
      </c>
      <c r="B1285" s="9" t="s">
        <v>88</v>
      </c>
      <c r="C1285" s="7" t="s">
        <v>91</v>
      </c>
      <c r="D1285" s="9" t="s">
        <v>45</v>
      </c>
      <c r="E1285" s="9" t="s">
        <v>44</v>
      </c>
      <c r="F1285" s="5" t="n">
        <v>12</v>
      </c>
      <c r="G1285" s="10"/>
      <c r="H1285" s="11" t="str">
        <f aca="false">IFERROR(IF($D1285="Manual Review","",IF($G1285="","",IF($D1285="Direct Expiry",$G1285,EDATE($G1285,$F1285)))),"Check Date")</f>
        <v/>
      </c>
      <c r="I1285" s="12" t="str">
        <f aca="true">IF($H1285="","",IF(ISNUMBER($H1285),$H1285-TODAY(),""))</f>
        <v/>
      </c>
      <c r="J1285" s="4" t="str">
        <f aca="true">IF($D1285="Manual Review","Manual Review",IF($G1285="","No Data",IF(NOT(ISNUMBER($H1285)),"N/A",IF($H1285&lt;TODAY(),"Overdue",IF($H1285&lt;=TODAY()+30,"Due within 1 Month",IF($H1285&lt;=TODAY()+60,"Due within 2 Months","OK"))))))</f>
        <v>No Data</v>
      </c>
      <c r="K1285" s="13"/>
    </row>
    <row r="1286" customFormat="false" ht="15" hidden="false" customHeight="false" outlineLevel="0" collapsed="false">
      <c r="A1286" s="9" t="str">
        <f aca="false">Vessels!B16</f>
        <v>Vessel 12</v>
      </c>
      <c r="B1286" s="9" t="s">
        <v>88</v>
      </c>
      <c r="C1286" s="7" t="s">
        <v>91</v>
      </c>
      <c r="D1286" s="9" t="s">
        <v>45</v>
      </c>
      <c r="E1286" s="9" t="s">
        <v>92</v>
      </c>
      <c r="F1286" s="5" t="n">
        <v>120</v>
      </c>
      <c r="G1286" s="10"/>
      <c r="H1286" s="11" t="str">
        <f aca="false">IFERROR(IF($D1286="Manual Review","",IF($G1286="","",IF($D1286="Direct Expiry",$G1286,EDATE($G1286,$F1286)))),"Check Date")</f>
        <v/>
      </c>
      <c r="I1286" s="12" t="str">
        <f aca="true">IF($H1286="","",IF(ISNUMBER($H1286),$H1286-TODAY(),""))</f>
        <v/>
      </c>
      <c r="J1286" s="4" t="str">
        <f aca="true">IF($D1286="Manual Review","Manual Review",IF($G1286="","No Data",IF(NOT(ISNUMBER($H1286)),"N/A",IF($H1286&lt;TODAY(),"Overdue",IF($H1286&lt;=TODAY()+30,"Due within 1 Month",IF($H1286&lt;=TODAY()+60,"Due within 2 Months","OK"))))))</f>
        <v>No Data</v>
      </c>
      <c r="K1286" s="13"/>
    </row>
    <row r="1287" customFormat="false" ht="15" hidden="false" customHeight="false" outlineLevel="0" collapsed="false">
      <c r="A1287" s="9" t="str">
        <f aca="false">Vessels!B16</f>
        <v>Vessel 12</v>
      </c>
      <c r="B1287" s="9" t="s">
        <v>88</v>
      </c>
      <c r="C1287" s="7" t="s">
        <v>93</v>
      </c>
      <c r="D1287" s="9" t="s">
        <v>45</v>
      </c>
      <c r="E1287" s="9" t="s">
        <v>44</v>
      </c>
      <c r="F1287" s="5" t="n">
        <v>12</v>
      </c>
      <c r="G1287" s="10"/>
      <c r="H1287" s="11" t="str">
        <f aca="false">IFERROR(IF($D1287="Manual Review","",IF($G1287="","",IF($D1287="Direct Expiry",$G1287,EDATE($G1287,$F1287)))),"Check Date")</f>
        <v/>
      </c>
      <c r="I1287" s="12" t="str">
        <f aca="true">IF($H1287="","",IF(ISNUMBER($H1287),$H1287-TODAY(),""))</f>
        <v/>
      </c>
      <c r="J1287" s="4" t="str">
        <f aca="true">IF($D1287="Manual Review","Manual Review",IF($G1287="","No Data",IF(NOT(ISNUMBER($H1287)),"N/A",IF($H1287&lt;TODAY(),"Overdue",IF($H1287&lt;=TODAY()+30,"Due within 1 Month",IF($H1287&lt;=TODAY()+60,"Due within 2 Months","OK"))))))</f>
        <v>No Data</v>
      </c>
      <c r="K1287" s="13"/>
    </row>
    <row r="1288" customFormat="false" ht="15" hidden="false" customHeight="false" outlineLevel="0" collapsed="false">
      <c r="A1288" s="9" t="str">
        <f aca="false">Vessels!B16</f>
        <v>Vessel 12</v>
      </c>
      <c r="B1288" s="9" t="s">
        <v>88</v>
      </c>
      <c r="C1288" s="7" t="s">
        <v>93</v>
      </c>
      <c r="D1288" s="9" t="s">
        <v>45</v>
      </c>
      <c r="E1288" s="9" t="s">
        <v>92</v>
      </c>
      <c r="F1288" s="5" t="n">
        <v>120</v>
      </c>
      <c r="G1288" s="10"/>
      <c r="H1288" s="11" t="str">
        <f aca="false">IFERROR(IF($D1288="Manual Review","",IF($G1288="","",IF($D1288="Direct Expiry",$G1288,EDATE($G1288,$F1288)))),"Check Date")</f>
        <v/>
      </c>
      <c r="I1288" s="12" t="str">
        <f aca="true">IF($H1288="","",IF(ISNUMBER($H1288),$H1288-TODAY(),""))</f>
        <v/>
      </c>
      <c r="J1288" s="4" t="str">
        <f aca="true">IF($D1288="Manual Review","Manual Review",IF($G1288="","No Data",IF(NOT(ISNUMBER($H1288)),"N/A",IF($H1288&lt;TODAY(),"Overdue",IF($H1288&lt;=TODAY()+30,"Due within 1 Month",IF($H1288&lt;=TODAY()+60,"Due within 2 Months","OK"))))))</f>
        <v>No Data</v>
      </c>
      <c r="K1288" s="13"/>
    </row>
    <row r="1289" customFormat="false" ht="15" hidden="false" customHeight="false" outlineLevel="0" collapsed="false">
      <c r="A1289" s="9" t="str">
        <f aca="false">Vessels!B16</f>
        <v>Vessel 12</v>
      </c>
      <c r="B1289" s="9" t="s">
        <v>88</v>
      </c>
      <c r="C1289" s="7" t="s">
        <v>94</v>
      </c>
      <c r="D1289" s="9" t="s">
        <v>45</v>
      </c>
      <c r="E1289" s="9" t="s">
        <v>44</v>
      </c>
      <c r="F1289" s="5" t="n">
        <v>12</v>
      </c>
      <c r="G1289" s="10"/>
      <c r="H1289" s="11" t="str">
        <f aca="false">IFERROR(IF($D1289="Manual Review","",IF($G1289="","",IF($D1289="Direct Expiry",$G1289,EDATE($G1289,$F1289)))),"Check Date")</f>
        <v/>
      </c>
      <c r="I1289" s="12" t="str">
        <f aca="true">IF($H1289="","",IF(ISNUMBER($H1289),$H1289-TODAY(),""))</f>
        <v/>
      </c>
      <c r="J1289" s="4" t="str">
        <f aca="true">IF($D1289="Manual Review","Manual Review",IF($G1289="","No Data",IF(NOT(ISNUMBER($H1289)),"N/A",IF($H1289&lt;TODAY(),"Overdue",IF($H1289&lt;=TODAY()+30,"Due within 1 Month",IF($H1289&lt;=TODAY()+60,"Due within 2 Months","OK"))))))</f>
        <v>No Data</v>
      </c>
      <c r="K1289" s="13"/>
    </row>
    <row r="1290" customFormat="false" ht="15" hidden="false" customHeight="false" outlineLevel="0" collapsed="false">
      <c r="A1290" s="9" t="str">
        <f aca="false">Vessels!B16</f>
        <v>Vessel 12</v>
      </c>
      <c r="B1290" s="9" t="s">
        <v>88</v>
      </c>
      <c r="C1290" s="7" t="s">
        <v>94</v>
      </c>
      <c r="D1290" s="9" t="s">
        <v>45</v>
      </c>
      <c r="E1290" s="9" t="s">
        <v>92</v>
      </c>
      <c r="F1290" s="5" t="n">
        <v>120</v>
      </c>
      <c r="G1290" s="10"/>
      <c r="H1290" s="11" t="str">
        <f aca="false">IFERROR(IF($D1290="Manual Review","",IF($G1290="","",IF($D1290="Direct Expiry",$G1290,EDATE($G1290,$F1290)))),"Check Date")</f>
        <v/>
      </c>
      <c r="I1290" s="12" t="str">
        <f aca="true">IF($H1290="","",IF(ISNUMBER($H1290),$H1290-TODAY(),""))</f>
        <v/>
      </c>
      <c r="J1290" s="4" t="str">
        <f aca="true">IF($D1290="Manual Review","Manual Review",IF($G1290="","No Data",IF(NOT(ISNUMBER($H1290)),"N/A",IF($H1290&lt;TODAY(),"Overdue",IF($H1290&lt;=TODAY()+30,"Due within 1 Month",IF($H1290&lt;=TODAY()+60,"Due within 2 Months","OK"))))))</f>
        <v>No Data</v>
      </c>
      <c r="K1290" s="13"/>
    </row>
    <row r="1291" customFormat="false" ht="15" hidden="false" customHeight="false" outlineLevel="0" collapsed="false">
      <c r="A1291" s="9" t="str">
        <f aca="false">Vessels!B16</f>
        <v>Vessel 12</v>
      </c>
      <c r="B1291" s="9" t="s">
        <v>88</v>
      </c>
      <c r="C1291" s="7" t="s">
        <v>95</v>
      </c>
      <c r="D1291" s="9" t="s">
        <v>45</v>
      </c>
      <c r="E1291" s="9" t="s">
        <v>44</v>
      </c>
      <c r="F1291" s="5" t="n">
        <v>12</v>
      </c>
      <c r="G1291" s="10"/>
      <c r="H1291" s="11" t="str">
        <f aca="false">IFERROR(IF($D1291="Manual Review","",IF($G1291="","",IF($D1291="Direct Expiry",$G1291,EDATE($G1291,$F1291)))),"Check Date")</f>
        <v/>
      </c>
      <c r="I1291" s="12" t="str">
        <f aca="true">IF($H1291="","",IF(ISNUMBER($H1291),$H1291-TODAY(),""))</f>
        <v/>
      </c>
      <c r="J1291" s="4" t="str">
        <f aca="true">IF($D1291="Manual Review","Manual Review",IF($G1291="","No Data",IF(NOT(ISNUMBER($H1291)),"N/A",IF($H1291&lt;TODAY(),"Overdue",IF($H1291&lt;=TODAY()+30,"Due within 1 Month",IF($H1291&lt;=TODAY()+60,"Due within 2 Months","OK"))))))</f>
        <v>No Data</v>
      </c>
      <c r="K1291" s="13"/>
    </row>
    <row r="1292" customFormat="false" ht="15" hidden="false" customHeight="false" outlineLevel="0" collapsed="false">
      <c r="A1292" s="9" t="str">
        <f aca="false">Vessels!B16</f>
        <v>Vessel 12</v>
      </c>
      <c r="B1292" s="9" t="s">
        <v>88</v>
      </c>
      <c r="C1292" s="7" t="s">
        <v>95</v>
      </c>
      <c r="D1292" s="9" t="s">
        <v>45</v>
      </c>
      <c r="E1292" s="9" t="s">
        <v>92</v>
      </c>
      <c r="F1292" s="5" t="n">
        <v>120</v>
      </c>
      <c r="G1292" s="10"/>
      <c r="H1292" s="11" t="str">
        <f aca="false">IFERROR(IF($D1292="Manual Review","",IF($G1292="","",IF($D1292="Direct Expiry",$G1292,EDATE($G1292,$F1292)))),"Check Date")</f>
        <v/>
      </c>
      <c r="I1292" s="12" t="str">
        <f aca="true">IF($H1292="","",IF(ISNUMBER($H1292),$H1292-TODAY(),""))</f>
        <v/>
      </c>
      <c r="J1292" s="4" t="str">
        <f aca="true">IF($D1292="Manual Review","Manual Review",IF($G1292="","No Data",IF(NOT(ISNUMBER($H1292)),"N/A",IF($H1292&lt;TODAY(),"Overdue",IF($H1292&lt;=TODAY()+30,"Due within 1 Month",IF($H1292&lt;=TODAY()+60,"Due within 2 Months","OK"))))))</f>
        <v>No Data</v>
      </c>
      <c r="K1292" s="13"/>
    </row>
    <row r="1293" customFormat="false" ht="15" hidden="false" customHeight="false" outlineLevel="0" collapsed="false">
      <c r="A1293" s="9" t="str">
        <f aca="false">Vessels!B16</f>
        <v>Vessel 12</v>
      </c>
      <c r="B1293" s="9" t="s">
        <v>88</v>
      </c>
      <c r="C1293" s="7" t="s">
        <v>96</v>
      </c>
      <c r="D1293" s="9" t="s">
        <v>45</v>
      </c>
      <c r="E1293" s="9" t="s">
        <v>44</v>
      </c>
      <c r="F1293" s="5" t="n">
        <v>12</v>
      </c>
      <c r="G1293" s="10"/>
      <c r="H1293" s="11" t="str">
        <f aca="false">IFERROR(IF($D1293="Manual Review","",IF($G1293="","",IF($D1293="Direct Expiry",$G1293,EDATE($G1293,$F1293)))),"Check Date")</f>
        <v/>
      </c>
      <c r="I1293" s="12" t="str">
        <f aca="true">IF($H1293="","",IF(ISNUMBER($H1293),$H1293-TODAY(),""))</f>
        <v/>
      </c>
      <c r="J1293" s="4" t="str">
        <f aca="true">IF($D1293="Manual Review","Manual Review",IF($G1293="","No Data",IF(NOT(ISNUMBER($H1293)),"N/A",IF($H1293&lt;TODAY(),"Overdue",IF($H1293&lt;=TODAY()+30,"Due within 1 Month",IF($H1293&lt;=TODAY()+60,"Due within 2 Months","OK"))))))</f>
        <v>No Data</v>
      </c>
      <c r="K1293" s="13"/>
    </row>
    <row r="1294" customFormat="false" ht="15" hidden="false" customHeight="false" outlineLevel="0" collapsed="false">
      <c r="A1294" s="9" t="str">
        <f aca="false">Vessels!B16</f>
        <v>Vessel 12</v>
      </c>
      <c r="B1294" s="9" t="s">
        <v>88</v>
      </c>
      <c r="C1294" s="7" t="s">
        <v>96</v>
      </c>
      <c r="D1294" s="9" t="s">
        <v>45</v>
      </c>
      <c r="E1294" s="9" t="s">
        <v>97</v>
      </c>
      <c r="F1294" s="5" t="n">
        <v>120</v>
      </c>
      <c r="G1294" s="10"/>
      <c r="H1294" s="11" t="str">
        <f aca="false">IFERROR(IF($D1294="Manual Review","",IF($G1294="","",IF($D1294="Direct Expiry",$G1294,EDATE($G1294,$F1294)))),"Check Date")</f>
        <v/>
      </c>
      <c r="I1294" s="12" t="str">
        <f aca="true">IF($H1294="","",IF(ISNUMBER($H1294),$H1294-TODAY(),""))</f>
        <v/>
      </c>
      <c r="J1294" s="4" t="str">
        <f aca="true">IF($D1294="Manual Review","Manual Review",IF($G1294="","No Data",IF(NOT(ISNUMBER($H1294)),"N/A",IF($H1294&lt;TODAY(),"Overdue",IF($H1294&lt;=TODAY()+30,"Due within 1 Month",IF($H1294&lt;=TODAY()+60,"Due within 2 Months","OK"))))))</f>
        <v>No Data</v>
      </c>
      <c r="K1294" s="13"/>
    </row>
    <row r="1295" customFormat="false" ht="15" hidden="false" customHeight="false" outlineLevel="0" collapsed="false">
      <c r="A1295" s="9" t="str">
        <f aca="false">Vessels!B16</f>
        <v>Vessel 12</v>
      </c>
      <c r="B1295" s="9" t="s">
        <v>88</v>
      </c>
      <c r="C1295" s="7" t="s">
        <v>98</v>
      </c>
      <c r="D1295" s="9" t="s">
        <v>45</v>
      </c>
      <c r="E1295" s="9" t="s">
        <v>44</v>
      </c>
      <c r="F1295" s="5" t="n">
        <v>12</v>
      </c>
      <c r="G1295" s="10"/>
      <c r="H1295" s="11" t="str">
        <f aca="false">IFERROR(IF($D1295="Manual Review","",IF($G1295="","",IF($D1295="Direct Expiry",$G1295,EDATE($G1295,$F1295)))),"Check Date")</f>
        <v/>
      </c>
      <c r="I1295" s="12" t="str">
        <f aca="true">IF($H1295="","",IF(ISNUMBER($H1295),$H1295-TODAY(),""))</f>
        <v/>
      </c>
      <c r="J1295" s="4" t="str">
        <f aca="true">IF($D1295="Manual Review","Manual Review",IF($G1295="","No Data",IF(NOT(ISNUMBER($H1295)),"N/A",IF($H1295&lt;TODAY(),"Overdue",IF($H1295&lt;=TODAY()+30,"Due within 1 Month",IF($H1295&lt;=TODAY()+60,"Due within 2 Months","OK"))))))</f>
        <v>No Data</v>
      </c>
      <c r="K1295" s="13"/>
    </row>
    <row r="1296" customFormat="false" ht="15" hidden="false" customHeight="false" outlineLevel="0" collapsed="false">
      <c r="A1296" s="9" t="str">
        <f aca="false">Vessels!B16</f>
        <v>Vessel 12</v>
      </c>
      <c r="B1296" s="9" t="s">
        <v>88</v>
      </c>
      <c r="C1296" s="7" t="s">
        <v>98</v>
      </c>
      <c r="D1296" s="9" t="s">
        <v>45</v>
      </c>
      <c r="E1296" s="9" t="s">
        <v>99</v>
      </c>
      <c r="F1296" s="5" t="n">
        <v>60</v>
      </c>
      <c r="G1296" s="10"/>
      <c r="H1296" s="11" t="str">
        <f aca="false">IFERROR(IF($D1296="Manual Review","",IF($G1296="","",IF($D1296="Direct Expiry",$G1296,EDATE($G1296,$F1296)))),"Check Date")</f>
        <v/>
      </c>
      <c r="I1296" s="12" t="str">
        <f aca="true">IF($H1296="","",IF(ISNUMBER($H1296),$H1296-TODAY(),""))</f>
        <v/>
      </c>
      <c r="J1296" s="4" t="str">
        <f aca="true">IF($D1296="Manual Review","Manual Review",IF($G1296="","No Data",IF(NOT(ISNUMBER($H1296)),"N/A",IF($H1296&lt;TODAY(),"Overdue",IF($H1296&lt;=TODAY()+30,"Due within 1 Month",IF($H1296&lt;=TODAY()+60,"Due within 2 Months","OK"))))))</f>
        <v>No Data</v>
      </c>
      <c r="K1296" s="13"/>
    </row>
    <row r="1297" customFormat="false" ht="15" hidden="false" customHeight="false" outlineLevel="0" collapsed="false">
      <c r="A1297" s="9" t="str">
        <f aca="false">Vessels!B16</f>
        <v>Vessel 12</v>
      </c>
      <c r="B1297" s="9" t="s">
        <v>88</v>
      </c>
      <c r="C1297" s="7" t="s">
        <v>100</v>
      </c>
      <c r="D1297" s="9" t="s">
        <v>45</v>
      </c>
      <c r="E1297" s="9" t="s">
        <v>44</v>
      </c>
      <c r="F1297" s="5" t="n">
        <v>12</v>
      </c>
      <c r="G1297" s="10"/>
      <c r="H1297" s="11" t="str">
        <f aca="false">IFERROR(IF($D1297="Manual Review","",IF($G1297="","",IF($D1297="Direct Expiry",$G1297,EDATE($G1297,$F1297)))),"Check Date")</f>
        <v/>
      </c>
      <c r="I1297" s="12" t="str">
        <f aca="true">IF($H1297="","",IF(ISNUMBER($H1297),$H1297-TODAY(),""))</f>
        <v/>
      </c>
      <c r="J1297" s="4" t="str">
        <f aca="true">IF($D1297="Manual Review","Manual Review",IF($G1297="","No Data",IF(NOT(ISNUMBER($H1297)),"N/A",IF($H1297&lt;TODAY(),"Overdue",IF($H1297&lt;=TODAY()+30,"Due within 1 Month",IF($H1297&lt;=TODAY()+60,"Due within 2 Months","OK"))))))</f>
        <v>No Data</v>
      </c>
      <c r="K1297" s="13"/>
    </row>
    <row r="1298" customFormat="false" ht="15" hidden="false" customHeight="false" outlineLevel="0" collapsed="false">
      <c r="A1298" s="9" t="str">
        <f aca="false">Vessels!B16</f>
        <v>Vessel 12</v>
      </c>
      <c r="B1298" s="9" t="s">
        <v>88</v>
      </c>
      <c r="C1298" s="7" t="s">
        <v>100</v>
      </c>
      <c r="D1298" s="9" t="s">
        <v>45</v>
      </c>
      <c r="E1298" s="9" t="s">
        <v>99</v>
      </c>
      <c r="F1298" s="5" t="n">
        <v>60</v>
      </c>
      <c r="G1298" s="10"/>
      <c r="H1298" s="11" t="str">
        <f aca="false">IFERROR(IF($D1298="Manual Review","",IF($G1298="","",IF($D1298="Direct Expiry",$G1298,EDATE($G1298,$F1298)))),"Check Date")</f>
        <v/>
      </c>
      <c r="I1298" s="12" t="str">
        <f aca="true">IF($H1298="","",IF(ISNUMBER($H1298),$H1298-TODAY(),""))</f>
        <v/>
      </c>
      <c r="J1298" s="4" t="str">
        <f aca="true">IF($D1298="Manual Review","Manual Review",IF($G1298="","No Data",IF(NOT(ISNUMBER($H1298)),"N/A",IF($H1298&lt;TODAY(),"Overdue",IF($H1298&lt;=TODAY()+30,"Due within 1 Month",IF($H1298&lt;=TODAY()+60,"Due within 2 Months","OK"))))))</f>
        <v>No Data</v>
      </c>
      <c r="K1298" s="13"/>
    </row>
    <row r="1299" customFormat="false" ht="15" hidden="false" customHeight="false" outlineLevel="0" collapsed="false">
      <c r="A1299" s="9" t="str">
        <f aca="false">Vessels!B16</f>
        <v>Vessel 12</v>
      </c>
      <c r="B1299" s="9" t="s">
        <v>88</v>
      </c>
      <c r="C1299" s="7" t="s">
        <v>101</v>
      </c>
      <c r="D1299" s="9" t="s">
        <v>45</v>
      </c>
      <c r="E1299" s="9" t="s">
        <v>44</v>
      </c>
      <c r="F1299" s="5" t="n">
        <v>12</v>
      </c>
      <c r="G1299" s="10"/>
      <c r="H1299" s="11" t="str">
        <f aca="false">IFERROR(IF($D1299="Manual Review","",IF($G1299="","",IF($D1299="Direct Expiry",$G1299,EDATE($G1299,$F1299)))),"Check Date")</f>
        <v/>
      </c>
      <c r="I1299" s="12" t="str">
        <f aca="true">IF($H1299="","",IF(ISNUMBER($H1299),$H1299-TODAY(),""))</f>
        <v/>
      </c>
      <c r="J1299" s="4" t="str">
        <f aca="true">IF($D1299="Manual Review","Manual Review",IF($G1299="","No Data",IF(NOT(ISNUMBER($H1299)),"N/A",IF($H1299&lt;TODAY(),"Overdue",IF($H1299&lt;=TODAY()+30,"Due within 1 Month",IF($H1299&lt;=TODAY()+60,"Due within 2 Months","OK"))))))</f>
        <v>No Data</v>
      </c>
      <c r="K1299" s="13"/>
    </row>
    <row r="1300" customFormat="false" ht="23.85" hidden="false" customHeight="false" outlineLevel="0" collapsed="false">
      <c r="A1300" s="9" t="str">
        <f aca="false">Vessels!B16</f>
        <v>Vessel 12</v>
      </c>
      <c r="B1300" s="9" t="s">
        <v>88</v>
      </c>
      <c r="C1300" s="7" t="s">
        <v>102</v>
      </c>
      <c r="D1300" s="9" t="s">
        <v>45</v>
      </c>
      <c r="E1300" s="9" t="s">
        <v>44</v>
      </c>
      <c r="F1300" s="5" t="n">
        <v>12</v>
      </c>
      <c r="G1300" s="10"/>
      <c r="H1300" s="11" t="str">
        <f aca="false">IFERROR(IF($D1300="Manual Review","",IF($G1300="","",IF($D1300="Direct Expiry",$G1300,EDATE($G1300,$F1300)))),"Check Date")</f>
        <v/>
      </c>
      <c r="I1300" s="12" t="str">
        <f aca="true">IF($H1300="","",IF(ISNUMBER($H1300),$H1300-TODAY(),""))</f>
        <v/>
      </c>
      <c r="J1300" s="4" t="str">
        <f aca="true">IF($D1300="Manual Review","Manual Review",IF($G1300="","No Data",IF(NOT(ISNUMBER($H1300)),"N/A",IF($H1300&lt;TODAY(),"Overdue",IF($H1300&lt;=TODAY()+30,"Due within 1 Month",IF($H1300&lt;=TODAY()+60,"Due within 2 Months","OK"))))))</f>
        <v>No Data</v>
      </c>
      <c r="K1300" s="13"/>
    </row>
    <row r="1301" customFormat="false" ht="23.85" hidden="false" customHeight="false" outlineLevel="0" collapsed="false">
      <c r="A1301" s="9" t="str">
        <f aca="false">Vessels!B16</f>
        <v>Vessel 12</v>
      </c>
      <c r="B1301" s="9" t="s">
        <v>88</v>
      </c>
      <c r="C1301" s="7" t="s">
        <v>102</v>
      </c>
      <c r="D1301" s="9" t="s">
        <v>45</v>
      </c>
      <c r="E1301" s="9" t="s">
        <v>97</v>
      </c>
      <c r="F1301" s="5" t="n">
        <v>120</v>
      </c>
      <c r="G1301" s="10"/>
      <c r="H1301" s="11" t="str">
        <f aca="false">IFERROR(IF($D1301="Manual Review","",IF($G1301="","",IF($D1301="Direct Expiry",$G1301,EDATE($G1301,$F1301)))),"Check Date")</f>
        <v/>
      </c>
      <c r="I1301" s="12" t="str">
        <f aca="true">IF($H1301="","",IF(ISNUMBER($H1301),$H1301-TODAY(),""))</f>
        <v/>
      </c>
      <c r="J1301" s="4" t="str">
        <f aca="true">IF($D1301="Manual Review","Manual Review",IF($G1301="","No Data",IF(NOT(ISNUMBER($H1301)),"N/A",IF($H1301&lt;TODAY(),"Overdue",IF($H1301&lt;=TODAY()+30,"Due within 1 Month",IF($H1301&lt;=TODAY()+60,"Due within 2 Months","OK"))))))</f>
        <v>No Data</v>
      </c>
      <c r="K1301" s="13"/>
    </row>
    <row r="1302" customFormat="false" ht="15" hidden="false" customHeight="false" outlineLevel="0" collapsed="false">
      <c r="A1302" s="9" t="str">
        <f aca="false">Vessels!B16</f>
        <v>Vessel 12</v>
      </c>
      <c r="B1302" s="9" t="s">
        <v>88</v>
      </c>
      <c r="C1302" s="7" t="s">
        <v>103</v>
      </c>
      <c r="D1302" s="9" t="s">
        <v>45</v>
      </c>
      <c r="E1302" s="9" t="s">
        <v>44</v>
      </c>
      <c r="F1302" s="5" t="n">
        <v>12</v>
      </c>
      <c r="G1302" s="10"/>
      <c r="H1302" s="11" t="str">
        <f aca="false">IFERROR(IF($D1302="Manual Review","",IF($G1302="","",IF($D1302="Direct Expiry",$G1302,EDATE($G1302,$F1302)))),"Check Date")</f>
        <v/>
      </c>
      <c r="I1302" s="12" t="str">
        <f aca="true">IF($H1302="","",IF(ISNUMBER($H1302),$H1302-TODAY(),""))</f>
        <v/>
      </c>
      <c r="J1302" s="4" t="str">
        <f aca="true">IF($D1302="Manual Review","Manual Review",IF($G1302="","No Data",IF(NOT(ISNUMBER($H1302)),"N/A",IF($H1302&lt;TODAY(),"Overdue",IF($H1302&lt;=TODAY()+30,"Due within 1 Month",IF($H1302&lt;=TODAY()+60,"Due within 2 Months","OK"))))))</f>
        <v>No Data</v>
      </c>
      <c r="K1302" s="13"/>
    </row>
    <row r="1303" customFormat="false" ht="15" hidden="false" customHeight="false" outlineLevel="0" collapsed="false">
      <c r="A1303" s="9" t="str">
        <f aca="false">Vessels!B16</f>
        <v>Vessel 12</v>
      </c>
      <c r="B1303" s="9" t="s">
        <v>88</v>
      </c>
      <c r="C1303" s="7" t="s">
        <v>103</v>
      </c>
      <c r="D1303" s="9" t="s">
        <v>45</v>
      </c>
      <c r="E1303" s="9" t="s">
        <v>97</v>
      </c>
      <c r="F1303" s="5" t="n">
        <v>120</v>
      </c>
      <c r="G1303" s="10"/>
      <c r="H1303" s="11" t="str">
        <f aca="false">IFERROR(IF($D1303="Manual Review","",IF($G1303="","",IF($D1303="Direct Expiry",$G1303,EDATE($G1303,$F1303)))),"Check Date")</f>
        <v/>
      </c>
      <c r="I1303" s="12" t="str">
        <f aca="true">IF($H1303="","",IF(ISNUMBER($H1303),$H1303-TODAY(),""))</f>
        <v/>
      </c>
      <c r="J1303" s="4" t="str">
        <f aca="true">IF($D1303="Manual Review","Manual Review",IF($G1303="","No Data",IF(NOT(ISNUMBER($H1303)),"N/A",IF($H1303&lt;TODAY(),"Overdue",IF($H1303&lt;=TODAY()+30,"Due within 1 Month",IF($H1303&lt;=TODAY()+60,"Due within 2 Months","OK"))))))</f>
        <v>No Data</v>
      </c>
      <c r="K1303" s="13"/>
    </row>
    <row r="1304" customFormat="false" ht="15" hidden="false" customHeight="false" outlineLevel="0" collapsed="false">
      <c r="A1304" s="9" t="str">
        <f aca="false">Vessels!B16</f>
        <v>Vessel 12</v>
      </c>
      <c r="B1304" s="9" t="s">
        <v>88</v>
      </c>
      <c r="C1304" s="7" t="s">
        <v>104</v>
      </c>
      <c r="D1304" s="9" t="s">
        <v>45</v>
      </c>
      <c r="E1304" s="9" t="s">
        <v>44</v>
      </c>
      <c r="F1304" s="5" t="n">
        <v>12</v>
      </c>
      <c r="G1304" s="10"/>
      <c r="H1304" s="11" t="str">
        <f aca="false">IFERROR(IF($D1304="Manual Review","",IF($G1304="","",IF($D1304="Direct Expiry",$G1304,EDATE($G1304,$F1304)))),"Check Date")</f>
        <v/>
      </c>
      <c r="I1304" s="12" t="str">
        <f aca="true">IF($H1304="","",IF(ISNUMBER($H1304),$H1304-TODAY(),""))</f>
        <v/>
      </c>
      <c r="J1304" s="4" t="str">
        <f aca="true">IF($D1304="Manual Review","Manual Review",IF($G1304="","No Data",IF(NOT(ISNUMBER($H1304)),"N/A",IF($H1304&lt;TODAY(),"Overdue",IF($H1304&lt;=TODAY()+30,"Due within 1 Month",IF($H1304&lt;=TODAY()+60,"Due within 2 Months","OK"))))))</f>
        <v>No Data</v>
      </c>
      <c r="K1304" s="13"/>
    </row>
    <row r="1305" customFormat="false" ht="15" hidden="false" customHeight="false" outlineLevel="0" collapsed="false">
      <c r="A1305" s="9" t="str">
        <f aca="false">Vessels!B16</f>
        <v>Vessel 12</v>
      </c>
      <c r="B1305" s="9" t="s">
        <v>88</v>
      </c>
      <c r="C1305" s="7" t="s">
        <v>105</v>
      </c>
      <c r="D1305" s="9" t="s">
        <v>45</v>
      </c>
      <c r="E1305" s="9" t="s">
        <v>44</v>
      </c>
      <c r="F1305" s="5" t="n">
        <v>12</v>
      </c>
      <c r="G1305" s="10"/>
      <c r="H1305" s="11" t="str">
        <f aca="false">IFERROR(IF($D1305="Manual Review","",IF($G1305="","",IF($D1305="Direct Expiry",$G1305,EDATE($G1305,$F1305)))),"Check Date")</f>
        <v/>
      </c>
      <c r="I1305" s="12" t="str">
        <f aca="true">IF($H1305="","",IF(ISNUMBER($H1305),$H1305-TODAY(),""))</f>
        <v/>
      </c>
      <c r="J1305" s="4" t="str">
        <f aca="true">IF($D1305="Manual Review","Manual Review",IF($G1305="","No Data",IF(NOT(ISNUMBER($H1305)),"N/A",IF($H1305&lt;TODAY(),"Overdue",IF($H1305&lt;=TODAY()+30,"Due within 1 Month",IF($H1305&lt;=TODAY()+60,"Due within 2 Months","OK"))))))</f>
        <v>No Data</v>
      </c>
      <c r="K1305" s="13"/>
    </row>
    <row r="1306" customFormat="false" ht="15" hidden="false" customHeight="false" outlineLevel="0" collapsed="false">
      <c r="A1306" s="9" t="str">
        <f aca="false">Vessels!B16</f>
        <v>Vessel 12</v>
      </c>
      <c r="B1306" s="9" t="s">
        <v>88</v>
      </c>
      <c r="C1306" s="7" t="s">
        <v>106</v>
      </c>
      <c r="D1306" s="9" t="s">
        <v>45</v>
      </c>
      <c r="E1306" s="9" t="s">
        <v>44</v>
      </c>
      <c r="F1306" s="5" t="n">
        <v>12</v>
      </c>
      <c r="G1306" s="10"/>
      <c r="H1306" s="11" t="str">
        <f aca="false">IFERROR(IF($D1306="Manual Review","",IF($G1306="","",IF($D1306="Direct Expiry",$G1306,EDATE($G1306,$F1306)))),"Check Date")</f>
        <v/>
      </c>
      <c r="I1306" s="12" t="str">
        <f aca="true">IF($H1306="","",IF(ISNUMBER($H1306),$H1306-TODAY(),""))</f>
        <v/>
      </c>
      <c r="J1306" s="4" t="str">
        <f aca="true">IF($D1306="Manual Review","Manual Review",IF($G1306="","No Data",IF(NOT(ISNUMBER($H1306)),"N/A",IF($H1306&lt;TODAY(),"Overdue",IF($H1306&lt;=TODAY()+30,"Due within 1 Month",IF($H1306&lt;=TODAY()+60,"Due within 2 Months","OK"))))))</f>
        <v>No Data</v>
      </c>
      <c r="K1306" s="13"/>
    </row>
    <row r="1307" customFormat="false" ht="15" hidden="false" customHeight="false" outlineLevel="0" collapsed="false">
      <c r="A1307" s="9" t="str">
        <f aca="false">Vessels!B16</f>
        <v>Vessel 12</v>
      </c>
      <c r="B1307" s="9" t="s">
        <v>88</v>
      </c>
      <c r="C1307" s="7" t="s">
        <v>107</v>
      </c>
      <c r="D1307" s="9" t="s">
        <v>45</v>
      </c>
      <c r="E1307" s="9" t="s">
        <v>44</v>
      </c>
      <c r="F1307" s="5" t="n">
        <v>12</v>
      </c>
      <c r="G1307" s="10"/>
      <c r="H1307" s="11" t="str">
        <f aca="false">IFERROR(IF($D1307="Manual Review","",IF($G1307="","",IF($D1307="Direct Expiry",$G1307,EDATE($G1307,$F1307)))),"Check Date")</f>
        <v/>
      </c>
      <c r="I1307" s="12" t="str">
        <f aca="true">IF($H1307="","",IF(ISNUMBER($H1307),$H1307-TODAY(),""))</f>
        <v/>
      </c>
      <c r="J1307" s="4" t="str">
        <f aca="true">IF($D1307="Manual Review","Manual Review",IF($G1307="","No Data",IF(NOT(ISNUMBER($H1307)),"N/A",IF($H1307&lt;TODAY(),"Overdue",IF($H1307&lt;=TODAY()+30,"Due within 1 Month",IF($H1307&lt;=TODAY()+60,"Due within 2 Months","OK"))))))</f>
        <v>No Data</v>
      </c>
      <c r="K1307" s="13"/>
    </row>
    <row r="1308" customFormat="false" ht="15" hidden="false" customHeight="false" outlineLevel="0" collapsed="false">
      <c r="A1308" s="9" t="str">
        <f aca="false">Vessels!B16</f>
        <v>Vessel 12</v>
      </c>
      <c r="B1308" s="9" t="s">
        <v>88</v>
      </c>
      <c r="C1308" s="7" t="s">
        <v>108</v>
      </c>
      <c r="D1308" s="9" t="s">
        <v>45</v>
      </c>
      <c r="E1308" s="9" t="s">
        <v>109</v>
      </c>
      <c r="F1308" s="5" t="n">
        <v>12</v>
      </c>
      <c r="G1308" s="10"/>
      <c r="H1308" s="11" t="str">
        <f aca="false">IFERROR(IF($D1308="Manual Review","",IF($G1308="","",IF($D1308="Direct Expiry",$G1308,EDATE($G1308,$F1308)))),"Check Date")</f>
        <v/>
      </c>
      <c r="I1308" s="12" t="str">
        <f aca="true">IF($H1308="","",IF(ISNUMBER($H1308),$H1308-TODAY(),""))</f>
        <v/>
      </c>
      <c r="J1308" s="4" t="str">
        <f aca="true">IF($D1308="Manual Review","Manual Review",IF($G1308="","No Data",IF(NOT(ISNUMBER($H1308)),"N/A",IF($H1308&lt;TODAY(),"Overdue",IF($H1308&lt;=TODAY()+30,"Due within 1 Month",IF($H1308&lt;=TODAY()+60,"Due within 2 Months","OK"))))))</f>
        <v>No Data</v>
      </c>
      <c r="K1308" s="13"/>
    </row>
    <row r="1309" customFormat="false" ht="15" hidden="false" customHeight="false" outlineLevel="0" collapsed="false">
      <c r="A1309" s="9" t="str">
        <f aca="false">Vessels!B16</f>
        <v>Vessel 12</v>
      </c>
      <c r="B1309" s="9" t="s">
        <v>88</v>
      </c>
      <c r="C1309" s="7" t="s">
        <v>108</v>
      </c>
      <c r="D1309" s="9" t="s">
        <v>45</v>
      </c>
      <c r="E1309" s="9" t="s">
        <v>110</v>
      </c>
      <c r="F1309" s="5" t="n">
        <v>60</v>
      </c>
      <c r="G1309" s="10"/>
      <c r="H1309" s="11" t="str">
        <f aca="false">IFERROR(IF($D1309="Manual Review","",IF($G1309="","",IF($D1309="Direct Expiry",$G1309,EDATE($G1309,$F1309)))),"Check Date")</f>
        <v/>
      </c>
      <c r="I1309" s="12" t="str">
        <f aca="true">IF($H1309="","",IF(ISNUMBER($H1309),$H1309-TODAY(),""))</f>
        <v/>
      </c>
      <c r="J1309" s="4" t="str">
        <f aca="true">IF($D1309="Manual Review","Manual Review",IF($G1309="","No Data",IF(NOT(ISNUMBER($H1309)),"N/A",IF($H1309&lt;TODAY(),"Overdue",IF($H1309&lt;=TODAY()+30,"Due within 1 Month",IF($H1309&lt;=TODAY()+60,"Due within 2 Months","OK"))))))</f>
        <v>No Data</v>
      </c>
      <c r="K1309" s="13"/>
    </row>
    <row r="1310" customFormat="false" ht="15" hidden="false" customHeight="false" outlineLevel="0" collapsed="false">
      <c r="A1310" s="9" t="str">
        <f aca="false">Vessels!B16</f>
        <v>Vessel 12</v>
      </c>
      <c r="B1310" s="9" t="s">
        <v>88</v>
      </c>
      <c r="C1310" s="7" t="s">
        <v>111</v>
      </c>
      <c r="D1310" s="9" t="s">
        <v>45</v>
      </c>
      <c r="E1310" s="9" t="s">
        <v>44</v>
      </c>
      <c r="F1310" s="5" t="n">
        <v>12</v>
      </c>
      <c r="G1310" s="10"/>
      <c r="H1310" s="11" t="str">
        <f aca="false">IFERROR(IF($D1310="Manual Review","",IF($G1310="","",IF($D1310="Direct Expiry",$G1310,EDATE($G1310,$F1310)))),"Check Date")</f>
        <v/>
      </c>
      <c r="I1310" s="12" t="str">
        <f aca="true">IF($H1310="","",IF(ISNUMBER($H1310),$H1310-TODAY(),""))</f>
        <v/>
      </c>
      <c r="J1310" s="4" t="str">
        <f aca="true">IF($D1310="Manual Review","Manual Review",IF($G1310="","No Data",IF(NOT(ISNUMBER($H1310)),"N/A",IF($H1310&lt;TODAY(),"Overdue",IF($H1310&lt;=TODAY()+30,"Due within 1 Month",IF($H1310&lt;=TODAY()+60,"Due within 2 Months","OK"))))))</f>
        <v>No Data</v>
      </c>
      <c r="K1310" s="13"/>
    </row>
    <row r="1311" customFormat="false" ht="15" hidden="false" customHeight="false" outlineLevel="0" collapsed="false">
      <c r="A1311" s="9" t="str">
        <f aca="false">Vessels!B16</f>
        <v>Vessel 12</v>
      </c>
      <c r="B1311" s="9" t="s">
        <v>88</v>
      </c>
      <c r="C1311" s="7" t="s">
        <v>112</v>
      </c>
      <c r="D1311" s="9" t="s">
        <v>45</v>
      </c>
      <c r="E1311" s="9" t="s">
        <v>44</v>
      </c>
      <c r="F1311" s="5" t="n">
        <v>12</v>
      </c>
      <c r="G1311" s="10"/>
      <c r="H1311" s="11" t="str">
        <f aca="false">IFERROR(IF($D1311="Manual Review","",IF($G1311="","",IF($D1311="Direct Expiry",$G1311,EDATE($G1311,$F1311)))),"Check Date")</f>
        <v/>
      </c>
      <c r="I1311" s="12" t="str">
        <f aca="true">IF($H1311="","",IF(ISNUMBER($H1311),$H1311-TODAY(),""))</f>
        <v/>
      </c>
      <c r="J1311" s="4" t="str">
        <f aca="true">IF($D1311="Manual Review","Manual Review",IF($G1311="","No Data",IF(NOT(ISNUMBER($H1311)),"N/A",IF($H1311&lt;TODAY(),"Overdue",IF($H1311&lt;=TODAY()+30,"Due within 1 Month",IF($H1311&lt;=TODAY()+60,"Due within 2 Months","OK"))))))</f>
        <v>No Data</v>
      </c>
      <c r="K1311" s="13"/>
    </row>
    <row r="1312" customFormat="false" ht="15" hidden="false" customHeight="false" outlineLevel="0" collapsed="false">
      <c r="A1312" s="9" t="str">
        <f aca="false">Vessels!B16</f>
        <v>Vessel 12</v>
      </c>
      <c r="B1312" s="9" t="s">
        <v>88</v>
      </c>
      <c r="C1312" s="7" t="s">
        <v>113</v>
      </c>
      <c r="D1312" s="9" t="s">
        <v>115</v>
      </c>
      <c r="E1312" s="9" t="s">
        <v>114</v>
      </c>
      <c r="F1312" s="5"/>
      <c r="G1312" s="10"/>
      <c r="H1312" s="11" t="str">
        <f aca="false">IFERROR(IF($D1312="Manual Review","",IF($G1312="","",IF($D1312="Direct Expiry",$G1312,EDATE($G1312,$F1312)))),"Check Date")</f>
        <v/>
      </c>
      <c r="I1312" s="12" t="str">
        <f aca="true">IF($H1312="","",IF(ISNUMBER($H1312),$H1312-TODAY(),""))</f>
        <v/>
      </c>
      <c r="J1312" s="4" t="str">
        <f aca="true">IF($D1312="Manual Review","Manual Review",IF($G1312="","No Data",IF(NOT(ISNUMBER($H1312)),"N/A",IF($H1312&lt;TODAY(),"Overdue",IF($H1312&lt;=TODAY()+30,"Due within 1 Month",IF($H1312&lt;=TODAY()+60,"Due within 2 Months","OK"))))))</f>
        <v>Manual Review</v>
      </c>
      <c r="K1312" s="13"/>
    </row>
    <row r="1313" customFormat="false" ht="15" hidden="false" customHeight="false" outlineLevel="0" collapsed="false">
      <c r="A1313" s="9" t="str">
        <f aca="false">Vessels!B16</f>
        <v>Vessel 12</v>
      </c>
      <c r="B1313" s="9" t="s">
        <v>88</v>
      </c>
      <c r="C1313" s="7" t="s">
        <v>116</v>
      </c>
      <c r="D1313" s="9" t="s">
        <v>115</v>
      </c>
      <c r="E1313" s="9" t="s">
        <v>114</v>
      </c>
      <c r="F1313" s="5"/>
      <c r="G1313" s="10"/>
      <c r="H1313" s="11" t="str">
        <f aca="false">IFERROR(IF($D1313="Manual Review","",IF($G1313="","",IF($D1313="Direct Expiry",$G1313,EDATE($G1313,$F1313)))),"Check Date")</f>
        <v/>
      </c>
      <c r="I1313" s="12" t="str">
        <f aca="true">IF($H1313="","",IF(ISNUMBER($H1313),$H1313-TODAY(),""))</f>
        <v/>
      </c>
      <c r="J1313" s="4" t="str">
        <f aca="true">IF($D1313="Manual Review","Manual Review",IF($G1313="","No Data",IF(NOT(ISNUMBER($H1313)),"N/A",IF($H1313&lt;TODAY(),"Overdue",IF($H1313&lt;=TODAY()+30,"Due within 1 Month",IF($H1313&lt;=TODAY()+60,"Due within 2 Months","OK"))))))</f>
        <v>Manual Review</v>
      </c>
      <c r="K1313" s="13"/>
    </row>
    <row r="1314" customFormat="false" ht="15" hidden="false" customHeight="false" outlineLevel="0" collapsed="false">
      <c r="A1314" s="9" t="str">
        <f aca="false">Vessels!B16</f>
        <v>Vessel 12</v>
      </c>
      <c r="B1314" s="9" t="s">
        <v>117</v>
      </c>
      <c r="C1314" s="7" t="s">
        <v>118</v>
      </c>
      <c r="D1314" s="9" t="s">
        <v>59</v>
      </c>
      <c r="E1314" s="9" t="s">
        <v>119</v>
      </c>
      <c r="F1314" s="5"/>
      <c r="G1314" s="10"/>
      <c r="H1314" s="11" t="str">
        <f aca="false">IFERROR(IF($D1314="Manual Review","",IF($G1314="","",IF($D1314="Direct Expiry",$G1314,EDATE($G1314,$F1314)))),"Check Date")</f>
        <v/>
      </c>
      <c r="I1314" s="12" t="str">
        <f aca="true">IF($H1314="","",IF(ISNUMBER($H1314),$H1314-TODAY(),""))</f>
        <v/>
      </c>
      <c r="J1314" s="4" t="str">
        <f aca="true">IF($D1314="Manual Review","Manual Review",IF($G1314="","No Data",IF(NOT(ISNUMBER($H1314)),"N/A",IF($H1314&lt;TODAY(),"Overdue",IF($H1314&lt;=TODAY()+30,"Due within 1 Month",IF($H1314&lt;=TODAY()+60,"Due within 2 Months","OK"))))))</f>
        <v>No Data</v>
      </c>
      <c r="K1314" s="13"/>
    </row>
    <row r="1315" customFormat="false" ht="15" hidden="false" customHeight="false" outlineLevel="0" collapsed="false">
      <c r="A1315" s="9" t="str">
        <f aca="false">Vessels!B16</f>
        <v>Vessel 12</v>
      </c>
      <c r="B1315" s="9" t="s">
        <v>117</v>
      </c>
      <c r="C1315" s="7" t="s">
        <v>120</v>
      </c>
      <c r="D1315" s="9" t="s">
        <v>45</v>
      </c>
      <c r="E1315" s="9" t="s">
        <v>44</v>
      </c>
      <c r="F1315" s="5" t="n">
        <v>12</v>
      </c>
      <c r="G1315" s="10"/>
      <c r="H1315" s="11" t="str">
        <f aca="false">IFERROR(IF($D1315="Manual Review","",IF($G1315="","",IF($D1315="Direct Expiry",$G1315,EDATE($G1315,$F1315)))),"Check Date")</f>
        <v/>
      </c>
      <c r="I1315" s="12" t="str">
        <f aca="true">IF($H1315="","",IF(ISNUMBER($H1315),$H1315-TODAY(),""))</f>
        <v/>
      </c>
      <c r="J1315" s="4" t="str">
        <f aca="true">IF($D1315="Manual Review","Manual Review",IF($G1315="","No Data",IF(NOT(ISNUMBER($H1315)),"N/A",IF($H1315&lt;TODAY(),"Overdue",IF($H1315&lt;=TODAY()+30,"Due within 1 Month",IF($H1315&lt;=TODAY()+60,"Due within 2 Months","OK"))))))</f>
        <v>No Data</v>
      </c>
      <c r="K1315" s="13"/>
    </row>
    <row r="1316" customFormat="false" ht="15" hidden="false" customHeight="false" outlineLevel="0" collapsed="false">
      <c r="A1316" s="9" t="str">
        <f aca="false">Vessels!B16</f>
        <v>Vessel 12</v>
      </c>
      <c r="B1316" s="9" t="s">
        <v>117</v>
      </c>
      <c r="C1316" s="7" t="s">
        <v>121</v>
      </c>
      <c r="D1316" s="9" t="s">
        <v>45</v>
      </c>
      <c r="E1316" s="9" t="s">
        <v>44</v>
      </c>
      <c r="F1316" s="5" t="n">
        <v>12</v>
      </c>
      <c r="G1316" s="10"/>
      <c r="H1316" s="11" t="str">
        <f aca="false">IFERROR(IF($D1316="Manual Review","",IF($G1316="","",IF($D1316="Direct Expiry",$G1316,EDATE($G1316,$F1316)))),"Check Date")</f>
        <v/>
      </c>
      <c r="I1316" s="12" t="str">
        <f aca="true">IF($H1316="","",IF(ISNUMBER($H1316),$H1316-TODAY(),""))</f>
        <v/>
      </c>
      <c r="J1316" s="4" t="str">
        <f aca="true">IF($D1316="Manual Review","Manual Review",IF($G1316="","No Data",IF(NOT(ISNUMBER($H1316)),"N/A",IF($H1316&lt;TODAY(),"Overdue",IF($H1316&lt;=TODAY()+30,"Due within 1 Month",IF($H1316&lt;=TODAY()+60,"Due within 2 Months","OK"))))))</f>
        <v>No Data</v>
      </c>
      <c r="K1316" s="13"/>
    </row>
    <row r="1317" customFormat="false" ht="15" hidden="false" customHeight="false" outlineLevel="0" collapsed="false">
      <c r="A1317" s="9" t="str">
        <f aca="false">Vessels!B16</f>
        <v>Vessel 12</v>
      </c>
      <c r="B1317" s="9" t="s">
        <v>117</v>
      </c>
      <c r="C1317" s="7" t="s">
        <v>122</v>
      </c>
      <c r="D1317" s="9" t="s">
        <v>45</v>
      </c>
      <c r="E1317" s="9" t="s">
        <v>123</v>
      </c>
      <c r="F1317" s="5" t="n">
        <v>24</v>
      </c>
      <c r="G1317" s="10"/>
      <c r="H1317" s="11" t="str">
        <f aca="false">IFERROR(IF($D1317="Manual Review","",IF($G1317="","",IF($D1317="Direct Expiry",$G1317,EDATE($G1317,$F1317)))),"Check Date")</f>
        <v/>
      </c>
      <c r="I1317" s="12" t="str">
        <f aca="true">IF($H1317="","",IF(ISNUMBER($H1317),$H1317-TODAY(),""))</f>
        <v/>
      </c>
      <c r="J1317" s="4" t="str">
        <f aca="true">IF($D1317="Manual Review","Manual Review",IF($G1317="","No Data",IF(NOT(ISNUMBER($H1317)),"N/A",IF($H1317&lt;TODAY(),"Overdue",IF($H1317&lt;=TODAY()+30,"Due within 1 Month",IF($H1317&lt;=TODAY()+60,"Due within 2 Months","OK"))))))</f>
        <v>No Data</v>
      </c>
      <c r="K1317" s="13"/>
    </row>
    <row r="1318" customFormat="false" ht="15" hidden="false" customHeight="false" outlineLevel="0" collapsed="false">
      <c r="A1318" s="9" t="str">
        <f aca="false">Vessels!B16</f>
        <v>Vessel 12</v>
      </c>
      <c r="B1318" s="9" t="s">
        <v>117</v>
      </c>
      <c r="C1318" s="7" t="s">
        <v>124</v>
      </c>
      <c r="D1318" s="9" t="s">
        <v>59</v>
      </c>
      <c r="E1318" s="9" t="s">
        <v>58</v>
      </c>
      <c r="F1318" s="5"/>
      <c r="G1318" s="10"/>
      <c r="H1318" s="11" t="str">
        <f aca="false">IFERROR(IF($D1318="Manual Review","",IF($G1318="","",IF($D1318="Direct Expiry",$G1318,EDATE($G1318,$F1318)))),"Check Date")</f>
        <v/>
      </c>
      <c r="I1318" s="12" t="str">
        <f aca="true">IF($H1318="","",IF(ISNUMBER($H1318),$H1318-TODAY(),""))</f>
        <v/>
      </c>
      <c r="J1318" s="4" t="str">
        <f aca="true">IF($D1318="Manual Review","Manual Review",IF($G1318="","No Data",IF(NOT(ISNUMBER($H1318)),"N/A",IF($H1318&lt;TODAY(),"Overdue",IF($H1318&lt;=TODAY()+30,"Due within 1 Month",IF($H1318&lt;=TODAY()+60,"Due within 2 Months","OK"))))))</f>
        <v>No Data</v>
      </c>
      <c r="K1318" s="13"/>
    </row>
    <row r="1319" customFormat="false" ht="15" hidden="false" customHeight="false" outlineLevel="0" collapsed="false">
      <c r="A1319" s="9" t="str">
        <f aca="false">Vessels!B16</f>
        <v>Vessel 12</v>
      </c>
      <c r="B1319" s="9" t="s">
        <v>117</v>
      </c>
      <c r="C1319" s="7" t="s">
        <v>125</v>
      </c>
      <c r="D1319" s="9" t="s">
        <v>59</v>
      </c>
      <c r="E1319" s="9" t="s">
        <v>58</v>
      </c>
      <c r="F1319" s="5"/>
      <c r="G1319" s="10"/>
      <c r="H1319" s="11" t="str">
        <f aca="false">IFERROR(IF($D1319="Manual Review","",IF($G1319="","",IF($D1319="Direct Expiry",$G1319,EDATE($G1319,$F1319)))),"Check Date")</f>
        <v/>
      </c>
      <c r="I1319" s="12" t="str">
        <f aca="true">IF($H1319="","",IF(ISNUMBER($H1319),$H1319-TODAY(),""))</f>
        <v/>
      </c>
      <c r="J1319" s="4" t="str">
        <f aca="true">IF($D1319="Manual Review","Manual Review",IF($G1319="","No Data",IF(NOT(ISNUMBER($H1319)),"N/A",IF($H1319&lt;TODAY(),"Overdue",IF($H1319&lt;=TODAY()+30,"Due within 1 Month",IF($H1319&lt;=TODAY()+60,"Due within 2 Months","OK"))))))</f>
        <v>No Data</v>
      </c>
      <c r="K1319" s="13"/>
    </row>
    <row r="1320" customFormat="false" ht="15" hidden="false" customHeight="false" outlineLevel="0" collapsed="false">
      <c r="A1320" s="9" t="str">
        <f aca="false">Vessels!B16</f>
        <v>Vessel 12</v>
      </c>
      <c r="B1320" s="9" t="s">
        <v>117</v>
      </c>
      <c r="C1320" s="7" t="s">
        <v>126</v>
      </c>
      <c r="D1320" s="9" t="s">
        <v>45</v>
      </c>
      <c r="E1320" s="9" t="s">
        <v>44</v>
      </c>
      <c r="F1320" s="5" t="n">
        <v>12</v>
      </c>
      <c r="G1320" s="10"/>
      <c r="H1320" s="11" t="str">
        <f aca="false">IFERROR(IF($D1320="Manual Review","",IF($G1320="","",IF($D1320="Direct Expiry",$G1320,EDATE($G1320,$F1320)))),"Check Date")</f>
        <v/>
      </c>
      <c r="I1320" s="12" t="str">
        <f aca="true">IF($H1320="","",IF(ISNUMBER($H1320),$H1320-TODAY(),""))</f>
        <v/>
      </c>
      <c r="J1320" s="4" t="str">
        <f aca="true">IF($D1320="Manual Review","Manual Review",IF($G1320="","No Data",IF(NOT(ISNUMBER($H1320)),"N/A",IF($H1320&lt;TODAY(),"Overdue",IF($H1320&lt;=TODAY()+30,"Due within 1 Month",IF($H1320&lt;=TODAY()+60,"Due within 2 Months","OK"))))))</f>
        <v>No Data</v>
      </c>
      <c r="K1320" s="13"/>
    </row>
    <row r="1321" customFormat="false" ht="15" hidden="false" customHeight="false" outlineLevel="0" collapsed="false">
      <c r="A1321" s="9" t="str">
        <f aca="false">Vessels!B16</f>
        <v>Vessel 12</v>
      </c>
      <c r="B1321" s="9" t="s">
        <v>117</v>
      </c>
      <c r="C1321" s="7" t="s">
        <v>127</v>
      </c>
      <c r="D1321" s="9" t="s">
        <v>59</v>
      </c>
      <c r="E1321" s="9" t="s">
        <v>58</v>
      </c>
      <c r="F1321" s="5"/>
      <c r="G1321" s="10"/>
      <c r="H1321" s="11" t="str">
        <f aca="false">IFERROR(IF($D1321="Manual Review","",IF($G1321="","",IF($D1321="Direct Expiry",$G1321,EDATE($G1321,$F1321)))),"Check Date")</f>
        <v/>
      </c>
      <c r="I1321" s="12" t="str">
        <f aca="true">IF($H1321="","",IF(ISNUMBER($H1321),$H1321-TODAY(),""))</f>
        <v/>
      </c>
      <c r="J1321" s="4" t="str">
        <f aca="true">IF($D1321="Manual Review","Manual Review",IF($G1321="","No Data",IF(NOT(ISNUMBER($H1321)),"N/A",IF($H1321&lt;TODAY(),"Overdue",IF($H1321&lt;=TODAY()+30,"Due within 1 Month",IF($H1321&lt;=TODAY()+60,"Due within 2 Months","OK"))))))</f>
        <v>No Data</v>
      </c>
      <c r="K1321" s="13"/>
    </row>
    <row r="1322" customFormat="false" ht="15" hidden="false" customHeight="false" outlineLevel="0" collapsed="false">
      <c r="A1322" s="9" t="str">
        <f aca="false">Vessels!B16</f>
        <v>Vessel 12</v>
      </c>
      <c r="B1322" s="9" t="s">
        <v>117</v>
      </c>
      <c r="C1322" s="7" t="s">
        <v>128</v>
      </c>
      <c r="D1322" s="9" t="s">
        <v>59</v>
      </c>
      <c r="E1322" s="9" t="s">
        <v>58</v>
      </c>
      <c r="F1322" s="5"/>
      <c r="G1322" s="10"/>
      <c r="H1322" s="11" t="str">
        <f aca="false">IFERROR(IF($D1322="Manual Review","",IF($G1322="","",IF($D1322="Direct Expiry",$G1322,EDATE($G1322,$F1322)))),"Check Date")</f>
        <v/>
      </c>
      <c r="I1322" s="12" t="str">
        <f aca="true">IF($H1322="","",IF(ISNUMBER($H1322),$H1322-TODAY(),""))</f>
        <v/>
      </c>
      <c r="J1322" s="4" t="str">
        <f aca="true">IF($D1322="Manual Review","Manual Review",IF($G1322="","No Data",IF(NOT(ISNUMBER($H1322)),"N/A",IF($H1322&lt;TODAY(),"Overdue",IF($H1322&lt;=TODAY()+30,"Due within 1 Month",IF($H1322&lt;=TODAY()+60,"Due within 2 Months","OK"))))))</f>
        <v>No Data</v>
      </c>
      <c r="K1322" s="13"/>
    </row>
    <row r="1323" customFormat="false" ht="15" hidden="false" customHeight="false" outlineLevel="0" collapsed="false">
      <c r="A1323" s="9" t="str">
        <f aca="false">Vessels!B16</f>
        <v>Vessel 12</v>
      </c>
      <c r="B1323" s="9" t="s">
        <v>117</v>
      </c>
      <c r="C1323" s="7" t="s">
        <v>129</v>
      </c>
      <c r="D1323" s="9" t="s">
        <v>59</v>
      </c>
      <c r="E1323" s="9" t="s">
        <v>58</v>
      </c>
      <c r="F1323" s="5"/>
      <c r="G1323" s="10"/>
      <c r="H1323" s="11" t="str">
        <f aca="false">IFERROR(IF($D1323="Manual Review","",IF($G1323="","",IF($D1323="Direct Expiry",$G1323,EDATE($G1323,$F1323)))),"Check Date")</f>
        <v/>
      </c>
      <c r="I1323" s="12" t="str">
        <f aca="true">IF($H1323="","",IF(ISNUMBER($H1323),$H1323-TODAY(),""))</f>
        <v/>
      </c>
      <c r="J1323" s="4" t="str">
        <f aca="true">IF($D1323="Manual Review","Manual Review",IF($G1323="","No Data",IF(NOT(ISNUMBER($H1323)),"N/A",IF($H1323&lt;TODAY(),"Overdue",IF($H1323&lt;=TODAY()+30,"Due within 1 Month",IF($H1323&lt;=TODAY()+60,"Due within 2 Months","OK"))))))</f>
        <v>No Data</v>
      </c>
      <c r="K1323" s="13"/>
    </row>
    <row r="1324" customFormat="false" ht="15" hidden="false" customHeight="false" outlineLevel="0" collapsed="false">
      <c r="A1324" s="9" t="str">
        <f aca="false">Vessels!B16</f>
        <v>Vessel 12</v>
      </c>
      <c r="B1324" s="9" t="s">
        <v>117</v>
      </c>
      <c r="C1324" s="7" t="s">
        <v>130</v>
      </c>
      <c r="D1324" s="9" t="s">
        <v>45</v>
      </c>
      <c r="E1324" s="9" t="s">
        <v>44</v>
      </c>
      <c r="F1324" s="5" t="n">
        <v>12</v>
      </c>
      <c r="G1324" s="10"/>
      <c r="H1324" s="11" t="str">
        <f aca="false">IFERROR(IF($D1324="Manual Review","",IF($G1324="","",IF($D1324="Direct Expiry",$G1324,EDATE($G1324,$F1324)))),"Check Date")</f>
        <v/>
      </c>
      <c r="I1324" s="12" t="str">
        <f aca="true">IF($H1324="","",IF(ISNUMBER($H1324),$H1324-TODAY(),""))</f>
        <v/>
      </c>
      <c r="J1324" s="4" t="str">
        <f aca="true">IF($D1324="Manual Review","Manual Review",IF($G1324="","No Data",IF(NOT(ISNUMBER($H1324)),"N/A",IF($H1324&lt;TODAY(),"Overdue",IF($H1324&lt;=TODAY()+30,"Due within 1 Month",IF($H1324&lt;=TODAY()+60,"Due within 2 Months","OK"))))))</f>
        <v>No Data</v>
      </c>
      <c r="K1324" s="13"/>
    </row>
    <row r="1325" customFormat="false" ht="15" hidden="false" customHeight="false" outlineLevel="0" collapsed="false">
      <c r="A1325" s="9" t="str">
        <f aca="false">Vessels!B16</f>
        <v>Vessel 12</v>
      </c>
      <c r="B1325" s="9" t="s">
        <v>117</v>
      </c>
      <c r="C1325" s="7" t="s">
        <v>131</v>
      </c>
      <c r="D1325" s="9" t="s">
        <v>45</v>
      </c>
      <c r="E1325" s="9" t="s">
        <v>44</v>
      </c>
      <c r="F1325" s="5" t="n">
        <v>12</v>
      </c>
      <c r="G1325" s="10"/>
      <c r="H1325" s="11" t="str">
        <f aca="false">IFERROR(IF($D1325="Manual Review","",IF($G1325="","",IF($D1325="Direct Expiry",$G1325,EDATE($G1325,$F1325)))),"Check Date")</f>
        <v/>
      </c>
      <c r="I1325" s="12" t="str">
        <f aca="true">IF($H1325="","",IF(ISNUMBER($H1325),$H1325-TODAY(),""))</f>
        <v/>
      </c>
      <c r="J1325" s="4" t="str">
        <f aca="true">IF($D1325="Manual Review","Manual Review",IF($G1325="","No Data",IF(NOT(ISNUMBER($H1325)),"N/A",IF($H1325&lt;TODAY(),"Overdue",IF($H1325&lt;=TODAY()+30,"Due within 1 Month",IF($H1325&lt;=TODAY()+60,"Due within 2 Months","OK"))))))</f>
        <v>No Data</v>
      </c>
      <c r="K1325" s="13"/>
    </row>
    <row r="1326" customFormat="false" ht="15" hidden="false" customHeight="false" outlineLevel="0" collapsed="false">
      <c r="A1326" s="9" t="str">
        <f aca="false">Vessels!B16</f>
        <v>Vessel 12</v>
      </c>
      <c r="B1326" s="9" t="s">
        <v>117</v>
      </c>
      <c r="C1326" s="7" t="s">
        <v>132</v>
      </c>
      <c r="D1326" s="9" t="s">
        <v>45</v>
      </c>
      <c r="E1326" s="9" t="s">
        <v>44</v>
      </c>
      <c r="F1326" s="5" t="n">
        <v>12</v>
      </c>
      <c r="G1326" s="10"/>
      <c r="H1326" s="11" t="str">
        <f aca="false">IFERROR(IF($D1326="Manual Review","",IF($G1326="","",IF($D1326="Direct Expiry",$G1326,EDATE($G1326,$F1326)))),"Check Date")</f>
        <v/>
      </c>
      <c r="I1326" s="12" t="str">
        <f aca="true">IF($H1326="","",IF(ISNUMBER($H1326),$H1326-TODAY(),""))</f>
        <v/>
      </c>
      <c r="J1326" s="4" t="str">
        <f aca="true">IF($D1326="Manual Review","Manual Review",IF($G1326="","No Data",IF(NOT(ISNUMBER($H1326)),"N/A",IF($H1326&lt;TODAY(),"Overdue",IF($H1326&lt;=TODAY()+30,"Due within 1 Month",IF($H1326&lt;=TODAY()+60,"Due within 2 Months","OK"))))))</f>
        <v>No Data</v>
      </c>
      <c r="K1326" s="13"/>
    </row>
    <row r="1327" customFormat="false" ht="15" hidden="false" customHeight="false" outlineLevel="0" collapsed="false">
      <c r="A1327" s="9" t="str">
        <f aca="false">Vessels!B16</f>
        <v>Vessel 12</v>
      </c>
      <c r="B1327" s="9" t="s">
        <v>117</v>
      </c>
      <c r="C1327" s="7" t="s">
        <v>133</v>
      </c>
      <c r="D1327" s="9" t="s">
        <v>45</v>
      </c>
      <c r="E1327" s="9" t="s">
        <v>44</v>
      </c>
      <c r="F1327" s="5" t="n">
        <v>12</v>
      </c>
      <c r="G1327" s="10"/>
      <c r="H1327" s="11" t="str">
        <f aca="false">IFERROR(IF($D1327="Manual Review","",IF($G1327="","",IF($D1327="Direct Expiry",$G1327,EDATE($G1327,$F1327)))),"Check Date")</f>
        <v/>
      </c>
      <c r="I1327" s="12" t="str">
        <f aca="true">IF($H1327="","",IF(ISNUMBER($H1327),$H1327-TODAY(),""))</f>
        <v/>
      </c>
      <c r="J1327" s="4" t="str">
        <f aca="true">IF($D1327="Manual Review","Manual Review",IF($G1327="","No Data",IF(NOT(ISNUMBER($H1327)),"N/A",IF($H1327&lt;TODAY(),"Overdue",IF($H1327&lt;=TODAY()+30,"Due within 1 Month",IF($H1327&lt;=TODAY()+60,"Due within 2 Months","OK"))))))</f>
        <v>No Data</v>
      </c>
      <c r="K1327" s="13"/>
    </row>
    <row r="1328" customFormat="false" ht="15" hidden="false" customHeight="false" outlineLevel="0" collapsed="false">
      <c r="A1328" s="9" t="str">
        <f aca="false">Vessels!B16</f>
        <v>Vessel 12</v>
      </c>
      <c r="B1328" s="9" t="s">
        <v>117</v>
      </c>
      <c r="C1328" s="7" t="s">
        <v>134</v>
      </c>
      <c r="D1328" s="9" t="s">
        <v>45</v>
      </c>
      <c r="E1328" s="9" t="s">
        <v>44</v>
      </c>
      <c r="F1328" s="5" t="n">
        <v>12</v>
      </c>
      <c r="G1328" s="10"/>
      <c r="H1328" s="11" t="str">
        <f aca="false">IFERROR(IF($D1328="Manual Review","",IF($G1328="","",IF($D1328="Direct Expiry",$G1328,EDATE($G1328,$F1328)))),"Check Date")</f>
        <v/>
      </c>
      <c r="I1328" s="12" t="str">
        <f aca="true">IF($H1328="","",IF(ISNUMBER($H1328),$H1328-TODAY(),""))</f>
        <v/>
      </c>
      <c r="J1328" s="4" t="str">
        <f aca="true">IF($D1328="Manual Review","Manual Review",IF($G1328="","No Data",IF(NOT(ISNUMBER($H1328)),"N/A",IF($H1328&lt;TODAY(),"Overdue",IF($H1328&lt;=TODAY()+30,"Due within 1 Month",IF($H1328&lt;=TODAY()+60,"Due within 2 Months","OK"))))))</f>
        <v>No Data</v>
      </c>
      <c r="K1328" s="13"/>
    </row>
    <row r="1329" customFormat="false" ht="15" hidden="false" customHeight="false" outlineLevel="0" collapsed="false">
      <c r="A1329" s="9" t="str">
        <f aca="false">Vessels!B16</f>
        <v>Vessel 12</v>
      </c>
      <c r="B1329" s="9" t="s">
        <v>117</v>
      </c>
      <c r="C1329" s="7" t="s">
        <v>135</v>
      </c>
      <c r="D1329" s="9" t="s">
        <v>45</v>
      </c>
      <c r="E1329" s="9" t="s">
        <v>44</v>
      </c>
      <c r="F1329" s="5" t="n">
        <v>12</v>
      </c>
      <c r="G1329" s="10"/>
      <c r="H1329" s="11" t="str">
        <f aca="false">IFERROR(IF($D1329="Manual Review","",IF($G1329="","",IF($D1329="Direct Expiry",$G1329,EDATE($G1329,$F1329)))),"Check Date")</f>
        <v/>
      </c>
      <c r="I1329" s="12" t="str">
        <f aca="true">IF($H1329="","",IF(ISNUMBER($H1329),$H1329-TODAY(),""))</f>
        <v/>
      </c>
      <c r="J1329" s="4" t="str">
        <f aca="true">IF($D1329="Manual Review","Manual Review",IF($G1329="","No Data",IF(NOT(ISNUMBER($H1329)),"N/A",IF($H1329&lt;TODAY(),"Overdue",IF($H1329&lt;=TODAY()+30,"Due within 1 Month",IF($H1329&lt;=TODAY()+60,"Due within 2 Months","OK"))))))</f>
        <v>No Data</v>
      </c>
      <c r="K1329" s="13"/>
    </row>
    <row r="1330" customFormat="false" ht="15" hidden="false" customHeight="false" outlineLevel="0" collapsed="false">
      <c r="A1330" s="9" t="str">
        <f aca="false">Vessels!B16</f>
        <v>Vessel 12</v>
      </c>
      <c r="B1330" s="9" t="s">
        <v>136</v>
      </c>
      <c r="C1330" s="7" t="s">
        <v>137</v>
      </c>
      <c r="D1330" s="9" t="s">
        <v>45</v>
      </c>
      <c r="E1330" s="9" t="s">
        <v>44</v>
      </c>
      <c r="F1330" s="5" t="n">
        <v>12</v>
      </c>
      <c r="G1330" s="10"/>
      <c r="H1330" s="11" t="str">
        <f aca="false">IFERROR(IF($D1330="Manual Review","",IF($G1330="","",IF($D1330="Direct Expiry",$G1330,EDATE($G1330,$F1330)))),"Check Date")</f>
        <v/>
      </c>
      <c r="I1330" s="12" t="str">
        <f aca="true">IF($H1330="","",IF(ISNUMBER($H1330),$H1330-TODAY(),""))</f>
        <v/>
      </c>
      <c r="J1330" s="4" t="str">
        <f aca="true">IF($D1330="Manual Review","Manual Review",IF($G1330="","No Data",IF(NOT(ISNUMBER($H1330)),"N/A",IF($H1330&lt;TODAY(),"Overdue",IF($H1330&lt;=TODAY()+30,"Due within 1 Month",IF($H1330&lt;=TODAY()+60,"Due within 2 Months","OK"))))))</f>
        <v>No Data</v>
      </c>
      <c r="K1330" s="13"/>
    </row>
    <row r="1331" customFormat="false" ht="15" hidden="false" customHeight="false" outlineLevel="0" collapsed="false">
      <c r="A1331" s="9" t="str">
        <f aca="false">Vessels!B16</f>
        <v>Vessel 12</v>
      </c>
      <c r="B1331" s="9" t="s">
        <v>136</v>
      </c>
      <c r="C1331" s="7" t="s">
        <v>138</v>
      </c>
      <c r="D1331" s="9" t="s">
        <v>45</v>
      </c>
      <c r="E1331" s="9" t="s">
        <v>44</v>
      </c>
      <c r="F1331" s="5" t="n">
        <v>12</v>
      </c>
      <c r="G1331" s="10"/>
      <c r="H1331" s="11" t="str">
        <f aca="false">IFERROR(IF($D1331="Manual Review","",IF($G1331="","",IF($D1331="Direct Expiry",$G1331,EDATE($G1331,$F1331)))),"Check Date")</f>
        <v/>
      </c>
      <c r="I1331" s="12" t="str">
        <f aca="true">IF($H1331="","",IF(ISNUMBER($H1331),$H1331-TODAY(),""))</f>
        <v/>
      </c>
      <c r="J1331" s="4" t="str">
        <f aca="true">IF($D1331="Manual Review","Manual Review",IF($G1331="","No Data",IF(NOT(ISNUMBER($H1331)),"N/A",IF($H1331&lt;TODAY(),"Overdue",IF($H1331&lt;=TODAY()+30,"Due within 1 Month",IF($H1331&lt;=TODAY()+60,"Due within 2 Months","OK"))))))</f>
        <v>No Data</v>
      </c>
      <c r="K1331" s="13"/>
    </row>
    <row r="1332" customFormat="false" ht="15" hidden="false" customHeight="false" outlineLevel="0" collapsed="false">
      <c r="A1332" s="9" t="str">
        <f aca="false">Vessels!B16</f>
        <v>Vessel 12</v>
      </c>
      <c r="B1332" s="9" t="s">
        <v>136</v>
      </c>
      <c r="C1332" s="7" t="s">
        <v>139</v>
      </c>
      <c r="D1332" s="9" t="s">
        <v>45</v>
      </c>
      <c r="E1332" s="9" t="s">
        <v>140</v>
      </c>
      <c r="F1332" s="5" t="n">
        <v>12</v>
      </c>
      <c r="G1332" s="10"/>
      <c r="H1332" s="11" t="str">
        <f aca="false">IFERROR(IF($D1332="Manual Review","",IF($G1332="","",IF($D1332="Direct Expiry",$G1332,EDATE($G1332,$F1332)))),"Check Date")</f>
        <v/>
      </c>
      <c r="I1332" s="12" t="str">
        <f aca="true">IF($H1332="","",IF(ISNUMBER($H1332),$H1332-TODAY(),""))</f>
        <v/>
      </c>
      <c r="J1332" s="4" t="str">
        <f aca="true">IF($D1332="Manual Review","Manual Review",IF($G1332="","No Data",IF(NOT(ISNUMBER($H1332)),"N/A",IF($H1332&lt;TODAY(),"Overdue",IF($H1332&lt;=TODAY()+30,"Due within 1 Month",IF($H1332&lt;=TODAY()+60,"Due within 2 Months","OK"))))))</f>
        <v>No Data</v>
      </c>
      <c r="K1332" s="13"/>
    </row>
    <row r="1333" customFormat="false" ht="15" hidden="false" customHeight="false" outlineLevel="0" collapsed="false">
      <c r="A1333" s="9" t="str">
        <f aca="false">Vessels!B16</f>
        <v>Vessel 12</v>
      </c>
      <c r="B1333" s="9" t="s">
        <v>136</v>
      </c>
      <c r="C1333" s="7" t="s">
        <v>141</v>
      </c>
      <c r="D1333" s="9" t="s">
        <v>45</v>
      </c>
      <c r="E1333" s="9" t="s">
        <v>44</v>
      </c>
      <c r="F1333" s="5" t="n">
        <v>12</v>
      </c>
      <c r="G1333" s="10"/>
      <c r="H1333" s="11" t="str">
        <f aca="false">IFERROR(IF($D1333="Manual Review","",IF($G1333="","",IF($D1333="Direct Expiry",$G1333,EDATE($G1333,$F1333)))),"Check Date")</f>
        <v/>
      </c>
      <c r="I1333" s="12" t="str">
        <f aca="true">IF($H1333="","",IF(ISNUMBER($H1333),$H1333-TODAY(),""))</f>
        <v/>
      </c>
      <c r="J1333" s="4" t="str">
        <f aca="true">IF($D1333="Manual Review","Manual Review",IF($G1333="","No Data",IF(NOT(ISNUMBER($H1333)),"N/A",IF($H1333&lt;TODAY(),"Overdue",IF($H1333&lt;=TODAY()+30,"Due within 1 Month",IF($H1333&lt;=TODAY()+60,"Due within 2 Months","OK"))))))</f>
        <v>No Data</v>
      </c>
      <c r="K1333" s="13"/>
    </row>
    <row r="1334" customFormat="false" ht="15" hidden="false" customHeight="false" outlineLevel="0" collapsed="false">
      <c r="A1334" s="9" t="str">
        <f aca="false">Vessels!B16</f>
        <v>Vessel 12</v>
      </c>
      <c r="B1334" s="9" t="s">
        <v>136</v>
      </c>
      <c r="C1334" s="7" t="s">
        <v>142</v>
      </c>
      <c r="D1334" s="9" t="s">
        <v>115</v>
      </c>
      <c r="E1334" s="9" t="s">
        <v>143</v>
      </c>
      <c r="F1334" s="5"/>
      <c r="G1334" s="10"/>
      <c r="H1334" s="11" t="str">
        <f aca="false">IFERROR(IF($D1334="Manual Review","",IF($G1334="","",IF($D1334="Direct Expiry",$G1334,EDATE($G1334,$F1334)))),"Check Date")</f>
        <v/>
      </c>
      <c r="I1334" s="12" t="str">
        <f aca="true">IF($H1334="","",IF(ISNUMBER($H1334),$H1334-TODAY(),""))</f>
        <v/>
      </c>
      <c r="J1334" s="4" t="str">
        <f aca="true">IF($D1334="Manual Review","Manual Review",IF($G1334="","No Data",IF(NOT(ISNUMBER($H1334)),"N/A",IF($H1334&lt;TODAY(),"Overdue",IF($H1334&lt;=TODAY()+30,"Due within 1 Month",IF($H1334&lt;=TODAY()+60,"Due within 2 Months","OK"))))))</f>
        <v>Manual Review</v>
      </c>
      <c r="K1334" s="13"/>
    </row>
    <row r="1335" customFormat="false" ht="15" hidden="false" customHeight="false" outlineLevel="0" collapsed="false">
      <c r="A1335" s="9" t="str">
        <f aca="false">Vessels!B16</f>
        <v>Vessel 12</v>
      </c>
      <c r="B1335" s="9" t="s">
        <v>136</v>
      </c>
      <c r="C1335" s="7" t="s">
        <v>144</v>
      </c>
      <c r="D1335" s="9" t="s">
        <v>45</v>
      </c>
      <c r="E1335" s="9" t="s">
        <v>44</v>
      </c>
      <c r="F1335" s="5" t="n">
        <v>12</v>
      </c>
      <c r="G1335" s="10"/>
      <c r="H1335" s="11" t="str">
        <f aca="false">IFERROR(IF($D1335="Manual Review","",IF($G1335="","",IF($D1335="Direct Expiry",$G1335,EDATE($G1335,$F1335)))),"Check Date")</f>
        <v/>
      </c>
      <c r="I1335" s="12" t="str">
        <f aca="true">IF($H1335="","",IF(ISNUMBER($H1335),$H1335-TODAY(),""))</f>
        <v/>
      </c>
      <c r="J1335" s="4" t="str">
        <f aca="true">IF($D1335="Manual Review","Manual Review",IF($G1335="","No Data",IF(NOT(ISNUMBER($H1335)),"N/A",IF($H1335&lt;TODAY(),"Overdue",IF($H1335&lt;=TODAY()+30,"Due within 1 Month",IF($H1335&lt;=TODAY()+60,"Due within 2 Months","OK"))))))</f>
        <v>No Data</v>
      </c>
      <c r="K1335" s="13"/>
    </row>
    <row r="1336" customFormat="false" ht="15" hidden="false" customHeight="false" outlineLevel="0" collapsed="false">
      <c r="A1336" s="9" t="str">
        <f aca="false">Vessels!B16</f>
        <v>Vessel 12</v>
      </c>
      <c r="B1336" s="9" t="s">
        <v>136</v>
      </c>
      <c r="C1336" s="7" t="s">
        <v>145</v>
      </c>
      <c r="D1336" s="9" t="s">
        <v>45</v>
      </c>
      <c r="E1336" s="9" t="s">
        <v>44</v>
      </c>
      <c r="F1336" s="5" t="n">
        <v>12</v>
      </c>
      <c r="G1336" s="10"/>
      <c r="H1336" s="11" t="str">
        <f aca="false">IFERROR(IF($D1336="Manual Review","",IF($G1336="","",IF($D1336="Direct Expiry",$G1336,EDATE($G1336,$F1336)))),"Check Date")</f>
        <v/>
      </c>
      <c r="I1336" s="12" t="str">
        <f aca="true">IF($H1336="","",IF(ISNUMBER($H1336),$H1336-TODAY(),""))</f>
        <v/>
      </c>
      <c r="J1336" s="4" t="str">
        <f aca="true">IF($D1336="Manual Review","Manual Review",IF($G1336="","No Data",IF(NOT(ISNUMBER($H1336)),"N/A",IF($H1336&lt;TODAY(),"Overdue",IF($H1336&lt;=TODAY()+30,"Due within 1 Month",IF($H1336&lt;=TODAY()+60,"Due within 2 Months","OK"))))))</f>
        <v>No Data</v>
      </c>
      <c r="K1336" s="13"/>
    </row>
    <row r="1337" customFormat="false" ht="15" hidden="false" customHeight="false" outlineLevel="0" collapsed="false">
      <c r="A1337" s="9" t="str">
        <f aca="false">Vessels!B16</f>
        <v>Vessel 12</v>
      </c>
      <c r="B1337" s="9" t="s">
        <v>136</v>
      </c>
      <c r="C1337" s="7" t="s">
        <v>146</v>
      </c>
      <c r="D1337" s="9" t="s">
        <v>45</v>
      </c>
      <c r="E1337" s="9" t="s">
        <v>44</v>
      </c>
      <c r="F1337" s="5" t="n">
        <v>12</v>
      </c>
      <c r="G1337" s="10"/>
      <c r="H1337" s="11" t="str">
        <f aca="false">IFERROR(IF($D1337="Manual Review","",IF($G1337="","",IF($D1337="Direct Expiry",$G1337,EDATE($G1337,$F1337)))),"Check Date")</f>
        <v/>
      </c>
      <c r="I1337" s="12" t="str">
        <f aca="true">IF($H1337="","",IF(ISNUMBER($H1337),$H1337-TODAY(),""))</f>
        <v/>
      </c>
      <c r="J1337" s="4" t="str">
        <f aca="true">IF($D1337="Manual Review","Manual Review",IF($G1337="","No Data",IF(NOT(ISNUMBER($H1337)),"N/A",IF($H1337&lt;TODAY(),"Overdue",IF($H1337&lt;=TODAY()+30,"Due within 1 Month",IF($H1337&lt;=TODAY()+60,"Due within 2 Months","OK"))))))</f>
        <v>No Data</v>
      </c>
      <c r="K1337" s="13"/>
    </row>
    <row r="1338" customFormat="false" ht="15" hidden="false" customHeight="false" outlineLevel="0" collapsed="false">
      <c r="A1338" s="9" t="str">
        <f aca="false">Vessels!B16</f>
        <v>Vessel 12</v>
      </c>
      <c r="B1338" s="9" t="s">
        <v>136</v>
      </c>
      <c r="C1338" s="7" t="s">
        <v>147</v>
      </c>
      <c r="D1338" s="9" t="s">
        <v>45</v>
      </c>
      <c r="E1338" s="9" t="s">
        <v>44</v>
      </c>
      <c r="F1338" s="5" t="n">
        <v>12</v>
      </c>
      <c r="G1338" s="10"/>
      <c r="H1338" s="11" t="str">
        <f aca="false">IFERROR(IF($D1338="Manual Review","",IF($G1338="","",IF($D1338="Direct Expiry",$G1338,EDATE($G1338,$F1338)))),"Check Date")</f>
        <v/>
      </c>
      <c r="I1338" s="12" t="str">
        <f aca="true">IF($H1338="","",IF(ISNUMBER($H1338),$H1338-TODAY(),""))</f>
        <v/>
      </c>
      <c r="J1338" s="4" t="str">
        <f aca="true">IF($D1338="Manual Review","Manual Review",IF($G1338="","No Data",IF(NOT(ISNUMBER($H1338)),"N/A",IF($H1338&lt;TODAY(),"Overdue",IF($H1338&lt;=TODAY()+30,"Due within 1 Month",IF($H1338&lt;=TODAY()+60,"Due within 2 Months","OK"))))))</f>
        <v>No Data</v>
      </c>
      <c r="K1338" s="13"/>
    </row>
    <row r="1339" customFormat="false" ht="15" hidden="false" customHeight="false" outlineLevel="0" collapsed="false">
      <c r="A1339" s="9" t="str">
        <f aca="false">Vessels!B16</f>
        <v>Vessel 12</v>
      </c>
      <c r="B1339" s="9" t="s">
        <v>136</v>
      </c>
      <c r="C1339" s="7" t="s">
        <v>148</v>
      </c>
      <c r="D1339" s="9" t="s">
        <v>45</v>
      </c>
      <c r="E1339" s="9" t="s">
        <v>44</v>
      </c>
      <c r="F1339" s="5" t="n">
        <v>12</v>
      </c>
      <c r="G1339" s="10"/>
      <c r="H1339" s="11" t="str">
        <f aca="false">IFERROR(IF($D1339="Manual Review","",IF($G1339="","",IF($D1339="Direct Expiry",$G1339,EDATE($G1339,$F1339)))),"Check Date")</f>
        <v/>
      </c>
      <c r="I1339" s="12" t="str">
        <f aca="true">IF($H1339="","",IF(ISNUMBER($H1339),$H1339-TODAY(),""))</f>
        <v/>
      </c>
      <c r="J1339" s="4" t="str">
        <f aca="true">IF($D1339="Manual Review","Manual Review",IF($G1339="","No Data",IF(NOT(ISNUMBER($H1339)),"N/A",IF($H1339&lt;TODAY(),"Overdue",IF($H1339&lt;=TODAY()+30,"Due within 1 Month",IF($H1339&lt;=TODAY()+60,"Due within 2 Months","OK"))))))</f>
        <v>No Data</v>
      </c>
      <c r="K1339" s="13"/>
    </row>
    <row r="1340" customFormat="false" ht="15" hidden="false" customHeight="false" outlineLevel="0" collapsed="false">
      <c r="A1340" s="9" t="str">
        <f aca="false">Vessels!B16</f>
        <v>Vessel 12</v>
      </c>
      <c r="B1340" s="9" t="s">
        <v>136</v>
      </c>
      <c r="C1340" s="7" t="s">
        <v>149</v>
      </c>
      <c r="D1340" s="9" t="s">
        <v>45</v>
      </c>
      <c r="E1340" s="9" t="s">
        <v>44</v>
      </c>
      <c r="F1340" s="5" t="n">
        <v>12</v>
      </c>
      <c r="G1340" s="10"/>
      <c r="H1340" s="11" t="str">
        <f aca="false">IFERROR(IF($D1340="Manual Review","",IF($G1340="","",IF($D1340="Direct Expiry",$G1340,EDATE($G1340,$F1340)))),"Check Date")</f>
        <v/>
      </c>
      <c r="I1340" s="12" t="str">
        <f aca="true">IF($H1340="","",IF(ISNUMBER($H1340),$H1340-TODAY(),""))</f>
        <v/>
      </c>
      <c r="J1340" s="4" t="str">
        <f aca="true">IF($D1340="Manual Review","Manual Review",IF($G1340="","No Data",IF(NOT(ISNUMBER($H1340)),"N/A",IF($H1340&lt;TODAY(),"Overdue",IF($H1340&lt;=TODAY()+30,"Due within 1 Month",IF($H1340&lt;=TODAY()+60,"Due within 2 Months","OK"))))))</f>
        <v>No Data</v>
      </c>
      <c r="K1340" s="13"/>
    </row>
    <row r="1341" customFormat="false" ht="15" hidden="false" customHeight="false" outlineLevel="0" collapsed="false">
      <c r="A1341" s="9" t="str">
        <f aca="false">Vessels!B16</f>
        <v>Vessel 12</v>
      </c>
      <c r="B1341" s="9" t="s">
        <v>136</v>
      </c>
      <c r="C1341" s="7" t="s">
        <v>150</v>
      </c>
      <c r="D1341" s="9" t="s">
        <v>45</v>
      </c>
      <c r="E1341" s="9" t="s">
        <v>44</v>
      </c>
      <c r="F1341" s="5" t="n">
        <v>12</v>
      </c>
      <c r="G1341" s="10"/>
      <c r="H1341" s="11" t="str">
        <f aca="false">IFERROR(IF($D1341="Manual Review","",IF($G1341="","",IF($D1341="Direct Expiry",$G1341,EDATE($G1341,$F1341)))),"Check Date")</f>
        <v/>
      </c>
      <c r="I1341" s="12" t="str">
        <f aca="true">IF($H1341="","",IF(ISNUMBER($H1341),$H1341-TODAY(),""))</f>
        <v/>
      </c>
      <c r="J1341" s="4" t="str">
        <f aca="true">IF($D1341="Manual Review","Manual Review",IF($G1341="","No Data",IF(NOT(ISNUMBER($H1341)),"N/A",IF($H1341&lt;TODAY(),"Overdue",IF($H1341&lt;=TODAY()+30,"Due within 1 Month",IF($H1341&lt;=TODAY()+60,"Due within 2 Months","OK"))))))</f>
        <v>No Data</v>
      </c>
      <c r="K1341" s="13"/>
    </row>
    <row r="1342" customFormat="false" ht="15" hidden="false" customHeight="false" outlineLevel="0" collapsed="false">
      <c r="A1342" s="9" t="str">
        <f aca="false">Vessels!B16</f>
        <v>Vessel 12</v>
      </c>
      <c r="B1342" s="9" t="s">
        <v>136</v>
      </c>
      <c r="C1342" s="7" t="s">
        <v>151</v>
      </c>
      <c r="D1342" s="9" t="s">
        <v>45</v>
      </c>
      <c r="E1342" s="9" t="s">
        <v>44</v>
      </c>
      <c r="F1342" s="5" t="n">
        <v>12</v>
      </c>
      <c r="G1342" s="10"/>
      <c r="H1342" s="11" t="str">
        <f aca="false">IFERROR(IF($D1342="Manual Review","",IF($G1342="","",IF($D1342="Direct Expiry",$G1342,EDATE($G1342,$F1342)))),"Check Date")</f>
        <v/>
      </c>
      <c r="I1342" s="12" t="str">
        <f aca="true">IF($H1342="","",IF(ISNUMBER($H1342),$H1342-TODAY(),""))</f>
        <v/>
      </c>
      <c r="J1342" s="4" t="str">
        <f aca="true">IF($D1342="Manual Review","Manual Review",IF($G1342="","No Data",IF(NOT(ISNUMBER($H1342)),"N/A",IF($H1342&lt;TODAY(),"Overdue",IF($H1342&lt;=TODAY()+30,"Due within 1 Month",IF($H1342&lt;=TODAY()+60,"Due within 2 Months","OK"))))))</f>
        <v>No Data</v>
      </c>
      <c r="K1342" s="13"/>
    </row>
    <row r="1343" customFormat="false" ht="15" hidden="false" customHeight="false" outlineLevel="0" collapsed="false">
      <c r="A1343" s="9" t="str">
        <f aca="false">Vessels!B16</f>
        <v>Vessel 12</v>
      </c>
      <c r="B1343" s="9" t="s">
        <v>136</v>
      </c>
      <c r="C1343" s="7" t="s">
        <v>152</v>
      </c>
      <c r="D1343" s="9" t="s">
        <v>45</v>
      </c>
      <c r="E1343" s="9" t="s">
        <v>44</v>
      </c>
      <c r="F1343" s="5" t="n">
        <v>12</v>
      </c>
      <c r="G1343" s="10"/>
      <c r="H1343" s="11" t="str">
        <f aca="false">IFERROR(IF($D1343="Manual Review","",IF($G1343="","",IF($D1343="Direct Expiry",$G1343,EDATE($G1343,$F1343)))),"Check Date")</f>
        <v/>
      </c>
      <c r="I1343" s="12" t="str">
        <f aca="true">IF($H1343="","",IF(ISNUMBER($H1343),$H1343-TODAY(),""))</f>
        <v/>
      </c>
      <c r="J1343" s="4" t="str">
        <f aca="true">IF($D1343="Manual Review","Manual Review",IF($G1343="","No Data",IF(NOT(ISNUMBER($H1343)),"N/A",IF($H1343&lt;TODAY(),"Overdue",IF($H1343&lt;=TODAY()+30,"Due within 1 Month",IF($H1343&lt;=TODAY()+60,"Due within 2 Months","OK"))))))</f>
        <v>No Data</v>
      </c>
      <c r="K1343" s="13"/>
    </row>
    <row r="1344" customFormat="false" ht="15" hidden="false" customHeight="false" outlineLevel="0" collapsed="false">
      <c r="A1344" s="9" t="str">
        <f aca="false">Vessels!B16</f>
        <v>Vessel 12</v>
      </c>
      <c r="B1344" s="9" t="s">
        <v>136</v>
      </c>
      <c r="C1344" s="7" t="s">
        <v>153</v>
      </c>
      <c r="D1344" s="9" t="s">
        <v>45</v>
      </c>
      <c r="E1344" s="9" t="s">
        <v>44</v>
      </c>
      <c r="F1344" s="5" t="n">
        <v>12</v>
      </c>
      <c r="G1344" s="10"/>
      <c r="H1344" s="11" t="str">
        <f aca="false">IFERROR(IF($D1344="Manual Review","",IF($G1344="","",IF($D1344="Direct Expiry",$G1344,EDATE($G1344,$F1344)))),"Check Date")</f>
        <v/>
      </c>
      <c r="I1344" s="12" t="str">
        <f aca="true">IF($H1344="","",IF(ISNUMBER($H1344),$H1344-TODAY(),""))</f>
        <v/>
      </c>
      <c r="J1344" s="4" t="str">
        <f aca="true">IF($D1344="Manual Review","Manual Review",IF($G1344="","No Data",IF(NOT(ISNUMBER($H1344)),"N/A",IF($H1344&lt;TODAY(),"Overdue",IF($H1344&lt;=TODAY()+30,"Due within 1 Month",IF($H1344&lt;=TODAY()+60,"Due within 2 Months","OK"))))))</f>
        <v>No Data</v>
      </c>
      <c r="K1344" s="13"/>
    </row>
    <row r="1345" customFormat="false" ht="15" hidden="false" customHeight="false" outlineLevel="0" collapsed="false">
      <c r="A1345" s="9" t="str">
        <f aca="false">Vessels!B16</f>
        <v>Vessel 12</v>
      </c>
      <c r="B1345" s="9" t="s">
        <v>136</v>
      </c>
      <c r="C1345" s="7" t="s">
        <v>154</v>
      </c>
      <c r="D1345" s="9" t="s">
        <v>45</v>
      </c>
      <c r="E1345" s="9" t="s">
        <v>44</v>
      </c>
      <c r="F1345" s="5" t="n">
        <v>12</v>
      </c>
      <c r="G1345" s="10"/>
      <c r="H1345" s="11" t="str">
        <f aca="false">IFERROR(IF($D1345="Manual Review","",IF($G1345="","",IF($D1345="Direct Expiry",$G1345,EDATE($G1345,$F1345)))),"Check Date")</f>
        <v/>
      </c>
      <c r="I1345" s="12" t="str">
        <f aca="true">IF($H1345="","",IF(ISNUMBER($H1345),$H1345-TODAY(),""))</f>
        <v/>
      </c>
      <c r="J1345" s="4" t="str">
        <f aca="true">IF($D1345="Manual Review","Manual Review",IF($G1345="","No Data",IF(NOT(ISNUMBER($H1345)),"N/A",IF($H1345&lt;TODAY(),"Overdue",IF($H1345&lt;=TODAY()+30,"Due within 1 Month",IF($H1345&lt;=TODAY()+60,"Due within 2 Months","OK"))))))</f>
        <v>No Data</v>
      </c>
      <c r="K1345" s="13"/>
    </row>
    <row r="1346" customFormat="false" ht="15" hidden="false" customHeight="false" outlineLevel="0" collapsed="false">
      <c r="A1346" s="9" t="str">
        <f aca="false">Vessels!B16</f>
        <v>Vessel 12</v>
      </c>
      <c r="B1346" s="9" t="s">
        <v>136</v>
      </c>
      <c r="C1346" s="7" t="s">
        <v>155</v>
      </c>
      <c r="D1346" s="9" t="s">
        <v>45</v>
      </c>
      <c r="E1346" s="9" t="s">
        <v>44</v>
      </c>
      <c r="F1346" s="5" t="n">
        <v>12</v>
      </c>
      <c r="G1346" s="10"/>
      <c r="H1346" s="11" t="str">
        <f aca="false">IFERROR(IF($D1346="Manual Review","",IF($G1346="","",IF($D1346="Direct Expiry",$G1346,EDATE($G1346,$F1346)))),"Check Date")</f>
        <v/>
      </c>
      <c r="I1346" s="12" t="str">
        <f aca="true">IF($H1346="","",IF(ISNUMBER($H1346),$H1346-TODAY(),""))</f>
        <v/>
      </c>
      <c r="J1346" s="4" t="str">
        <f aca="true">IF($D1346="Manual Review","Manual Review",IF($G1346="","No Data",IF(NOT(ISNUMBER($H1346)),"N/A",IF($H1346&lt;TODAY(),"Overdue",IF($H1346&lt;=TODAY()+30,"Due within 1 Month",IF($H1346&lt;=TODAY()+60,"Due within 2 Months","OK"))))))</f>
        <v>No Data</v>
      </c>
      <c r="K1346" s="13"/>
    </row>
    <row r="1347" customFormat="false" ht="15" hidden="false" customHeight="false" outlineLevel="0" collapsed="false">
      <c r="A1347" s="9" t="str">
        <f aca="false">Vessels!B16</f>
        <v>Vessel 12</v>
      </c>
      <c r="B1347" s="9" t="s">
        <v>136</v>
      </c>
      <c r="C1347" s="7" t="s">
        <v>156</v>
      </c>
      <c r="D1347" s="9" t="s">
        <v>45</v>
      </c>
      <c r="E1347" s="9" t="s">
        <v>44</v>
      </c>
      <c r="F1347" s="5" t="n">
        <v>12</v>
      </c>
      <c r="G1347" s="10"/>
      <c r="H1347" s="11" t="str">
        <f aca="false">IFERROR(IF($D1347="Manual Review","",IF($G1347="","",IF($D1347="Direct Expiry",$G1347,EDATE($G1347,$F1347)))),"Check Date")</f>
        <v/>
      </c>
      <c r="I1347" s="12" t="str">
        <f aca="true">IF($H1347="","",IF(ISNUMBER($H1347),$H1347-TODAY(),""))</f>
        <v/>
      </c>
      <c r="J1347" s="4" t="str">
        <f aca="true">IF($D1347="Manual Review","Manual Review",IF($G1347="","No Data",IF(NOT(ISNUMBER($H1347)),"N/A",IF($H1347&lt;TODAY(),"Overdue",IF($H1347&lt;=TODAY()+30,"Due within 1 Month",IF($H1347&lt;=TODAY()+60,"Due within 2 Months","OK"))))))</f>
        <v>No Data</v>
      </c>
      <c r="K1347" s="13"/>
    </row>
    <row r="1348" customFormat="false" ht="15" hidden="false" customHeight="false" outlineLevel="0" collapsed="false">
      <c r="A1348" s="9" t="str">
        <f aca="false">Vessels!B16</f>
        <v>Vessel 12</v>
      </c>
      <c r="B1348" s="9" t="s">
        <v>136</v>
      </c>
      <c r="C1348" s="7" t="s">
        <v>157</v>
      </c>
      <c r="D1348" s="9" t="s">
        <v>45</v>
      </c>
      <c r="E1348" s="9" t="s">
        <v>44</v>
      </c>
      <c r="F1348" s="5" t="n">
        <v>12</v>
      </c>
      <c r="G1348" s="10"/>
      <c r="H1348" s="11" t="str">
        <f aca="false">IFERROR(IF($D1348="Manual Review","",IF($G1348="","",IF($D1348="Direct Expiry",$G1348,EDATE($G1348,$F1348)))),"Check Date")</f>
        <v/>
      </c>
      <c r="I1348" s="12" t="str">
        <f aca="true">IF($H1348="","",IF(ISNUMBER($H1348),$H1348-TODAY(),""))</f>
        <v/>
      </c>
      <c r="J1348" s="4" t="str">
        <f aca="true">IF($D1348="Manual Review","Manual Review",IF($G1348="","No Data",IF(NOT(ISNUMBER($H1348)),"N/A",IF($H1348&lt;TODAY(),"Overdue",IF($H1348&lt;=TODAY()+30,"Due within 1 Month",IF($H1348&lt;=TODAY()+60,"Due within 2 Months","OK"))))))</f>
        <v>No Data</v>
      </c>
      <c r="K1348" s="13"/>
    </row>
    <row r="1349" customFormat="false" ht="15" hidden="false" customHeight="false" outlineLevel="0" collapsed="false">
      <c r="A1349" s="9" t="str">
        <f aca="false">Vessels!B17</f>
        <v>Vessel 13</v>
      </c>
      <c r="B1349" s="9" t="s">
        <v>42</v>
      </c>
      <c r="C1349" s="7" t="s">
        <v>43</v>
      </c>
      <c r="D1349" s="9" t="s">
        <v>45</v>
      </c>
      <c r="E1349" s="9" t="s">
        <v>44</v>
      </c>
      <c r="F1349" s="5" t="n">
        <v>12</v>
      </c>
      <c r="G1349" s="10"/>
      <c r="H1349" s="11" t="str">
        <f aca="false">IFERROR(IF($D1349="Manual Review","",IF($G1349="","",IF($D1349="Direct Expiry",$G1349,EDATE($G1349,$F1349)))),"Check Date")</f>
        <v/>
      </c>
      <c r="I1349" s="12" t="str">
        <f aca="true">IF($H1349="","",IF(ISNUMBER($H1349),$H1349-TODAY(),""))</f>
        <v/>
      </c>
      <c r="J1349" s="4" t="str">
        <f aca="true">IF($D1349="Manual Review","Manual Review",IF($G1349="","No Data",IF(NOT(ISNUMBER($H1349)),"N/A",IF($H1349&lt;TODAY(),"Overdue",IF($H1349&lt;=TODAY()+30,"Due within 1 Month",IF($H1349&lt;=TODAY()+60,"Due within 2 Months","OK"))))))</f>
        <v>No Data</v>
      </c>
      <c r="K1349" s="13"/>
    </row>
    <row r="1350" customFormat="false" ht="15" hidden="false" customHeight="false" outlineLevel="0" collapsed="false">
      <c r="A1350" s="9" t="str">
        <f aca="false">Vessels!B17</f>
        <v>Vessel 13</v>
      </c>
      <c r="B1350" s="9" t="s">
        <v>42</v>
      </c>
      <c r="C1350" s="7" t="s">
        <v>43</v>
      </c>
      <c r="D1350" s="9" t="s">
        <v>45</v>
      </c>
      <c r="E1350" s="9" t="s">
        <v>46</v>
      </c>
      <c r="F1350" s="5" t="n">
        <v>60</v>
      </c>
      <c r="G1350" s="10"/>
      <c r="H1350" s="11" t="str">
        <f aca="false">IFERROR(IF($D1350="Manual Review","",IF($G1350="","",IF($D1350="Direct Expiry",$G1350,EDATE($G1350,$F1350)))),"Check Date")</f>
        <v/>
      </c>
      <c r="I1350" s="12" t="str">
        <f aca="true">IF($H1350="","",IF(ISNUMBER($H1350),$H1350-TODAY(),""))</f>
        <v/>
      </c>
      <c r="J1350" s="4" t="str">
        <f aca="true">IF($D1350="Manual Review","Manual Review",IF($G1350="","No Data",IF(NOT(ISNUMBER($H1350)),"N/A",IF($H1350&lt;TODAY(),"Overdue",IF($H1350&lt;=TODAY()+30,"Due within 1 Month",IF($H1350&lt;=TODAY()+60,"Due within 2 Months","OK"))))))</f>
        <v>No Data</v>
      </c>
      <c r="K1350" s="13"/>
    </row>
    <row r="1351" customFormat="false" ht="15" hidden="false" customHeight="false" outlineLevel="0" collapsed="false">
      <c r="A1351" s="9" t="str">
        <f aca="false">Vessels!B17</f>
        <v>Vessel 13</v>
      </c>
      <c r="B1351" s="9" t="s">
        <v>42</v>
      </c>
      <c r="C1351" s="7" t="s">
        <v>47</v>
      </c>
      <c r="D1351" s="9" t="s">
        <v>45</v>
      </c>
      <c r="E1351" s="9" t="s">
        <v>44</v>
      </c>
      <c r="F1351" s="5" t="n">
        <v>12</v>
      </c>
      <c r="G1351" s="10"/>
      <c r="H1351" s="11" t="str">
        <f aca="false">IFERROR(IF($D1351="Manual Review","",IF($G1351="","",IF($D1351="Direct Expiry",$G1351,EDATE($G1351,$F1351)))),"Check Date")</f>
        <v/>
      </c>
      <c r="I1351" s="12" t="str">
        <f aca="true">IF($H1351="","",IF(ISNUMBER($H1351),$H1351-TODAY(),""))</f>
        <v/>
      </c>
      <c r="J1351" s="4" t="str">
        <f aca="true">IF($D1351="Manual Review","Manual Review",IF($G1351="","No Data",IF(NOT(ISNUMBER($H1351)),"N/A",IF($H1351&lt;TODAY(),"Overdue",IF($H1351&lt;=TODAY()+30,"Due within 1 Month",IF($H1351&lt;=TODAY()+60,"Due within 2 Months","OK"))))))</f>
        <v>No Data</v>
      </c>
      <c r="K1351" s="13"/>
    </row>
    <row r="1352" customFormat="false" ht="15" hidden="false" customHeight="false" outlineLevel="0" collapsed="false">
      <c r="A1352" s="9" t="str">
        <f aca="false">Vessels!B17</f>
        <v>Vessel 13</v>
      </c>
      <c r="B1352" s="9" t="s">
        <v>42</v>
      </c>
      <c r="C1352" s="7" t="s">
        <v>47</v>
      </c>
      <c r="D1352" s="9" t="s">
        <v>45</v>
      </c>
      <c r="E1352" s="9" t="s">
        <v>46</v>
      </c>
      <c r="F1352" s="5" t="n">
        <v>60</v>
      </c>
      <c r="G1352" s="10"/>
      <c r="H1352" s="11" t="str">
        <f aca="false">IFERROR(IF($D1352="Manual Review","",IF($G1352="","",IF($D1352="Direct Expiry",$G1352,EDATE($G1352,$F1352)))),"Check Date")</f>
        <v/>
      </c>
      <c r="I1352" s="12" t="str">
        <f aca="true">IF($H1352="","",IF(ISNUMBER($H1352),$H1352-TODAY(),""))</f>
        <v/>
      </c>
      <c r="J1352" s="4" t="str">
        <f aca="true">IF($D1352="Manual Review","Manual Review",IF($G1352="","No Data",IF(NOT(ISNUMBER($H1352)),"N/A",IF($H1352&lt;TODAY(),"Overdue",IF($H1352&lt;=TODAY()+30,"Due within 1 Month",IF($H1352&lt;=TODAY()+60,"Due within 2 Months","OK"))))))</f>
        <v>No Data</v>
      </c>
      <c r="K1352" s="13"/>
    </row>
    <row r="1353" customFormat="false" ht="15" hidden="false" customHeight="false" outlineLevel="0" collapsed="false">
      <c r="A1353" s="9" t="str">
        <f aca="false">Vessels!B17</f>
        <v>Vessel 13</v>
      </c>
      <c r="B1353" s="9" t="s">
        <v>42</v>
      </c>
      <c r="C1353" s="7" t="s">
        <v>48</v>
      </c>
      <c r="D1353" s="9" t="s">
        <v>45</v>
      </c>
      <c r="E1353" s="9" t="s">
        <v>44</v>
      </c>
      <c r="F1353" s="5" t="n">
        <v>12</v>
      </c>
      <c r="G1353" s="10"/>
      <c r="H1353" s="11" t="str">
        <f aca="false">IFERROR(IF($D1353="Manual Review","",IF($G1353="","",IF($D1353="Direct Expiry",$G1353,EDATE($G1353,$F1353)))),"Check Date")</f>
        <v/>
      </c>
      <c r="I1353" s="12" t="str">
        <f aca="true">IF($H1353="","",IF(ISNUMBER($H1353),$H1353-TODAY(),""))</f>
        <v/>
      </c>
      <c r="J1353" s="4" t="str">
        <f aca="true">IF($D1353="Manual Review","Manual Review",IF($G1353="","No Data",IF(NOT(ISNUMBER($H1353)),"N/A",IF($H1353&lt;TODAY(),"Overdue",IF($H1353&lt;=TODAY()+30,"Due within 1 Month",IF($H1353&lt;=TODAY()+60,"Due within 2 Months","OK"))))))</f>
        <v>No Data</v>
      </c>
      <c r="K1353" s="13"/>
    </row>
    <row r="1354" customFormat="false" ht="15" hidden="false" customHeight="false" outlineLevel="0" collapsed="false">
      <c r="A1354" s="9" t="str">
        <f aca="false">Vessels!B17</f>
        <v>Vessel 13</v>
      </c>
      <c r="B1354" s="9" t="s">
        <v>42</v>
      </c>
      <c r="C1354" s="7" t="s">
        <v>48</v>
      </c>
      <c r="D1354" s="9" t="s">
        <v>45</v>
      </c>
      <c r="E1354" s="9" t="s">
        <v>49</v>
      </c>
      <c r="F1354" s="5" t="n">
        <v>60</v>
      </c>
      <c r="G1354" s="10"/>
      <c r="H1354" s="11" t="str">
        <f aca="false">IFERROR(IF($D1354="Manual Review","",IF($G1354="","",IF($D1354="Direct Expiry",$G1354,EDATE($G1354,$F1354)))),"Check Date")</f>
        <v/>
      </c>
      <c r="I1354" s="12" t="str">
        <f aca="true">IF($H1354="","",IF(ISNUMBER($H1354),$H1354-TODAY(),""))</f>
        <v/>
      </c>
      <c r="J1354" s="4" t="str">
        <f aca="true">IF($D1354="Manual Review","Manual Review",IF($G1354="","No Data",IF(NOT(ISNUMBER($H1354)),"N/A",IF($H1354&lt;TODAY(),"Overdue",IF($H1354&lt;=TODAY()+30,"Due within 1 Month",IF($H1354&lt;=TODAY()+60,"Due within 2 Months","OK"))))))</f>
        <v>No Data</v>
      </c>
      <c r="K1354" s="13"/>
    </row>
    <row r="1355" customFormat="false" ht="15" hidden="false" customHeight="false" outlineLevel="0" collapsed="false">
      <c r="A1355" s="9" t="str">
        <f aca="false">Vessels!B17</f>
        <v>Vessel 13</v>
      </c>
      <c r="B1355" s="9" t="s">
        <v>42</v>
      </c>
      <c r="C1355" s="7" t="s">
        <v>50</v>
      </c>
      <c r="D1355" s="9" t="s">
        <v>45</v>
      </c>
      <c r="E1355" s="9" t="s">
        <v>44</v>
      </c>
      <c r="F1355" s="5" t="n">
        <v>12</v>
      </c>
      <c r="G1355" s="10"/>
      <c r="H1355" s="11" t="str">
        <f aca="false">IFERROR(IF($D1355="Manual Review","",IF($G1355="","",IF($D1355="Direct Expiry",$G1355,EDATE($G1355,$F1355)))),"Check Date")</f>
        <v/>
      </c>
      <c r="I1355" s="12" t="str">
        <f aca="true">IF($H1355="","",IF(ISNUMBER($H1355),$H1355-TODAY(),""))</f>
        <v/>
      </c>
      <c r="J1355" s="4" t="str">
        <f aca="true">IF($D1355="Manual Review","Manual Review",IF($G1355="","No Data",IF(NOT(ISNUMBER($H1355)),"N/A",IF($H1355&lt;TODAY(),"Overdue",IF($H1355&lt;=TODAY()+30,"Due within 1 Month",IF($H1355&lt;=TODAY()+60,"Due within 2 Months","OK"))))))</f>
        <v>No Data</v>
      </c>
      <c r="K1355" s="13"/>
    </row>
    <row r="1356" customFormat="false" ht="15" hidden="false" customHeight="false" outlineLevel="0" collapsed="false">
      <c r="A1356" s="9" t="str">
        <f aca="false">Vessels!B17</f>
        <v>Vessel 13</v>
      </c>
      <c r="B1356" s="9" t="s">
        <v>42</v>
      </c>
      <c r="C1356" s="7" t="s">
        <v>50</v>
      </c>
      <c r="D1356" s="9" t="s">
        <v>45</v>
      </c>
      <c r="E1356" s="9" t="s">
        <v>49</v>
      </c>
      <c r="F1356" s="5" t="n">
        <v>60</v>
      </c>
      <c r="G1356" s="10"/>
      <c r="H1356" s="11" t="str">
        <f aca="false">IFERROR(IF($D1356="Manual Review","",IF($G1356="","",IF($D1356="Direct Expiry",$G1356,EDATE($G1356,$F1356)))),"Check Date")</f>
        <v/>
      </c>
      <c r="I1356" s="12" t="str">
        <f aca="true">IF($H1356="","",IF(ISNUMBER($H1356),$H1356-TODAY(),""))</f>
        <v/>
      </c>
      <c r="J1356" s="4" t="str">
        <f aca="true">IF($D1356="Manual Review","Manual Review",IF($G1356="","No Data",IF(NOT(ISNUMBER($H1356)),"N/A",IF($H1356&lt;TODAY(),"Overdue",IF($H1356&lt;=TODAY()+30,"Due within 1 Month",IF($H1356&lt;=TODAY()+60,"Due within 2 Months","OK"))))))</f>
        <v>No Data</v>
      </c>
      <c r="K1356" s="13"/>
    </row>
    <row r="1357" customFormat="false" ht="15" hidden="false" customHeight="false" outlineLevel="0" collapsed="false">
      <c r="A1357" s="9" t="str">
        <f aca="false">Vessels!B17</f>
        <v>Vessel 13</v>
      </c>
      <c r="B1357" s="9" t="s">
        <v>42</v>
      </c>
      <c r="C1357" s="7" t="s">
        <v>51</v>
      </c>
      <c r="D1357" s="9" t="s">
        <v>45</v>
      </c>
      <c r="E1357" s="9" t="s">
        <v>46</v>
      </c>
      <c r="F1357" s="5" t="n">
        <v>60</v>
      </c>
      <c r="G1357" s="10"/>
      <c r="H1357" s="11" t="str">
        <f aca="false">IFERROR(IF($D1357="Manual Review","",IF($G1357="","",IF($D1357="Direct Expiry",$G1357,EDATE($G1357,$F1357)))),"Check Date")</f>
        <v/>
      </c>
      <c r="I1357" s="12" t="str">
        <f aca="true">IF($H1357="","",IF(ISNUMBER($H1357),$H1357-TODAY(),""))</f>
        <v/>
      </c>
      <c r="J1357" s="4" t="str">
        <f aca="true">IF($D1357="Manual Review","Manual Review",IF($G1357="","No Data",IF(NOT(ISNUMBER($H1357)),"N/A",IF($H1357&lt;TODAY(),"Overdue",IF($H1357&lt;=TODAY()+30,"Due within 1 Month",IF($H1357&lt;=TODAY()+60,"Due within 2 Months","OK"))))))</f>
        <v>No Data</v>
      </c>
      <c r="K1357" s="13"/>
    </row>
    <row r="1358" customFormat="false" ht="15" hidden="false" customHeight="false" outlineLevel="0" collapsed="false">
      <c r="A1358" s="9" t="str">
        <f aca="false">Vessels!B17</f>
        <v>Vessel 13</v>
      </c>
      <c r="B1358" s="9" t="s">
        <v>42</v>
      </c>
      <c r="C1358" s="7" t="s">
        <v>52</v>
      </c>
      <c r="D1358" s="9" t="s">
        <v>45</v>
      </c>
      <c r="E1358" s="9" t="s">
        <v>46</v>
      </c>
      <c r="F1358" s="5" t="n">
        <v>60</v>
      </c>
      <c r="G1358" s="10"/>
      <c r="H1358" s="11" t="str">
        <f aca="false">IFERROR(IF($D1358="Manual Review","",IF($G1358="","",IF($D1358="Direct Expiry",$G1358,EDATE($G1358,$F1358)))),"Check Date")</f>
        <v/>
      </c>
      <c r="I1358" s="12" t="str">
        <f aca="true">IF($H1358="","",IF(ISNUMBER($H1358),$H1358-TODAY(),""))</f>
        <v/>
      </c>
      <c r="J1358" s="4" t="str">
        <f aca="true">IF($D1358="Manual Review","Manual Review",IF($G1358="","No Data",IF(NOT(ISNUMBER($H1358)),"N/A",IF($H1358&lt;TODAY(),"Overdue",IF($H1358&lt;=TODAY()+30,"Due within 1 Month",IF($H1358&lt;=TODAY()+60,"Due within 2 Months","OK"))))))</f>
        <v>No Data</v>
      </c>
      <c r="K1358" s="13"/>
    </row>
    <row r="1359" customFormat="false" ht="15" hidden="false" customHeight="false" outlineLevel="0" collapsed="false">
      <c r="A1359" s="9" t="str">
        <f aca="false">Vessels!B17</f>
        <v>Vessel 13</v>
      </c>
      <c r="B1359" s="9" t="s">
        <v>42</v>
      </c>
      <c r="C1359" s="7" t="s">
        <v>53</v>
      </c>
      <c r="D1359" s="9" t="s">
        <v>45</v>
      </c>
      <c r="E1359" s="9" t="s">
        <v>46</v>
      </c>
      <c r="F1359" s="5" t="n">
        <v>60</v>
      </c>
      <c r="G1359" s="10"/>
      <c r="H1359" s="11" t="str">
        <f aca="false">IFERROR(IF($D1359="Manual Review","",IF($G1359="","",IF($D1359="Direct Expiry",$G1359,EDATE($G1359,$F1359)))),"Check Date")</f>
        <v/>
      </c>
      <c r="I1359" s="12" t="str">
        <f aca="true">IF($H1359="","",IF(ISNUMBER($H1359),$H1359-TODAY(),""))</f>
        <v/>
      </c>
      <c r="J1359" s="4" t="str">
        <f aca="true">IF($D1359="Manual Review","Manual Review",IF($G1359="","No Data",IF(NOT(ISNUMBER($H1359)),"N/A",IF($H1359&lt;TODAY(),"Overdue",IF($H1359&lt;=TODAY()+30,"Due within 1 Month",IF($H1359&lt;=TODAY()+60,"Due within 2 Months","OK"))))))</f>
        <v>No Data</v>
      </c>
      <c r="K1359" s="13"/>
    </row>
    <row r="1360" customFormat="false" ht="15" hidden="false" customHeight="false" outlineLevel="0" collapsed="false">
      <c r="A1360" s="9" t="str">
        <f aca="false">Vessels!B17</f>
        <v>Vessel 13</v>
      </c>
      <c r="B1360" s="9" t="s">
        <v>42</v>
      </c>
      <c r="C1360" s="7" t="s">
        <v>54</v>
      </c>
      <c r="D1360" s="9" t="s">
        <v>45</v>
      </c>
      <c r="E1360" s="9" t="s">
        <v>46</v>
      </c>
      <c r="F1360" s="5" t="n">
        <v>60</v>
      </c>
      <c r="G1360" s="10"/>
      <c r="H1360" s="11" t="str">
        <f aca="false">IFERROR(IF($D1360="Manual Review","",IF($G1360="","",IF($D1360="Direct Expiry",$G1360,EDATE($G1360,$F1360)))),"Check Date")</f>
        <v/>
      </c>
      <c r="I1360" s="12" t="str">
        <f aca="true">IF($H1360="","",IF(ISNUMBER($H1360),$H1360-TODAY(),""))</f>
        <v/>
      </c>
      <c r="J1360" s="4" t="str">
        <f aca="true">IF($D1360="Manual Review","Manual Review",IF($G1360="","No Data",IF(NOT(ISNUMBER($H1360)),"N/A",IF($H1360&lt;TODAY(),"Overdue",IF($H1360&lt;=TODAY()+30,"Due within 1 Month",IF($H1360&lt;=TODAY()+60,"Due within 2 Months","OK"))))))</f>
        <v>No Data</v>
      </c>
      <c r="K1360" s="13"/>
    </row>
    <row r="1361" customFormat="false" ht="15" hidden="false" customHeight="false" outlineLevel="0" collapsed="false">
      <c r="A1361" s="9" t="str">
        <f aca="false">Vessels!B17</f>
        <v>Vessel 13</v>
      </c>
      <c r="B1361" s="9" t="s">
        <v>42</v>
      </c>
      <c r="C1361" s="7" t="s">
        <v>55</v>
      </c>
      <c r="D1361" s="9" t="s">
        <v>45</v>
      </c>
      <c r="E1361" s="9" t="s">
        <v>46</v>
      </c>
      <c r="F1361" s="5" t="n">
        <v>60</v>
      </c>
      <c r="G1361" s="10"/>
      <c r="H1361" s="11" t="str">
        <f aca="false">IFERROR(IF($D1361="Manual Review","",IF($G1361="","",IF($D1361="Direct Expiry",$G1361,EDATE($G1361,$F1361)))),"Check Date")</f>
        <v/>
      </c>
      <c r="I1361" s="12" t="str">
        <f aca="true">IF($H1361="","",IF(ISNUMBER($H1361),$H1361-TODAY(),""))</f>
        <v/>
      </c>
      <c r="J1361" s="4" t="str">
        <f aca="true">IF($D1361="Manual Review","Manual Review",IF($G1361="","No Data",IF(NOT(ISNUMBER($H1361)),"N/A",IF($H1361&lt;TODAY(),"Overdue",IF($H1361&lt;=TODAY()+30,"Due within 1 Month",IF($H1361&lt;=TODAY()+60,"Due within 2 Months","OK"))))))</f>
        <v>No Data</v>
      </c>
      <c r="K1361" s="13"/>
    </row>
    <row r="1362" customFormat="false" ht="15" hidden="false" customHeight="false" outlineLevel="0" collapsed="false">
      <c r="A1362" s="9" t="str">
        <f aca="false">Vessels!B17</f>
        <v>Vessel 13</v>
      </c>
      <c r="B1362" s="9" t="s">
        <v>42</v>
      </c>
      <c r="C1362" s="7" t="s">
        <v>56</v>
      </c>
      <c r="D1362" s="9" t="s">
        <v>45</v>
      </c>
      <c r="E1362" s="9" t="s">
        <v>46</v>
      </c>
      <c r="F1362" s="5" t="n">
        <v>60</v>
      </c>
      <c r="G1362" s="10"/>
      <c r="H1362" s="11" t="str">
        <f aca="false">IFERROR(IF($D1362="Manual Review","",IF($G1362="","",IF($D1362="Direct Expiry",$G1362,EDATE($G1362,$F1362)))),"Check Date")</f>
        <v/>
      </c>
      <c r="I1362" s="12" t="str">
        <f aca="true">IF($H1362="","",IF(ISNUMBER($H1362),$H1362-TODAY(),""))</f>
        <v/>
      </c>
      <c r="J1362" s="4" t="str">
        <f aca="true">IF($D1362="Manual Review","Manual Review",IF($G1362="","No Data",IF(NOT(ISNUMBER($H1362)),"N/A",IF($H1362&lt;TODAY(),"Overdue",IF($H1362&lt;=TODAY()+30,"Due within 1 Month",IF($H1362&lt;=TODAY()+60,"Due within 2 Months","OK"))))))</f>
        <v>No Data</v>
      </c>
      <c r="K1362" s="13"/>
    </row>
    <row r="1363" customFormat="false" ht="15" hidden="false" customHeight="false" outlineLevel="0" collapsed="false">
      <c r="A1363" s="9" t="str">
        <f aca="false">Vessels!B17</f>
        <v>Vessel 13</v>
      </c>
      <c r="B1363" s="9" t="s">
        <v>42</v>
      </c>
      <c r="C1363" s="7" t="s">
        <v>57</v>
      </c>
      <c r="D1363" s="9" t="s">
        <v>59</v>
      </c>
      <c r="E1363" s="9" t="s">
        <v>58</v>
      </c>
      <c r="F1363" s="5"/>
      <c r="G1363" s="10"/>
      <c r="H1363" s="11" t="str">
        <f aca="false">IFERROR(IF($D1363="Manual Review","",IF($G1363="","",IF($D1363="Direct Expiry",$G1363,EDATE($G1363,$F1363)))),"Check Date")</f>
        <v/>
      </c>
      <c r="I1363" s="12" t="str">
        <f aca="true">IF($H1363="","",IF(ISNUMBER($H1363),$H1363-TODAY(),""))</f>
        <v/>
      </c>
      <c r="J1363" s="4" t="str">
        <f aca="true">IF($D1363="Manual Review","Manual Review",IF($G1363="","No Data",IF(NOT(ISNUMBER($H1363)),"N/A",IF($H1363&lt;TODAY(),"Overdue",IF($H1363&lt;=TODAY()+30,"Due within 1 Month",IF($H1363&lt;=TODAY()+60,"Due within 2 Months","OK"))))))</f>
        <v>No Data</v>
      </c>
      <c r="K1363" s="13"/>
    </row>
    <row r="1364" customFormat="false" ht="15" hidden="false" customHeight="false" outlineLevel="0" collapsed="false">
      <c r="A1364" s="9" t="str">
        <f aca="false">Vessels!B17</f>
        <v>Vessel 13</v>
      </c>
      <c r="B1364" s="9" t="s">
        <v>42</v>
      </c>
      <c r="C1364" s="7" t="s">
        <v>60</v>
      </c>
      <c r="D1364" s="9" t="s">
        <v>45</v>
      </c>
      <c r="E1364" s="9" t="s">
        <v>44</v>
      </c>
      <c r="F1364" s="5" t="n">
        <v>12</v>
      </c>
      <c r="G1364" s="10"/>
      <c r="H1364" s="11" t="str">
        <f aca="false">IFERROR(IF($D1364="Manual Review","",IF($G1364="","",IF($D1364="Direct Expiry",$G1364,EDATE($G1364,$F1364)))),"Check Date")</f>
        <v/>
      </c>
      <c r="I1364" s="12" t="str">
        <f aca="true">IF($H1364="","",IF(ISNUMBER($H1364),$H1364-TODAY(),""))</f>
        <v/>
      </c>
      <c r="J1364" s="4" t="str">
        <f aca="true">IF($D1364="Manual Review","Manual Review",IF($G1364="","No Data",IF(NOT(ISNUMBER($H1364)),"N/A",IF($H1364&lt;TODAY(),"Overdue",IF($H1364&lt;=TODAY()+30,"Due within 1 Month",IF($H1364&lt;=TODAY()+60,"Due within 2 Months","OK"))))))</f>
        <v>No Data</v>
      </c>
      <c r="K1364" s="13"/>
    </row>
    <row r="1365" customFormat="false" ht="15" hidden="false" customHeight="false" outlineLevel="0" collapsed="false">
      <c r="A1365" s="9" t="str">
        <f aca="false">Vessels!B17</f>
        <v>Vessel 13</v>
      </c>
      <c r="B1365" s="9" t="s">
        <v>42</v>
      </c>
      <c r="C1365" s="7" t="s">
        <v>60</v>
      </c>
      <c r="D1365" s="9" t="s">
        <v>45</v>
      </c>
      <c r="E1365" s="9" t="s">
        <v>46</v>
      </c>
      <c r="F1365" s="5" t="n">
        <v>60</v>
      </c>
      <c r="G1365" s="10"/>
      <c r="H1365" s="11" t="str">
        <f aca="false">IFERROR(IF($D1365="Manual Review","",IF($G1365="","",IF($D1365="Direct Expiry",$G1365,EDATE($G1365,$F1365)))),"Check Date")</f>
        <v/>
      </c>
      <c r="I1365" s="12" t="str">
        <f aca="true">IF($H1365="","",IF(ISNUMBER($H1365),$H1365-TODAY(),""))</f>
        <v/>
      </c>
      <c r="J1365" s="4" t="str">
        <f aca="true">IF($D1365="Manual Review","Manual Review",IF($G1365="","No Data",IF(NOT(ISNUMBER($H1365)),"N/A",IF($H1365&lt;TODAY(),"Overdue",IF($H1365&lt;=TODAY()+30,"Due within 1 Month",IF($H1365&lt;=TODAY()+60,"Due within 2 Months","OK"))))))</f>
        <v>No Data</v>
      </c>
      <c r="K1365" s="13"/>
    </row>
    <row r="1366" customFormat="false" ht="15" hidden="false" customHeight="false" outlineLevel="0" collapsed="false">
      <c r="A1366" s="9" t="str">
        <f aca="false">Vessels!B17</f>
        <v>Vessel 13</v>
      </c>
      <c r="B1366" s="9" t="s">
        <v>42</v>
      </c>
      <c r="C1366" s="7" t="s">
        <v>61</v>
      </c>
      <c r="D1366" s="9" t="s">
        <v>45</v>
      </c>
      <c r="E1366" s="9" t="s">
        <v>44</v>
      </c>
      <c r="F1366" s="5" t="n">
        <v>12</v>
      </c>
      <c r="G1366" s="10"/>
      <c r="H1366" s="11" t="str">
        <f aca="false">IFERROR(IF($D1366="Manual Review","",IF($G1366="","",IF($D1366="Direct Expiry",$G1366,EDATE($G1366,$F1366)))),"Check Date")</f>
        <v/>
      </c>
      <c r="I1366" s="12" t="str">
        <f aca="true">IF($H1366="","",IF(ISNUMBER($H1366),$H1366-TODAY(),""))</f>
        <v/>
      </c>
      <c r="J1366" s="4" t="str">
        <f aca="true">IF($D1366="Manual Review","Manual Review",IF($G1366="","No Data",IF(NOT(ISNUMBER($H1366)),"N/A",IF($H1366&lt;TODAY(),"Overdue",IF($H1366&lt;=TODAY()+30,"Due within 1 Month",IF($H1366&lt;=TODAY()+60,"Due within 2 Months","OK"))))))</f>
        <v>No Data</v>
      </c>
      <c r="K1366" s="13"/>
    </row>
    <row r="1367" customFormat="false" ht="15" hidden="false" customHeight="false" outlineLevel="0" collapsed="false">
      <c r="A1367" s="9" t="str">
        <f aca="false">Vessels!B17</f>
        <v>Vessel 13</v>
      </c>
      <c r="B1367" s="9" t="s">
        <v>42</v>
      </c>
      <c r="C1367" s="7" t="s">
        <v>61</v>
      </c>
      <c r="D1367" s="9" t="s">
        <v>45</v>
      </c>
      <c r="E1367" s="9" t="s">
        <v>46</v>
      </c>
      <c r="F1367" s="5" t="n">
        <v>60</v>
      </c>
      <c r="G1367" s="10"/>
      <c r="H1367" s="11" t="str">
        <f aca="false">IFERROR(IF($D1367="Manual Review","",IF($G1367="","",IF($D1367="Direct Expiry",$G1367,EDATE($G1367,$F1367)))),"Check Date")</f>
        <v/>
      </c>
      <c r="I1367" s="12" t="str">
        <f aca="true">IF($H1367="","",IF(ISNUMBER($H1367),$H1367-TODAY(),""))</f>
        <v/>
      </c>
      <c r="J1367" s="4" t="str">
        <f aca="true">IF($D1367="Manual Review","Manual Review",IF($G1367="","No Data",IF(NOT(ISNUMBER($H1367)),"N/A",IF($H1367&lt;TODAY(),"Overdue",IF($H1367&lt;=TODAY()+30,"Due within 1 Month",IF($H1367&lt;=TODAY()+60,"Due within 2 Months","OK"))))))</f>
        <v>No Data</v>
      </c>
      <c r="K1367" s="13"/>
    </row>
    <row r="1368" customFormat="false" ht="15" hidden="false" customHeight="false" outlineLevel="0" collapsed="false">
      <c r="A1368" s="9" t="str">
        <f aca="false">Vessels!B17</f>
        <v>Vessel 13</v>
      </c>
      <c r="B1368" s="9" t="s">
        <v>42</v>
      </c>
      <c r="C1368" s="7" t="s">
        <v>62</v>
      </c>
      <c r="D1368" s="9" t="s">
        <v>45</v>
      </c>
      <c r="E1368" s="9" t="s">
        <v>44</v>
      </c>
      <c r="F1368" s="5" t="n">
        <v>12</v>
      </c>
      <c r="G1368" s="10"/>
      <c r="H1368" s="11" t="str">
        <f aca="false">IFERROR(IF($D1368="Manual Review","",IF($G1368="","",IF($D1368="Direct Expiry",$G1368,EDATE($G1368,$F1368)))),"Check Date")</f>
        <v/>
      </c>
      <c r="I1368" s="12" t="str">
        <f aca="true">IF($H1368="","",IF(ISNUMBER($H1368),$H1368-TODAY(),""))</f>
        <v/>
      </c>
      <c r="J1368" s="4" t="str">
        <f aca="true">IF($D1368="Manual Review","Manual Review",IF($G1368="","No Data",IF(NOT(ISNUMBER($H1368)),"N/A",IF($H1368&lt;TODAY(),"Overdue",IF($H1368&lt;=TODAY()+30,"Due within 1 Month",IF($H1368&lt;=TODAY()+60,"Due within 2 Months","OK"))))))</f>
        <v>No Data</v>
      </c>
      <c r="K1368" s="13"/>
    </row>
    <row r="1369" customFormat="false" ht="15" hidden="false" customHeight="false" outlineLevel="0" collapsed="false">
      <c r="A1369" s="9" t="str">
        <f aca="false">Vessels!B17</f>
        <v>Vessel 13</v>
      </c>
      <c r="B1369" s="9" t="s">
        <v>42</v>
      </c>
      <c r="C1369" s="7" t="s">
        <v>62</v>
      </c>
      <c r="D1369" s="9" t="s">
        <v>45</v>
      </c>
      <c r="E1369" s="9" t="s">
        <v>49</v>
      </c>
      <c r="F1369" s="5" t="n">
        <v>60</v>
      </c>
      <c r="G1369" s="10"/>
      <c r="H1369" s="11" t="str">
        <f aca="false">IFERROR(IF($D1369="Manual Review","",IF($G1369="","",IF($D1369="Direct Expiry",$G1369,EDATE($G1369,$F1369)))),"Check Date")</f>
        <v/>
      </c>
      <c r="I1369" s="12" t="str">
        <f aca="true">IF($H1369="","",IF(ISNUMBER($H1369),$H1369-TODAY(),""))</f>
        <v/>
      </c>
      <c r="J1369" s="4" t="str">
        <f aca="true">IF($D1369="Manual Review","Manual Review",IF($G1369="","No Data",IF(NOT(ISNUMBER($H1369)),"N/A",IF($H1369&lt;TODAY(),"Overdue",IF($H1369&lt;=TODAY()+30,"Due within 1 Month",IF($H1369&lt;=TODAY()+60,"Due within 2 Months","OK"))))))</f>
        <v>No Data</v>
      </c>
      <c r="K1369" s="13"/>
    </row>
    <row r="1370" customFormat="false" ht="15" hidden="false" customHeight="false" outlineLevel="0" collapsed="false">
      <c r="A1370" s="9" t="str">
        <f aca="false">Vessels!B17</f>
        <v>Vessel 13</v>
      </c>
      <c r="B1370" s="9" t="s">
        <v>42</v>
      </c>
      <c r="C1370" s="7" t="s">
        <v>63</v>
      </c>
      <c r="D1370" s="9" t="s">
        <v>45</v>
      </c>
      <c r="E1370" s="9" t="s">
        <v>44</v>
      </c>
      <c r="F1370" s="5" t="n">
        <v>12</v>
      </c>
      <c r="G1370" s="10"/>
      <c r="H1370" s="11" t="str">
        <f aca="false">IFERROR(IF($D1370="Manual Review","",IF($G1370="","",IF($D1370="Direct Expiry",$G1370,EDATE($G1370,$F1370)))),"Check Date")</f>
        <v/>
      </c>
      <c r="I1370" s="12" t="str">
        <f aca="true">IF($H1370="","",IF(ISNUMBER($H1370),$H1370-TODAY(),""))</f>
        <v/>
      </c>
      <c r="J1370" s="4" t="str">
        <f aca="true">IF($D1370="Manual Review","Manual Review",IF($G1370="","No Data",IF(NOT(ISNUMBER($H1370)),"N/A",IF($H1370&lt;TODAY(),"Overdue",IF($H1370&lt;=TODAY()+30,"Due within 1 Month",IF($H1370&lt;=TODAY()+60,"Due within 2 Months","OK"))))))</f>
        <v>No Data</v>
      </c>
      <c r="K1370" s="13"/>
    </row>
    <row r="1371" customFormat="false" ht="15" hidden="false" customHeight="false" outlineLevel="0" collapsed="false">
      <c r="A1371" s="9" t="str">
        <f aca="false">Vessels!B17</f>
        <v>Vessel 13</v>
      </c>
      <c r="B1371" s="9" t="s">
        <v>42</v>
      </c>
      <c r="C1371" s="7" t="s">
        <v>63</v>
      </c>
      <c r="D1371" s="9" t="s">
        <v>45</v>
      </c>
      <c r="E1371" s="9" t="s">
        <v>49</v>
      </c>
      <c r="F1371" s="5" t="n">
        <v>60</v>
      </c>
      <c r="G1371" s="10"/>
      <c r="H1371" s="11" t="str">
        <f aca="false">IFERROR(IF($D1371="Manual Review","",IF($G1371="","",IF($D1371="Direct Expiry",$G1371,EDATE($G1371,$F1371)))),"Check Date")</f>
        <v/>
      </c>
      <c r="I1371" s="12" t="str">
        <f aca="true">IF($H1371="","",IF(ISNUMBER($H1371),$H1371-TODAY(),""))</f>
        <v/>
      </c>
      <c r="J1371" s="4" t="str">
        <f aca="true">IF($D1371="Manual Review","Manual Review",IF($G1371="","No Data",IF(NOT(ISNUMBER($H1371)),"N/A",IF($H1371&lt;TODAY(),"Overdue",IF($H1371&lt;=TODAY()+30,"Due within 1 Month",IF($H1371&lt;=TODAY()+60,"Due within 2 Months","OK"))))))</f>
        <v>No Data</v>
      </c>
      <c r="K1371" s="13"/>
    </row>
    <row r="1372" customFormat="false" ht="15" hidden="false" customHeight="false" outlineLevel="0" collapsed="false">
      <c r="A1372" s="9" t="str">
        <f aca="false">Vessels!B17</f>
        <v>Vessel 13</v>
      </c>
      <c r="B1372" s="9" t="s">
        <v>42</v>
      </c>
      <c r="C1372" s="7" t="s">
        <v>64</v>
      </c>
      <c r="D1372" s="9" t="s">
        <v>45</v>
      </c>
      <c r="E1372" s="9" t="s">
        <v>46</v>
      </c>
      <c r="F1372" s="5" t="n">
        <v>60</v>
      </c>
      <c r="G1372" s="10"/>
      <c r="H1372" s="11" t="str">
        <f aca="false">IFERROR(IF($D1372="Manual Review","",IF($G1372="","",IF($D1372="Direct Expiry",$G1372,EDATE($G1372,$F1372)))),"Check Date")</f>
        <v/>
      </c>
      <c r="I1372" s="12" t="str">
        <f aca="true">IF($H1372="","",IF(ISNUMBER($H1372),$H1372-TODAY(),""))</f>
        <v/>
      </c>
      <c r="J1372" s="4" t="str">
        <f aca="true">IF($D1372="Manual Review","Manual Review",IF($G1372="","No Data",IF(NOT(ISNUMBER($H1372)),"N/A",IF($H1372&lt;TODAY(),"Overdue",IF($H1372&lt;=TODAY()+30,"Due within 1 Month",IF($H1372&lt;=TODAY()+60,"Due within 2 Months","OK"))))))</f>
        <v>No Data</v>
      </c>
      <c r="K1372" s="13"/>
    </row>
    <row r="1373" customFormat="false" ht="15" hidden="false" customHeight="false" outlineLevel="0" collapsed="false">
      <c r="A1373" s="9" t="str">
        <f aca="false">Vessels!B17</f>
        <v>Vessel 13</v>
      </c>
      <c r="B1373" s="9" t="s">
        <v>42</v>
      </c>
      <c r="C1373" s="7" t="s">
        <v>65</v>
      </c>
      <c r="D1373" s="9" t="s">
        <v>45</v>
      </c>
      <c r="E1373" s="9" t="s">
        <v>46</v>
      </c>
      <c r="F1373" s="5" t="n">
        <v>60</v>
      </c>
      <c r="G1373" s="10"/>
      <c r="H1373" s="11" t="str">
        <f aca="false">IFERROR(IF($D1373="Manual Review","",IF($G1373="","",IF($D1373="Direct Expiry",$G1373,EDATE($G1373,$F1373)))),"Check Date")</f>
        <v/>
      </c>
      <c r="I1373" s="12" t="str">
        <f aca="true">IF($H1373="","",IF(ISNUMBER($H1373),$H1373-TODAY(),""))</f>
        <v/>
      </c>
      <c r="J1373" s="4" t="str">
        <f aca="true">IF($D1373="Manual Review","Manual Review",IF($G1373="","No Data",IF(NOT(ISNUMBER($H1373)),"N/A",IF($H1373&lt;TODAY(),"Overdue",IF($H1373&lt;=TODAY()+30,"Due within 1 Month",IF($H1373&lt;=TODAY()+60,"Due within 2 Months","OK"))))))</f>
        <v>No Data</v>
      </c>
      <c r="K1373" s="13"/>
    </row>
    <row r="1374" customFormat="false" ht="15" hidden="false" customHeight="false" outlineLevel="0" collapsed="false">
      <c r="A1374" s="9" t="str">
        <f aca="false">Vessels!B17</f>
        <v>Vessel 13</v>
      </c>
      <c r="B1374" s="9" t="s">
        <v>42</v>
      </c>
      <c r="C1374" s="7" t="s">
        <v>66</v>
      </c>
      <c r="D1374" s="9" t="s">
        <v>45</v>
      </c>
      <c r="E1374" s="9" t="s">
        <v>46</v>
      </c>
      <c r="F1374" s="5" t="n">
        <v>60</v>
      </c>
      <c r="G1374" s="10"/>
      <c r="H1374" s="11" t="str">
        <f aca="false">IFERROR(IF($D1374="Manual Review","",IF($G1374="","",IF($D1374="Direct Expiry",$G1374,EDATE($G1374,$F1374)))),"Check Date")</f>
        <v/>
      </c>
      <c r="I1374" s="12" t="str">
        <f aca="true">IF($H1374="","",IF(ISNUMBER($H1374),$H1374-TODAY(),""))</f>
        <v/>
      </c>
      <c r="J1374" s="4" t="str">
        <f aca="true">IF($D1374="Manual Review","Manual Review",IF($G1374="","No Data",IF(NOT(ISNUMBER($H1374)),"N/A",IF($H1374&lt;TODAY(),"Overdue",IF($H1374&lt;=TODAY()+30,"Due within 1 Month",IF($H1374&lt;=TODAY()+60,"Due within 2 Months","OK"))))))</f>
        <v>No Data</v>
      </c>
      <c r="K1374" s="13"/>
    </row>
    <row r="1375" customFormat="false" ht="15" hidden="false" customHeight="false" outlineLevel="0" collapsed="false">
      <c r="A1375" s="9" t="str">
        <f aca="false">Vessels!B17</f>
        <v>Vessel 13</v>
      </c>
      <c r="B1375" s="9" t="s">
        <v>42</v>
      </c>
      <c r="C1375" s="7" t="s">
        <v>67</v>
      </c>
      <c r="D1375" s="9" t="s">
        <v>45</v>
      </c>
      <c r="E1375" s="9" t="s">
        <v>46</v>
      </c>
      <c r="F1375" s="5" t="n">
        <v>60</v>
      </c>
      <c r="G1375" s="10"/>
      <c r="H1375" s="11" t="str">
        <f aca="false">IFERROR(IF($D1375="Manual Review","",IF($G1375="","",IF($D1375="Direct Expiry",$G1375,EDATE($G1375,$F1375)))),"Check Date")</f>
        <v/>
      </c>
      <c r="I1375" s="12" t="str">
        <f aca="true">IF($H1375="","",IF(ISNUMBER($H1375),$H1375-TODAY(),""))</f>
        <v/>
      </c>
      <c r="J1375" s="4" t="str">
        <f aca="true">IF($D1375="Manual Review","Manual Review",IF($G1375="","No Data",IF(NOT(ISNUMBER($H1375)),"N/A",IF($H1375&lt;TODAY(),"Overdue",IF($H1375&lt;=TODAY()+30,"Due within 1 Month",IF($H1375&lt;=TODAY()+60,"Due within 2 Months","OK"))))))</f>
        <v>No Data</v>
      </c>
      <c r="K1375" s="13"/>
    </row>
    <row r="1376" customFormat="false" ht="15" hidden="false" customHeight="false" outlineLevel="0" collapsed="false">
      <c r="A1376" s="9" t="str">
        <f aca="false">Vessels!B17</f>
        <v>Vessel 13</v>
      </c>
      <c r="B1376" s="9" t="s">
        <v>42</v>
      </c>
      <c r="C1376" s="7" t="s">
        <v>68</v>
      </c>
      <c r="D1376" s="9" t="s">
        <v>45</v>
      </c>
      <c r="E1376" s="9" t="s">
        <v>46</v>
      </c>
      <c r="F1376" s="5" t="n">
        <v>60</v>
      </c>
      <c r="G1376" s="10"/>
      <c r="H1376" s="11" t="str">
        <f aca="false">IFERROR(IF($D1376="Manual Review","",IF($G1376="","",IF($D1376="Direct Expiry",$G1376,EDATE($G1376,$F1376)))),"Check Date")</f>
        <v/>
      </c>
      <c r="I1376" s="12" t="str">
        <f aca="true">IF($H1376="","",IF(ISNUMBER($H1376),$H1376-TODAY(),""))</f>
        <v/>
      </c>
      <c r="J1376" s="4" t="str">
        <f aca="true">IF($D1376="Manual Review","Manual Review",IF($G1376="","No Data",IF(NOT(ISNUMBER($H1376)),"N/A",IF($H1376&lt;TODAY(),"Overdue",IF($H1376&lt;=TODAY()+30,"Due within 1 Month",IF($H1376&lt;=TODAY()+60,"Due within 2 Months","OK"))))))</f>
        <v>No Data</v>
      </c>
      <c r="K1376" s="13"/>
    </row>
    <row r="1377" customFormat="false" ht="15" hidden="false" customHeight="false" outlineLevel="0" collapsed="false">
      <c r="A1377" s="9" t="str">
        <f aca="false">Vessels!B17</f>
        <v>Vessel 13</v>
      </c>
      <c r="B1377" s="9" t="s">
        <v>42</v>
      </c>
      <c r="C1377" s="7" t="s">
        <v>69</v>
      </c>
      <c r="D1377" s="9" t="s">
        <v>45</v>
      </c>
      <c r="E1377" s="9" t="s">
        <v>46</v>
      </c>
      <c r="F1377" s="5" t="n">
        <v>60</v>
      </c>
      <c r="G1377" s="10"/>
      <c r="H1377" s="11" t="str">
        <f aca="false">IFERROR(IF($D1377="Manual Review","",IF($G1377="","",IF($D1377="Direct Expiry",$G1377,EDATE($G1377,$F1377)))),"Check Date")</f>
        <v/>
      </c>
      <c r="I1377" s="12" t="str">
        <f aca="true">IF($H1377="","",IF(ISNUMBER($H1377),$H1377-TODAY(),""))</f>
        <v/>
      </c>
      <c r="J1377" s="4" t="str">
        <f aca="true">IF($D1377="Manual Review","Manual Review",IF($G1377="","No Data",IF(NOT(ISNUMBER($H1377)),"N/A",IF($H1377&lt;TODAY(),"Overdue",IF($H1377&lt;=TODAY()+30,"Due within 1 Month",IF($H1377&lt;=TODAY()+60,"Due within 2 Months","OK"))))))</f>
        <v>No Data</v>
      </c>
      <c r="K1377" s="13"/>
    </row>
    <row r="1378" customFormat="false" ht="15" hidden="false" customHeight="false" outlineLevel="0" collapsed="false">
      <c r="A1378" s="9" t="str">
        <f aca="false">Vessels!B17</f>
        <v>Vessel 13</v>
      </c>
      <c r="B1378" s="9" t="s">
        <v>42</v>
      </c>
      <c r="C1378" s="7" t="s">
        <v>70</v>
      </c>
      <c r="D1378" s="9" t="s">
        <v>59</v>
      </c>
      <c r="E1378" s="9" t="s">
        <v>58</v>
      </c>
      <c r="F1378" s="5"/>
      <c r="G1378" s="10"/>
      <c r="H1378" s="11" t="str">
        <f aca="false">IFERROR(IF($D1378="Manual Review","",IF($G1378="","",IF($D1378="Direct Expiry",$G1378,EDATE($G1378,$F1378)))),"Check Date")</f>
        <v/>
      </c>
      <c r="I1378" s="12" t="str">
        <f aca="true">IF($H1378="","",IF(ISNUMBER($H1378),$H1378-TODAY(),""))</f>
        <v/>
      </c>
      <c r="J1378" s="4" t="str">
        <f aca="true">IF($D1378="Manual Review","Manual Review",IF($G1378="","No Data",IF(NOT(ISNUMBER($H1378)),"N/A",IF($H1378&lt;TODAY(),"Overdue",IF($H1378&lt;=TODAY()+30,"Due within 1 Month",IF($H1378&lt;=TODAY()+60,"Due within 2 Months","OK"))))))</f>
        <v>No Data</v>
      </c>
      <c r="K1378" s="13"/>
    </row>
    <row r="1379" customFormat="false" ht="15" hidden="false" customHeight="false" outlineLevel="0" collapsed="false">
      <c r="A1379" s="9" t="str">
        <f aca="false">Vessels!B17</f>
        <v>Vessel 13</v>
      </c>
      <c r="B1379" s="9" t="s">
        <v>42</v>
      </c>
      <c r="C1379" s="7" t="s">
        <v>71</v>
      </c>
      <c r="D1379" s="9" t="s">
        <v>45</v>
      </c>
      <c r="E1379" s="9" t="s">
        <v>44</v>
      </c>
      <c r="F1379" s="5" t="n">
        <v>12</v>
      </c>
      <c r="G1379" s="10"/>
      <c r="H1379" s="11" t="str">
        <f aca="false">IFERROR(IF($D1379="Manual Review","",IF($G1379="","",IF($D1379="Direct Expiry",$G1379,EDATE($G1379,$F1379)))),"Check Date")</f>
        <v/>
      </c>
      <c r="I1379" s="12" t="str">
        <f aca="true">IF($H1379="","",IF(ISNUMBER($H1379),$H1379-TODAY(),""))</f>
        <v/>
      </c>
      <c r="J1379" s="4" t="str">
        <f aca="true">IF($D1379="Manual Review","Manual Review",IF($G1379="","No Data",IF(NOT(ISNUMBER($H1379)),"N/A",IF($H1379&lt;TODAY(),"Overdue",IF($H1379&lt;=TODAY()+30,"Due within 1 Month",IF($H1379&lt;=TODAY()+60,"Due within 2 Months","OK"))))))</f>
        <v>No Data</v>
      </c>
      <c r="K1379" s="13"/>
    </row>
    <row r="1380" customFormat="false" ht="15" hidden="false" customHeight="false" outlineLevel="0" collapsed="false">
      <c r="A1380" s="9" t="str">
        <f aca="false">Vessels!B17</f>
        <v>Vessel 13</v>
      </c>
      <c r="B1380" s="9" t="s">
        <v>42</v>
      </c>
      <c r="C1380" s="7" t="s">
        <v>72</v>
      </c>
      <c r="D1380" s="9" t="s">
        <v>59</v>
      </c>
      <c r="E1380" s="9" t="s">
        <v>58</v>
      </c>
      <c r="F1380" s="5"/>
      <c r="G1380" s="10"/>
      <c r="H1380" s="11" t="str">
        <f aca="false">IFERROR(IF($D1380="Manual Review","",IF($G1380="","",IF($D1380="Direct Expiry",$G1380,EDATE($G1380,$F1380)))),"Check Date")</f>
        <v/>
      </c>
      <c r="I1380" s="12" t="str">
        <f aca="true">IF($H1380="","",IF(ISNUMBER($H1380),$H1380-TODAY(),""))</f>
        <v/>
      </c>
      <c r="J1380" s="4" t="str">
        <f aca="true">IF($D1380="Manual Review","Manual Review",IF($G1380="","No Data",IF(NOT(ISNUMBER($H1380)),"N/A",IF($H1380&lt;TODAY(),"Overdue",IF($H1380&lt;=TODAY()+30,"Due within 1 Month",IF($H1380&lt;=TODAY()+60,"Due within 2 Months","OK"))))))</f>
        <v>No Data</v>
      </c>
      <c r="K1380" s="13"/>
    </row>
    <row r="1381" customFormat="false" ht="15" hidden="false" customHeight="false" outlineLevel="0" collapsed="false">
      <c r="A1381" s="9" t="str">
        <f aca="false">Vessels!B17</f>
        <v>Vessel 13</v>
      </c>
      <c r="B1381" s="9" t="s">
        <v>42</v>
      </c>
      <c r="C1381" s="7" t="s">
        <v>73</v>
      </c>
      <c r="D1381" s="9" t="s">
        <v>45</v>
      </c>
      <c r="E1381" s="9" t="s">
        <v>44</v>
      </c>
      <c r="F1381" s="5" t="n">
        <v>12</v>
      </c>
      <c r="G1381" s="10"/>
      <c r="H1381" s="11" t="str">
        <f aca="false">IFERROR(IF($D1381="Manual Review","",IF($G1381="","",IF($D1381="Direct Expiry",$G1381,EDATE($G1381,$F1381)))),"Check Date")</f>
        <v/>
      </c>
      <c r="I1381" s="12" t="str">
        <f aca="true">IF($H1381="","",IF(ISNUMBER($H1381),$H1381-TODAY(),""))</f>
        <v/>
      </c>
      <c r="J1381" s="4" t="str">
        <f aca="true">IF($D1381="Manual Review","Manual Review",IF($G1381="","No Data",IF(NOT(ISNUMBER($H1381)),"N/A",IF($H1381&lt;TODAY(),"Overdue",IF($H1381&lt;=TODAY()+30,"Due within 1 Month",IF($H1381&lt;=TODAY()+60,"Due within 2 Months","OK"))))))</f>
        <v>No Data</v>
      </c>
      <c r="K1381" s="13"/>
    </row>
    <row r="1382" customFormat="false" ht="15" hidden="false" customHeight="false" outlineLevel="0" collapsed="false">
      <c r="A1382" s="9" t="str">
        <f aca="false">Vessels!B17</f>
        <v>Vessel 13</v>
      </c>
      <c r="B1382" s="9" t="s">
        <v>42</v>
      </c>
      <c r="C1382" s="7" t="s">
        <v>74</v>
      </c>
      <c r="D1382" s="9" t="s">
        <v>59</v>
      </c>
      <c r="E1382" s="9" t="s">
        <v>58</v>
      </c>
      <c r="F1382" s="5"/>
      <c r="G1382" s="10"/>
      <c r="H1382" s="11" t="str">
        <f aca="false">IFERROR(IF($D1382="Manual Review","",IF($G1382="","",IF($D1382="Direct Expiry",$G1382,EDATE($G1382,$F1382)))),"Check Date")</f>
        <v/>
      </c>
      <c r="I1382" s="12" t="str">
        <f aca="true">IF($H1382="","",IF(ISNUMBER($H1382),$H1382-TODAY(),""))</f>
        <v/>
      </c>
      <c r="J1382" s="4" t="str">
        <f aca="true">IF($D1382="Manual Review","Manual Review",IF($G1382="","No Data",IF(NOT(ISNUMBER($H1382)),"N/A",IF($H1382&lt;TODAY(),"Overdue",IF($H1382&lt;=TODAY()+30,"Due within 1 Month",IF($H1382&lt;=TODAY()+60,"Due within 2 Months","OK"))))))</f>
        <v>No Data</v>
      </c>
      <c r="K1382" s="13"/>
    </row>
    <row r="1383" customFormat="false" ht="15" hidden="false" customHeight="false" outlineLevel="0" collapsed="false">
      <c r="A1383" s="9" t="str">
        <f aca="false">Vessels!B17</f>
        <v>Vessel 13</v>
      </c>
      <c r="B1383" s="9" t="s">
        <v>42</v>
      </c>
      <c r="C1383" s="7" t="s">
        <v>75</v>
      </c>
      <c r="D1383" s="9" t="s">
        <v>45</v>
      </c>
      <c r="E1383" s="9" t="s">
        <v>44</v>
      </c>
      <c r="F1383" s="5" t="n">
        <v>12</v>
      </c>
      <c r="G1383" s="10"/>
      <c r="H1383" s="11" t="str">
        <f aca="false">IFERROR(IF($D1383="Manual Review","",IF($G1383="","",IF($D1383="Direct Expiry",$G1383,EDATE($G1383,$F1383)))),"Check Date")</f>
        <v/>
      </c>
      <c r="I1383" s="12" t="str">
        <f aca="true">IF($H1383="","",IF(ISNUMBER($H1383),$H1383-TODAY(),""))</f>
        <v/>
      </c>
      <c r="J1383" s="4" t="str">
        <f aca="true">IF($D1383="Manual Review","Manual Review",IF($G1383="","No Data",IF(NOT(ISNUMBER($H1383)),"N/A",IF($H1383&lt;TODAY(),"Overdue",IF($H1383&lt;=TODAY()+30,"Due within 1 Month",IF($H1383&lt;=TODAY()+60,"Due within 2 Months","OK"))))))</f>
        <v>No Data</v>
      </c>
      <c r="K1383" s="13"/>
    </row>
    <row r="1384" customFormat="false" ht="15" hidden="false" customHeight="false" outlineLevel="0" collapsed="false">
      <c r="A1384" s="9" t="str">
        <f aca="false">Vessels!B17</f>
        <v>Vessel 13</v>
      </c>
      <c r="B1384" s="9" t="s">
        <v>42</v>
      </c>
      <c r="C1384" s="7" t="s">
        <v>76</v>
      </c>
      <c r="D1384" s="9" t="s">
        <v>59</v>
      </c>
      <c r="E1384" s="9" t="s">
        <v>58</v>
      </c>
      <c r="F1384" s="5"/>
      <c r="G1384" s="10"/>
      <c r="H1384" s="11" t="str">
        <f aca="false">IFERROR(IF($D1384="Manual Review","",IF($G1384="","",IF($D1384="Direct Expiry",$G1384,EDATE($G1384,$F1384)))),"Check Date")</f>
        <v/>
      </c>
      <c r="I1384" s="12" t="str">
        <f aca="true">IF($H1384="","",IF(ISNUMBER($H1384),$H1384-TODAY(),""))</f>
        <v/>
      </c>
      <c r="J1384" s="4" t="str">
        <f aca="true">IF($D1384="Manual Review","Manual Review",IF($G1384="","No Data",IF(NOT(ISNUMBER($H1384)),"N/A",IF($H1384&lt;TODAY(),"Overdue",IF($H1384&lt;=TODAY()+30,"Due within 1 Month",IF($H1384&lt;=TODAY()+60,"Due within 2 Months","OK"))))))</f>
        <v>No Data</v>
      </c>
      <c r="K1384" s="13"/>
    </row>
    <row r="1385" customFormat="false" ht="15" hidden="false" customHeight="false" outlineLevel="0" collapsed="false">
      <c r="A1385" s="9" t="str">
        <f aca="false">Vessels!B17</f>
        <v>Vessel 13</v>
      </c>
      <c r="B1385" s="9" t="s">
        <v>42</v>
      </c>
      <c r="C1385" s="7" t="s">
        <v>77</v>
      </c>
      <c r="D1385" s="9" t="s">
        <v>59</v>
      </c>
      <c r="E1385" s="9" t="s">
        <v>58</v>
      </c>
      <c r="F1385" s="5"/>
      <c r="G1385" s="10"/>
      <c r="H1385" s="11" t="str">
        <f aca="false">IFERROR(IF($D1385="Manual Review","",IF($G1385="","",IF($D1385="Direct Expiry",$G1385,EDATE($G1385,$F1385)))),"Check Date")</f>
        <v/>
      </c>
      <c r="I1385" s="12" t="str">
        <f aca="true">IF($H1385="","",IF(ISNUMBER($H1385),$H1385-TODAY(),""))</f>
        <v/>
      </c>
      <c r="J1385" s="4" t="str">
        <f aca="true">IF($D1385="Manual Review","Manual Review",IF($G1385="","No Data",IF(NOT(ISNUMBER($H1385)),"N/A",IF($H1385&lt;TODAY(),"Overdue",IF($H1385&lt;=TODAY()+30,"Due within 1 Month",IF($H1385&lt;=TODAY()+60,"Due within 2 Months","OK"))))))</f>
        <v>No Data</v>
      </c>
      <c r="K1385" s="13"/>
    </row>
    <row r="1386" customFormat="false" ht="15" hidden="false" customHeight="false" outlineLevel="0" collapsed="false">
      <c r="A1386" s="9" t="str">
        <f aca="false">Vessels!B17</f>
        <v>Vessel 13</v>
      </c>
      <c r="B1386" s="9" t="s">
        <v>42</v>
      </c>
      <c r="C1386" s="7" t="s">
        <v>78</v>
      </c>
      <c r="D1386" s="9" t="s">
        <v>59</v>
      </c>
      <c r="E1386" s="9" t="s">
        <v>58</v>
      </c>
      <c r="F1386" s="5"/>
      <c r="G1386" s="10"/>
      <c r="H1386" s="11" t="str">
        <f aca="false">IFERROR(IF($D1386="Manual Review","",IF($G1386="","",IF($D1386="Direct Expiry",$G1386,EDATE($G1386,$F1386)))),"Check Date")</f>
        <v/>
      </c>
      <c r="I1386" s="12" t="str">
        <f aca="true">IF($H1386="","",IF(ISNUMBER($H1386),$H1386-TODAY(),""))</f>
        <v/>
      </c>
      <c r="J1386" s="4" t="str">
        <f aca="true">IF($D1386="Manual Review","Manual Review",IF($G1386="","No Data",IF(NOT(ISNUMBER($H1386)),"N/A",IF($H1386&lt;TODAY(),"Overdue",IF($H1386&lt;=TODAY()+30,"Due within 1 Month",IF($H1386&lt;=TODAY()+60,"Due within 2 Months","OK"))))))</f>
        <v>No Data</v>
      </c>
      <c r="K1386" s="13"/>
    </row>
    <row r="1387" customFormat="false" ht="15" hidden="false" customHeight="false" outlineLevel="0" collapsed="false">
      <c r="A1387" s="9" t="str">
        <f aca="false">Vessels!B17</f>
        <v>Vessel 13</v>
      </c>
      <c r="B1387" s="9" t="s">
        <v>42</v>
      </c>
      <c r="C1387" s="7" t="s">
        <v>79</v>
      </c>
      <c r="D1387" s="9" t="s">
        <v>45</v>
      </c>
      <c r="E1387" s="9" t="s">
        <v>44</v>
      </c>
      <c r="F1387" s="5" t="n">
        <v>12</v>
      </c>
      <c r="G1387" s="10"/>
      <c r="H1387" s="11" t="str">
        <f aca="false">IFERROR(IF($D1387="Manual Review","",IF($G1387="","",IF($D1387="Direct Expiry",$G1387,EDATE($G1387,$F1387)))),"Check Date")</f>
        <v/>
      </c>
      <c r="I1387" s="12" t="str">
        <f aca="true">IF($H1387="","",IF(ISNUMBER($H1387),$H1387-TODAY(),""))</f>
        <v/>
      </c>
      <c r="J1387" s="4" t="str">
        <f aca="true">IF($D1387="Manual Review","Manual Review",IF($G1387="","No Data",IF(NOT(ISNUMBER($H1387)),"N/A",IF($H1387&lt;TODAY(),"Overdue",IF($H1387&lt;=TODAY()+30,"Due within 1 Month",IF($H1387&lt;=TODAY()+60,"Due within 2 Months","OK"))))))</f>
        <v>No Data</v>
      </c>
      <c r="K1387" s="13"/>
    </row>
    <row r="1388" customFormat="false" ht="15" hidden="false" customHeight="false" outlineLevel="0" collapsed="false">
      <c r="A1388" s="9" t="str">
        <f aca="false">Vessels!B17</f>
        <v>Vessel 13</v>
      </c>
      <c r="B1388" s="9" t="s">
        <v>42</v>
      </c>
      <c r="C1388" s="7" t="s">
        <v>80</v>
      </c>
      <c r="D1388" s="9" t="s">
        <v>45</v>
      </c>
      <c r="E1388" s="9" t="s">
        <v>81</v>
      </c>
      <c r="F1388" s="5" t="n">
        <v>36</v>
      </c>
      <c r="G1388" s="10"/>
      <c r="H1388" s="11" t="str">
        <f aca="false">IFERROR(IF($D1388="Manual Review","",IF($G1388="","",IF($D1388="Direct Expiry",$G1388,EDATE($G1388,$F1388)))),"Check Date")</f>
        <v/>
      </c>
      <c r="I1388" s="12" t="str">
        <f aca="true">IF($H1388="","",IF(ISNUMBER($H1388),$H1388-TODAY(),""))</f>
        <v/>
      </c>
      <c r="J1388" s="4" t="str">
        <f aca="true">IF($D1388="Manual Review","Manual Review",IF($G1388="","No Data",IF(NOT(ISNUMBER($H1388)),"N/A",IF($H1388&lt;TODAY(),"Overdue",IF($H1388&lt;=TODAY()+30,"Due within 1 Month",IF($H1388&lt;=TODAY()+60,"Due within 2 Months","OK"))))))</f>
        <v>No Data</v>
      </c>
      <c r="K1388" s="13"/>
    </row>
    <row r="1389" customFormat="false" ht="15" hidden="false" customHeight="false" outlineLevel="0" collapsed="false">
      <c r="A1389" s="9" t="str">
        <f aca="false">Vessels!B17</f>
        <v>Vessel 13</v>
      </c>
      <c r="B1389" s="9" t="s">
        <v>42</v>
      </c>
      <c r="C1389" s="7" t="s">
        <v>80</v>
      </c>
      <c r="D1389" s="9" t="s">
        <v>45</v>
      </c>
      <c r="E1389" s="9" t="s">
        <v>82</v>
      </c>
      <c r="F1389" s="5" t="n">
        <v>24</v>
      </c>
      <c r="G1389" s="10"/>
      <c r="H1389" s="11" t="str">
        <f aca="false">IFERROR(IF($D1389="Manual Review","",IF($G1389="","",IF($D1389="Direct Expiry",$G1389,EDATE($G1389,$F1389)))),"Check Date")</f>
        <v/>
      </c>
      <c r="I1389" s="12" t="str">
        <f aca="true">IF($H1389="","",IF(ISNUMBER($H1389),$H1389-TODAY(),""))</f>
        <v/>
      </c>
      <c r="J1389" s="4" t="str">
        <f aca="true">IF($D1389="Manual Review","Manual Review",IF($G1389="","No Data",IF(NOT(ISNUMBER($H1389)),"N/A",IF($H1389&lt;TODAY(),"Overdue",IF($H1389&lt;=TODAY()+30,"Due within 1 Month",IF($H1389&lt;=TODAY()+60,"Due within 2 Months","OK"))))))</f>
        <v>No Data</v>
      </c>
      <c r="K1389" s="13"/>
    </row>
    <row r="1390" customFormat="false" ht="15" hidden="false" customHeight="false" outlineLevel="0" collapsed="false">
      <c r="A1390" s="9" t="str">
        <f aca="false">Vessels!B17</f>
        <v>Vessel 13</v>
      </c>
      <c r="B1390" s="9" t="s">
        <v>42</v>
      </c>
      <c r="C1390" s="7" t="s">
        <v>83</v>
      </c>
      <c r="D1390" s="9" t="s">
        <v>45</v>
      </c>
      <c r="E1390" s="9" t="s">
        <v>44</v>
      </c>
      <c r="F1390" s="5" t="n">
        <v>12</v>
      </c>
      <c r="G1390" s="10"/>
      <c r="H1390" s="11" t="str">
        <f aca="false">IFERROR(IF($D1390="Manual Review","",IF($G1390="","",IF($D1390="Direct Expiry",$G1390,EDATE($G1390,$F1390)))),"Check Date")</f>
        <v/>
      </c>
      <c r="I1390" s="12" t="str">
        <f aca="true">IF($H1390="","",IF(ISNUMBER($H1390),$H1390-TODAY(),""))</f>
        <v/>
      </c>
      <c r="J1390" s="4" t="str">
        <f aca="true">IF($D1390="Manual Review","Manual Review",IF($G1390="","No Data",IF(NOT(ISNUMBER($H1390)),"N/A",IF($H1390&lt;TODAY(),"Overdue",IF($H1390&lt;=TODAY()+30,"Due within 1 Month",IF($H1390&lt;=TODAY()+60,"Due within 2 Months","OK"))))))</f>
        <v>No Data</v>
      </c>
      <c r="K1390" s="13"/>
    </row>
    <row r="1391" customFormat="false" ht="15" hidden="false" customHeight="false" outlineLevel="0" collapsed="false">
      <c r="A1391" s="9" t="str">
        <f aca="false">Vessels!B17</f>
        <v>Vessel 13</v>
      </c>
      <c r="B1391" s="9" t="s">
        <v>42</v>
      </c>
      <c r="C1391" s="7" t="s">
        <v>83</v>
      </c>
      <c r="D1391" s="9" t="s">
        <v>45</v>
      </c>
      <c r="E1391" s="9" t="s">
        <v>84</v>
      </c>
      <c r="F1391" s="5" t="n">
        <v>60</v>
      </c>
      <c r="G1391" s="10"/>
      <c r="H1391" s="11" t="str">
        <f aca="false">IFERROR(IF($D1391="Manual Review","",IF($G1391="","",IF($D1391="Direct Expiry",$G1391,EDATE($G1391,$F1391)))),"Check Date")</f>
        <v/>
      </c>
      <c r="I1391" s="12" t="str">
        <f aca="true">IF($H1391="","",IF(ISNUMBER($H1391),$H1391-TODAY(),""))</f>
        <v/>
      </c>
      <c r="J1391" s="4" t="str">
        <f aca="true">IF($D1391="Manual Review","Manual Review",IF($G1391="","No Data",IF(NOT(ISNUMBER($H1391)),"N/A",IF($H1391&lt;TODAY(),"Overdue",IF($H1391&lt;=TODAY()+30,"Due within 1 Month",IF($H1391&lt;=TODAY()+60,"Due within 2 Months","OK"))))))</f>
        <v>No Data</v>
      </c>
      <c r="K1391" s="13"/>
    </row>
    <row r="1392" customFormat="false" ht="15" hidden="false" customHeight="false" outlineLevel="0" collapsed="false">
      <c r="A1392" s="9" t="str">
        <f aca="false">Vessels!B17</f>
        <v>Vessel 13</v>
      </c>
      <c r="B1392" s="9" t="s">
        <v>42</v>
      </c>
      <c r="C1392" s="7" t="s">
        <v>85</v>
      </c>
      <c r="D1392" s="9" t="s">
        <v>45</v>
      </c>
      <c r="E1392" s="9" t="s">
        <v>44</v>
      </c>
      <c r="F1392" s="5" t="n">
        <v>12</v>
      </c>
      <c r="G1392" s="10"/>
      <c r="H1392" s="11" t="str">
        <f aca="false">IFERROR(IF($D1392="Manual Review","",IF($G1392="","",IF($D1392="Direct Expiry",$G1392,EDATE($G1392,$F1392)))),"Check Date")</f>
        <v/>
      </c>
      <c r="I1392" s="12" t="str">
        <f aca="true">IF($H1392="","",IF(ISNUMBER($H1392),$H1392-TODAY(),""))</f>
        <v/>
      </c>
      <c r="J1392" s="4" t="str">
        <f aca="true">IF($D1392="Manual Review","Manual Review",IF($G1392="","No Data",IF(NOT(ISNUMBER($H1392)),"N/A",IF($H1392&lt;TODAY(),"Overdue",IF($H1392&lt;=TODAY()+30,"Due within 1 Month",IF($H1392&lt;=TODAY()+60,"Due within 2 Months","OK"))))))</f>
        <v>No Data</v>
      </c>
      <c r="K1392" s="13"/>
    </row>
    <row r="1393" customFormat="false" ht="15" hidden="false" customHeight="false" outlineLevel="0" collapsed="false">
      <c r="A1393" s="9" t="str">
        <f aca="false">Vessels!B17</f>
        <v>Vessel 13</v>
      </c>
      <c r="B1393" s="9" t="s">
        <v>42</v>
      </c>
      <c r="C1393" s="7" t="s">
        <v>85</v>
      </c>
      <c r="D1393" s="9" t="s">
        <v>45</v>
      </c>
      <c r="E1393" s="9" t="s">
        <v>84</v>
      </c>
      <c r="F1393" s="5" t="n">
        <v>60</v>
      </c>
      <c r="G1393" s="10"/>
      <c r="H1393" s="11" t="str">
        <f aca="false">IFERROR(IF($D1393="Manual Review","",IF($G1393="","",IF($D1393="Direct Expiry",$G1393,EDATE($G1393,$F1393)))),"Check Date")</f>
        <v/>
      </c>
      <c r="I1393" s="12" t="str">
        <f aca="true">IF($H1393="","",IF(ISNUMBER($H1393),$H1393-TODAY(),""))</f>
        <v/>
      </c>
      <c r="J1393" s="4" t="str">
        <f aca="true">IF($D1393="Manual Review","Manual Review",IF($G1393="","No Data",IF(NOT(ISNUMBER($H1393)),"N/A",IF($H1393&lt;TODAY(),"Overdue",IF($H1393&lt;=TODAY()+30,"Due within 1 Month",IF($H1393&lt;=TODAY()+60,"Due within 2 Months","OK"))))))</f>
        <v>No Data</v>
      </c>
      <c r="K1393" s="13"/>
    </row>
    <row r="1394" customFormat="false" ht="15" hidden="false" customHeight="false" outlineLevel="0" collapsed="false">
      <c r="A1394" s="9" t="str">
        <f aca="false">Vessels!B17</f>
        <v>Vessel 13</v>
      </c>
      <c r="B1394" s="9" t="s">
        <v>42</v>
      </c>
      <c r="C1394" s="7" t="s">
        <v>86</v>
      </c>
      <c r="D1394" s="9" t="s">
        <v>45</v>
      </c>
      <c r="E1394" s="9" t="s">
        <v>44</v>
      </c>
      <c r="F1394" s="5" t="n">
        <v>12</v>
      </c>
      <c r="G1394" s="10"/>
      <c r="H1394" s="11" t="str">
        <f aca="false">IFERROR(IF($D1394="Manual Review","",IF($G1394="","",IF($D1394="Direct Expiry",$G1394,EDATE($G1394,$F1394)))),"Check Date")</f>
        <v/>
      </c>
      <c r="I1394" s="12" t="str">
        <f aca="true">IF($H1394="","",IF(ISNUMBER($H1394),$H1394-TODAY(),""))</f>
        <v/>
      </c>
      <c r="J1394" s="4" t="str">
        <f aca="true">IF($D1394="Manual Review","Manual Review",IF($G1394="","No Data",IF(NOT(ISNUMBER($H1394)),"N/A",IF($H1394&lt;TODAY(),"Overdue",IF($H1394&lt;=TODAY()+30,"Due within 1 Month",IF($H1394&lt;=TODAY()+60,"Due within 2 Months","OK"))))))</f>
        <v>No Data</v>
      </c>
      <c r="K1394" s="13"/>
    </row>
    <row r="1395" customFormat="false" ht="15" hidden="false" customHeight="false" outlineLevel="0" collapsed="false">
      <c r="A1395" s="9" t="str">
        <f aca="false">Vessels!B17</f>
        <v>Vessel 13</v>
      </c>
      <c r="B1395" s="9" t="s">
        <v>42</v>
      </c>
      <c r="C1395" s="7" t="s">
        <v>87</v>
      </c>
      <c r="D1395" s="9" t="s">
        <v>45</v>
      </c>
      <c r="E1395" s="9" t="s">
        <v>44</v>
      </c>
      <c r="F1395" s="5" t="n">
        <v>12</v>
      </c>
      <c r="G1395" s="10"/>
      <c r="H1395" s="11" t="str">
        <f aca="false">IFERROR(IF($D1395="Manual Review","",IF($G1395="","",IF($D1395="Direct Expiry",$G1395,EDATE($G1395,$F1395)))),"Check Date")</f>
        <v/>
      </c>
      <c r="I1395" s="12" t="str">
        <f aca="true">IF($H1395="","",IF(ISNUMBER($H1395),$H1395-TODAY(),""))</f>
        <v/>
      </c>
      <c r="J1395" s="4" t="str">
        <f aca="true">IF($D1395="Manual Review","Manual Review",IF($G1395="","No Data",IF(NOT(ISNUMBER($H1395)),"N/A",IF($H1395&lt;TODAY(),"Overdue",IF($H1395&lt;=TODAY()+30,"Due within 1 Month",IF($H1395&lt;=TODAY()+60,"Due within 2 Months","OK"))))))</f>
        <v>No Data</v>
      </c>
      <c r="K1395" s="13"/>
    </row>
    <row r="1396" customFormat="false" ht="15" hidden="false" customHeight="false" outlineLevel="0" collapsed="false">
      <c r="A1396" s="9" t="str">
        <f aca="false">Vessels!B17</f>
        <v>Vessel 13</v>
      </c>
      <c r="B1396" s="9" t="s">
        <v>88</v>
      </c>
      <c r="C1396" s="7" t="s">
        <v>89</v>
      </c>
      <c r="D1396" s="9" t="s">
        <v>45</v>
      </c>
      <c r="E1396" s="9" t="s">
        <v>90</v>
      </c>
      <c r="F1396" s="5" t="n">
        <v>36</v>
      </c>
      <c r="G1396" s="10"/>
      <c r="H1396" s="11" t="str">
        <f aca="false">IFERROR(IF($D1396="Manual Review","",IF($G1396="","",IF($D1396="Direct Expiry",$G1396,EDATE($G1396,$F1396)))),"Check Date")</f>
        <v/>
      </c>
      <c r="I1396" s="12" t="str">
        <f aca="true">IF($H1396="","",IF(ISNUMBER($H1396),$H1396-TODAY(),""))</f>
        <v/>
      </c>
      <c r="J1396" s="4" t="str">
        <f aca="true">IF($D1396="Manual Review","Manual Review",IF($G1396="","No Data",IF(NOT(ISNUMBER($H1396)),"N/A",IF($H1396&lt;TODAY(),"Overdue",IF($H1396&lt;=TODAY()+30,"Due within 1 Month",IF($H1396&lt;=TODAY()+60,"Due within 2 Months","OK"))))))</f>
        <v>No Data</v>
      </c>
      <c r="K1396" s="13"/>
    </row>
    <row r="1397" customFormat="false" ht="15" hidden="false" customHeight="false" outlineLevel="0" collapsed="false">
      <c r="A1397" s="9" t="str">
        <f aca="false">Vessels!B17</f>
        <v>Vessel 13</v>
      </c>
      <c r="B1397" s="9" t="s">
        <v>88</v>
      </c>
      <c r="C1397" s="7" t="s">
        <v>91</v>
      </c>
      <c r="D1397" s="9" t="s">
        <v>45</v>
      </c>
      <c r="E1397" s="9" t="s">
        <v>44</v>
      </c>
      <c r="F1397" s="5" t="n">
        <v>12</v>
      </c>
      <c r="G1397" s="10"/>
      <c r="H1397" s="11" t="str">
        <f aca="false">IFERROR(IF($D1397="Manual Review","",IF($G1397="","",IF($D1397="Direct Expiry",$G1397,EDATE($G1397,$F1397)))),"Check Date")</f>
        <v/>
      </c>
      <c r="I1397" s="12" t="str">
        <f aca="true">IF($H1397="","",IF(ISNUMBER($H1397),$H1397-TODAY(),""))</f>
        <v/>
      </c>
      <c r="J1397" s="4" t="str">
        <f aca="true">IF($D1397="Manual Review","Manual Review",IF($G1397="","No Data",IF(NOT(ISNUMBER($H1397)),"N/A",IF($H1397&lt;TODAY(),"Overdue",IF($H1397&lt;=TODAY()+30,"Due within 1 Month",IF($H1397&lt;=TODAY()+60,"Due within 2 Months","OK"))))))</f>
        <v>No Data</v>
      </c>
      <c r="K1397" s="13"/>
    </row>
    <row r="1398" customFormat="false" ht="15" hidden="false" customHeight="false" outlineLevel="0" collapsed="false">
      <c r="A1398" s="9" t="str">
        <f aca="false">Vessels!B17</f>
        <v>Vessel 13</v>
      </c>
      <c r="B1398" s="9" t="s">
        <v>88</v>
      </c>
      <c r="C1398" s="7" t="s">
        <v>91</v>
      </c>
      <c r="D1398" s="9" t="s">
        <v>45</v>
      </c>
      <c r="E1398" s="9" t="s">
        <v>92</v>
      </c>
      <c r="F1398" s="5" t="n">
        <v>120</v>
      </c>
      <c r="G1398" s="10"/>
      <c r="H1398" s="11" t="str">
        <f aca="false">IFERROR(IF($D1398="Manual Review","",IF($G1398="","",IF($D1398="Direct Expiry",$G1398,EDATE($G1398,$F1398)))),"Check Date")</f>
        <v/>
      </c>
      <c r="I1398" s="12" t="str">
        <f aca="true">IF($H1398="","",IF(ISNUMBER($H1398),$H1398-TODAY(),""))</f>
        <v/>
      </c>
      <c r="J1398" s="4" t="str">
        <f aca="true">IF($D1398="Manual Review","Manual Review",IF($G1398="","No Data",IF(NOT(ISNUMBER($H1398)),"N/A",IF($H1398&lt;TODAY(),"Overdue",IF($H1398&lt;=TODAY()+30,"Due within 1 Month",IF($H1398&lt;=TODAY()+60,"Due within 2 Months","OK"))))))</f>
        <v>No Data</v>
      </c>
      <c r="K1398" s="13"/>
    </row>
    <row r="1399" customFormat="false" ht="15" hidden="false" customHeight="false" outlineLevel="0" collapsed="false">
      <c r="A1399" s="9" t="str">
        <f aca="false">Vessels!B17</f>
        <v>Vessel 13</v>
      </c>
      <c r="B1399" s="9" t="s">
        <v>88</v>
      </c>
      <c r="C1399" s="7" t="s">
        <v>93</v>
      </c>
      <c r="D1399" s="9" t="s">
        <v>45</v>
      </c>
      <c r="E1399" s="9" t="s">
        <v>44</v>
      </c>
      <c r="F1399" s="5" t="n">
        <v>12</v>
      </c>
      <c r="G1399" s="10"/>
      <c r="H1399" s="11" t="str">
        <f aca="false">IFERROR(IF($D1399="Manual Review","",IF($G1399="","",IF($D1399="Direct Expiry",$G1399,EDATE($G1399,$F1399)))),"Check Date")</f>
        <v/>
      </c>
      <c r="I1399" s="12" t="str">
        <f aca="true">IF($H1399="","",IF(ISNUMBER($H1399),$H1399-TODAY(),""))</f>
        <v/>
      </c>
      <c r="J1399" s="4" t="str">
        <f aca="true">IF($D1399="Manual Review","Manual Review",IF($G1399="","No Data",IF(NOT(ISNUMBER($H1399)),"N/A",IF($H1399&lt;TODAY(),"Overdue",IF($H1399&lt;=TODAY()+30,"Due within 1 Month",IF($H1399&lt;=TODAY()+60,"Due within 2 Months","OK"))))))</f>
        <v>No Data</v>
      </c>
      <c r="K1399" s="13"/>
    </row>
    <row r="1400" customFormat="false" ht="15" hidden="false" customHeight="false" outlineLevel="0" collapsed="false">
      <c r="A1400" s="9" t="str">
        <f aca="false">Vessels!B17</f>
        <v>Vessel 13</v>
      </c>
      <c r="B1400" s="9" t="s">
        <v>88</v>
      </c>
      <c r="C1400" s="7" t="s">
        <v>93</v>
      </c>
      <c r="D1400" s="9" t="s">
        <v>45</v>
      </c>
      <c r="E1400" s="9" t="s">
        <v>92</v>
      </c>
      <c r="F1400" s="5" t="n">
        <v>120</v>
      </c>
      <c r="G1400" s="10"/>
      <c r="H1400" s="11" t="str">
        <f aca="false">IFERROR(IF($D1400="Manual Review","",IF($G1400="","",IF($D1400="Direct Expiry",$G1400,EDATE($G1400,$F1400)))),"Check Date")</f>
        <v/>
      </c>
      <c r="I1400" s="12" t="str">
        <f aca="true">IF($H1400="","",IF(ISNUMBER($H1400),$H1400-TODAY(),""))</f>
        <v/>
      </c>
      <c r="J1400" s="4" t="str">
        <f aca="true">IF($D1400="Manual Review","Manual Review",IF($G1400="","No Data",IF(NOT(ISNUMBER($H1400)),"N/A",IF($H1400&lt;TODAY(),"Overdue",IF($H1400&lt;=TODAY()+30,"Due within 1 Month",IF($H1400&lt;=TODAY()+60,"Due within 2 Months","OK"))))))</f>
        <v>No Data</v>
      </c>
      <c r="K1400" s="13"/>
    </row>
    <row r="1401" customFormat="false" ht="15" hidden="false" customHeight="false" outlineLevel="0" collapsed="false">
      <c r="A1401" s="9" t="str">
        <f aca="false">Vessels!B17</f>
        <v>Vessel 13</v>
      </c>
      <c r="B1401" s="9" t="s">
        <v>88</v>
      </c>
      <c r="C1401" s="7" t="s">
        <v>94</v>
      </c>
      <c r="D1401" s="9" t="s">
        <v>45</v>
      </c>
      <c r="E1401" s="9" t="s">
        <v>44</v>
      </c>
      <c r="F1401" s="5" t="n">
        <v>12</v>
      </c>
      <c r="G1401" s="10"/>
      <c r="H1401" s="11" t="str">
        <f aca="false">IFERROR(IF($D1401="Manual Review","",IF($G1401="","",IF($D1401="Direct Expiry",$G1401,EDATE($G1401,$F1401)))),"Check Date")</f>
        <v/>
      </c>
      <c r="I1401" s="12" t="str">
        <f aca="true">IF($H1401="","",IF(ISNUMBER($H1401),$H1401-TODAY(),""))</f>
        <v/>
      </c>
      <c r="J1401" s="4" t="str">
        <f aca="true">IF($D1401="Manual Review","Manual Review",IF($G1401="","No Data",IF(NOT(ISNUMBER($H1401)),"N/A",IF($H1401&lt;TODAY(),"Overdue",IF($H1401&lt;=TODAY()+30,"Due within 1 Month",IF($H1401&lt;=TODAY()+60,"Due within 2 Months","OK"))))))</f>
        <v>No Data</v>
      </c>
      <c r="K1401" s="13"/>
    </row>
    <row r="1402" customFormat="false" ht="15" hidden="false" customHeight="false" outlineLevel="0" collapsed="false">
      <c r="A1402" s="9" t="str">
        <f aca="false">Vessels!B17</f>
        <v>Vessel 13</v>
      </c>
      <c r="B1402" s="9" t="s">
        <v>88</v>
      </c>
      <c r="C1402" s="7" t="s">
        <v>94</v>
      </c>
      <c r="D1402" s="9" t="s">
        <v>45</v>
      </c>
      <c r="E1402" s="9" t="s">
        <v>92</v>
      </c>
      <c r="F1402" s="5" t="n">
        <v>120</v>
      </c>
      <c r="G1402" s="10"/>
      <c r="H1402" s="11" t="str">
        <f aca="false">IFERROR(IF($D1402="Manual Review","",IF($G1402="","",IF($D1402="Direct Expiry",$G1402,EDATE($G1402,$F1402)))),"Check Date")</f>
        <v/>
      </c>
      <c r="I1402" s="12" t="str">
        <f aca="true">IF($H1402="","",IF(ISNUMBER($H1402),$H1402-TODAY(),""))</f>
        <v/>
      </c>
      <c r="J1402" s="4" t="str">
        <f aca="true">IF($D1402="Manual Review","Manual Review",IF($G1402="","No Data",IF(NOT(ISNUMBER($H1402)),"N/A",IF($H1402&lt;TODAY(),"Overdue",IF($H1402&lt;=TODAY()+30,"Due within 1 Month",IF($H1402&lt;=TODAY()+60,"Due within 2 Months","OK"))))))</f>
        <v>No Data</v>
      </c>
      <c r="K1402" s="13"/>
    </row>
    <row r="1403" customFormat="false" ht="15" hidden="false" customHeight="false" outlineLevel="0" collapsed="false">
      <c r="A1403" s="9" t="str">
        <f aca="false">Vessels!B17</f>
        <v>Vessel 13</v>
      </c>
      <c r="B1403" s="9" t="s">
        <v>88</v>
      </c>
      <c r="C1403" s="7" t="s">
        <v>95</v>
      </c>
      <c r="D1403" s="9" t="s">
        <v>45</v>
      </c>
      <c r="E1403" s="9" t="s">
        <v>44</v>
      </c>
      <c r="F1403" s="5" t="n">
        <v>12</v>
      </c>
      <c r="G1403" s="10"/>
      <c r="H1403" s="11" t="str">
        <f aca="false">IFERROR(IF($D1403="Manual Review","",IF($G1403="","",IF($D1403="Direct Expiry",$G1403,EDATE($G1403,$F1403)))),"Check Date")</f>
        <v/>
      </c>
      <c r="I1403" s="12" t="str">
        <f aca="true">IF($H1403="","",IF(ISNUMBER($H1403),$H1403-TODAY(),""))</f>
        <v/>
      </c>
      <c r="J1403" s="4" t="str">
        <f aca="true">IF($D1403="Manual Review","Manual Review",IF($G1403="","No Data",IF(NOT(ISNUMBER($H1403)),"N/A",IF($H1403&lt;TODAY(),"Overdue",IF($H1403&lt;=TODAY()+30,"Due within 1 Month",IF($H1403&lt;=TODAY()+60,"Due within 2 Months","OK"))))))</f>
        <v>No Data</v>
      </c>
      <c r="K1403" s="13"/>
    </row>
    <row r="1404" customFormat="false" ht="15" hidden="false" customHeight="false" outlineLevel="0" collapsed="false">
      <c r="A1404" s="9" t="str">
        <f aca="false">Vessels!B17</f>
        <v>Vessel 13</v>
      </c>
      <c r="B1404" s="9" t="s">
        <v>88</v>
      </c>
      <c r="C1404" s="7" t="s">
        <v>95</v>
      </c>
      <c r="D1404" s="9" t="s">
        <v>45</v>
      </c>
      <c r="E1404" s="9" t="s">
        <v>92</v>
      </c>
      <c r="F1404" s="5" t="n">
        <v>120</v>
      </c>
      <c r="G1404" s="10"/>
      <c r="H1404" s="11" t="str">
        <f aca="false">IFERROR(IF($D1404="Manual Review","",IF($G1404="","",IF($D1404="Direct Expiry",$G1404,EDATE($G1404,$F1404)))),"Check Date")</f>
        <v/>
      </c>
      <c r="I1404" s="12" t="str">
        <f aca="true">IF($H1404="","",IF(ISNUMBER($H1404),$H1404-TODAY(),""))</f>
        <v/>
      </c>
      <c r="J1404" s="4" t="str">
        <f aca="true">IF($D1404="Manual Review","Manual Review",IF($G1404="","No Data",IF(NOT(ISNUMBER($H1404)),"N/A",IF($H1404&lt;TODAY(),"Overdue",IF($H1404&lt;=TODAY()+30,"Due within 1 Month",IF($H1404&lt;=TODAY()+60,"Due within 2 Months","OK"))))))</f>
        <v>No Data</v>
      </c>
      <c r="K1404" s="13"/>
    </row>
    <row r="1405" customFormat="false" ht="15" hidden="false" customHeight="false" outlineLevel="0" collapsed="false">
      <c r="A1405" s="9" t="str">
        <f aca="false">Vessels!B17</f>
        <v>Vessel 13</v>
      </c>
      <c r="B1405" s="9" t="s">
        <v>88</v>
      </c>
      <c r="C1405" s="7" t="s">
        <v>96</v>
      </c>
      <c r="D1405" s="9" t="s">
        <v>45</v>
      </c>
      <c r="E1405" s="9" t="s">
        <v>44</v>
      </c>
      <c r="F1405" s="5" t="n">
        <v>12</v>
      </c>
      <c r="G1405" s="10"/>
      <c r="H1405" s="11" t="str">
        <f aca="false">IFERROR(IF($D1405="Manual Review","",IF($G1405="","",IF($D1405="Direct Expiry",$G1405,EDATE($G1405,$F1405)))),"Check Date")</f>
        <v/>
      </c>
      <c r="I1405" s="12" t="str">
        <f aca="true">IF($H1405="","",IF(ISNUMBER($H1405),$H1405-TODAY(),""))</f>
        <v/>
      </c>
      <c r="J1405" s="4" t="str">
        <f aca="true">IF($D1405="Manual Review","Manual Review",IF($G1405="","No Data",IF(NOT(ISNUMBER($H1405)),"N/A",IF($H1405&lt;TODAY(),"Overdue",IF($H1405&lt;=TODAY()+30,"Due within 1 Month",IF($H1405&lt;=TODAY()+60,"Due within 2 Months","OK"))))))</f>
        <v>No Data</v>
      </c>
      <c r="K1405" s="13"/>
    </row>
    <row r="1406" customFormat="false" ht="15" hidden="false" customHeight="false" outlineLevel="0" collapsed="false">
      <c r="A1406" s="9" t="str">
        <f aca="false">Vessels!B17</f>
        <v>Vessel 13</v>
      </c>
      <c r="B1406" s="9" t="s">
        <v>88</v>
      </c>
      <c r="C1406" s="7" t="s">
        <v>96</v>
      </c>
      <c r="D1406" s="9" t="s">
        <v>45</v>
      </c>
      <c r="E1406" s="9" t="s">
        <v>97</v>
      </c>
      <c r="F1406" s="5" t="n">
        <v>120</v>
      </c>
      <c r="G1406" s="10"/>
      <c r="H1406" s="11" t="str">
        <f aca="false">IFERROR(IF($D1406="Manual Review","",IF($G1406="","",IF($D1406="Direct Expiry",$G1406,EDATE($G1406,$F1406)))),"Check Date")</f>
        <v/>
      </c>
      <c r="I1406" s="12" t="str">
        <f aca="true">IF($H1406="","",IF(ISNUMBER($H1406),$H1406-TODAY(),""))</f>
        <v/>
      </c>
      <c r="J1406" s="4" t="str">
        <f aca="true">IF($D1406="Manual Review","Manual Review",IF($G1406="","No Data",IF(NOT(ISNUMBER($H1406)),"N/A",IF($H1406&lt;TODAY(),"Overdue",IF($H1406&lt;=TODAY()+30,"Due within 1 Month",IF($H1406&lt;=TODAY()+60,"Due within 2 Months","OK"))))))</f>
        <v>No Data</v>
      </c>
      <c r="K1406" s="13"/>
    </row>
    <row r="1407" customFormat="false" ht="15" hidden="false" customHeight="false" outlineLevel="0" collapsed="false">
      <c r="A1407" s="9" t="str">
        <f aca="false">Vessels!B17</f>
        <v>Vessel 13</v>
      </c>
      <c r="B1407" s="9" t="s">
        <v>88</v>
      </c>
      <c r="C1407" s="7" t="s">
        <v>98</v>
      </c>
      <c r="D1407" s="9" t="s">
        <v>45</v>
      </c>
      <c r="E1407" s="9" t="s">
        <v>44</v>
      </c>
      <c r="F1407" s="5" t="n">
        <v>12</v>
      </c>
      <c r="G1407" s="10"/>
      <c r="H1407" s="11" t="str">
        <f aca="false">IFERROR(IF($D1407="Manual Review","",IF($G1407="","",IF($D1407="Direct Expiry",$G1407,EDATE($G1407,$F1407)))),"Check Date")</f>
        <v/>
      </c>
      <c r="I1407" s="12" t="str">
        <f aca="true">IF($H1407="","",IF(ISNUMBER($H1407),$H1407-TODAY(),""))</f>
        <v/>
      </c>
      <c r="J1407" s="4" t="str">
        <f aca="true">IF($D1407="Manual Review","Manual Review",IF($G1407="","No Data",IF(NOT(ISNUMBER($H1407)),"N/A",IF($H1407&lt;TODAY(),"Overdue",IF($H1407&lt;=TODAY()+30,"Due within 1 Month",IF($H1407&lt;=TODAY()+60,"Due within 2 Months","OK"))))))</f>
        <v>No Data</v>
      </c>
      <c r="K1407" s="13"/>
    </row>
    <row r="1408" customFormat="false" ht="15" hidden="false" customHeight="false" outlineLevel="0" collapsed="false">
      <c r="A1408" s="9" t="str">
        <f aca="false">Vessels!B17</f>
        <v>Vessel 13</v>
      </c>
      <c r="B1408" s="9" t="s">
        <v>88</v>
      </c>
      <c r="C1408" s="7" t="s">
        <v>98</v>
      </c>
      <c r="D1408" s="9" t="s">
        <v>45</v>
      </c>
      <c r="E1408" s="9" t="s">
        <v>99</v>
      </c>
      <c r="F1408" s="5" t="n">
        <v>60</v>
      </c>
      <c r="G1408" s="10"/>
      <c r="H1408" s="11" t="str">
        <f aca="false">IFERROR(IF($D1408="Manual Review","",IF($G1408="","",IF($D1408="Direct Expiry",$G1408,EDATE($G1408,$F1408)))),"Check Date")</f>
        <v/>
      </c>
      <c r="I1408" s="12" t="str">
        <f aca="true">IF($H1408="","",IF(ISNUMBER($H1408),$H1408-TODAY(),""))</f>
        <v/>
      </c>
      <c r="J1408" s="4" t="str">
        <f aca="true">IF($D1408="Manual Review","Manual Review",IF($G1408="","No Data",IF(NOT(ISNUMBER($H1408)),"N/A",IF($H1408&lt;TODAY(),"Overdue",IF($H1408&lt;=TODAY()+30,"Due within 1 Month",IF($H1408&lt;=TODAY()+60,"Due within 2 Months","OK"))))))</f>
        <v>No Data</v>
      </c>
      <c r="K1408" s="13"/>
    </row>
    <row r="1409" customFormat="false" ht="15" hidden="false" customHeight="false" outlineLevel="0" collapsed="false">
      <c r="A1409" s="9" t="str">
        <f aca="false">Vessels!B17</f>
        <v>Vessel 13</v>
      </c>
      <c r="B1409" s="9" t="s">
        <v>88</v>
      </c>
      <c r="C1409" s="7" t="s">
        <v>100</v>
      </c>
      <c r="D1409" s="9" t="s">
        <v>45</v>
      </c>
      <c r="E1409" s="9" t="s">
        <v>44</v>
      </c>
      <c r="F1409" s="5" t="n">
        <v>12</v>
      </c>
      <c r="G1409" s="10"/>
      <c r="H1409" s="11" t="str">
        <f aca="false">IFERROR(IF($D1409="Manual Review","",IF($G1409="","",IF($D1409="Direct Expiry",$G1409,EDATE($G1409,$F1409)))),"Check Date")</f>
        <v/>
      </c>
      <c r="I1409" s="12" t="str">
        <f aca="true">IF($H1409="","",IF(ISNUMBER($H1409),$H1409-TODAY(),""))</f>
        <v/>
      </c>
      <c r="J1409" s="4" t="str">
        <f aca="true">IF($D1409="Manual Review","Manual Review",IF($G1409="","No Data",IF(NOT(ISNUMBER($H1409)),"N/A",IF($H1409&lt;TODAY(),"Overdue",IF($H1409&lt;=TODAY()+30,"Due within 1 Month",IF($H1409&lt;=TODAY()+60,"Due within 2 Months","OK"))))))</f>
        <v>No Data</v>
      </c>
      <c r="K1409" s="13"/>
    </row>
    <row r="1410" customFormat="false" ht="15" hidden="false" customHeight="false" outlineLevel="0" collapsed="false">
      <c r="A1410" s="9" t="str">
        <f aca="false">Vessels!B17</f>
        <v>Vessel 13</v>
      </c>
      <c r="B1410" s="9" t="s">
        <v>88</v>
      </c>
      <c r="C1410" s="7" t="s">
        <v>100</v>
      </c>
      <c r="D1410" s="9" t="s">
        <v>45</v>
      </c>
      <c r="E1410" s="9" t="s">
        <v>99</v>
      </c>
      <c r="F1410" s="5" t="n">
        <v>60</v>
      </c>
      <c r="G1410" s="10"/>
      <c r="H1410" s="11" t="str">
        <f aca="false">IFERROR(IF($D1410="Manual Review","",IF($G1410="","",IF($D1410="Direct Expiry",$G1410,EDATE($G1410,$F1410)))),"Check Date")</f>
        <v/>
      </c>
      <c r="I1410" s="12" t="str">
        <f aca="true">IF($H1410="","",IF(ISNUMBER($H1410),$H1410-TODAY(),""))</f>
        <v/>
      </c>
      <c r="J1410" s="4" t="str">
        <f aca="true">IF($D1410="Manual Review","Manual Review",IF($G1410="","No Data",IF(NOT(ISNUMBER($H1410)),"N/A",IF($H1410&lt;TODAY(),"Overdue",IF($H1410&lt;=TODAY()+30,"Due within 1 Month",IF($H1410&lt;=TODAY()+60,"Due within 2 Months","OK"))))))</f>
        <v>No Data</v>
      </c>
      <c r="K1410" s="13"/>
    </row>
    <row r="1411" customFormat="false" ht="15" hidden="false" customHeight="false" outlineLevel="0" collapsed="false">
      <c r="A1411" s="9" t="str">
        <f aca="false">Vessels!B17</f>
        <v>Vessel 13</v>
      </c>
      <c r="B1411" s="9" t="s">
        <v>88</v>
      </c>
      <c r="C1411" s="7" t="s">
        <v>101</v>
      </c>
      <c r="D1411" s="9" t="s">
        <v>45</v>
      </c>
      <c r="E1411" s="9" t="s">
        <v>44</v>
      </c>
      <c r="F1411" s="5" t="n">
        <v>12</v>
      </c>
      <c r="G1411" s="10"/>
      <c r="H1411" s="11" t="str">
        <f aca="false">IFERROR(IF($D1411="Manual Review","",IF($G1411="","",IF($D1411="Direct Expiry",$G1411,EDATE($G1411,$F1411)))),"Check Date")</f>
        <v/>
      </c>
      <c r="I1411" s="12" t="str">
        <f aca="true">IF($H1411="","",IF(ISNUMBER($H1411),$H1411-TODAY(),""))</f>
        <v/>
      </c>
      <c r="J1411" s="4" t="str">
        <f aca="true">IF($D1411="Manual Review","Manual Review",IF($G1411="","No Data",IF(NOT(ISNUMBER($H1411)),"N/A",IF($H1411&lt;TODAY(),"Overdue",IF($H1411&lt;=TODAY()+30,"Due within 1 Month",IF($H1411&lt;=TODAY()+60,"Due within 2 Months","OK"))))))</f>
        <v>No Data</v>
      </c>
      <c r="K1411" s="13"/>
    </row>
    <row r="1412" customFormat="false" ht="23.85" hidden="false" customHeight="false" outlineLevel="0" collapsed="false">
      <c r="A1412" s="9" t="str">
        <f aca="false">Vessels!B17</f>
        <v>Vessel 13</v>
      </c>
      <c r="B1412" s="9" t="s">
        <v>88</v>
      </c>
      <c r="C1412" s="7" t="s">
        <v>102</v>
      </c>
      <c r="D1412" s="9" t="s">
        <v>45</v>
      </c>
      <c r="E1412" s="9" t="s">
        <v>44</v>
      </c>
      <c r="F1412" s="5" t="n">
        <v>12</v>
      </c>
      <c r="G1412" s="10"/>
      <c r="H1412" s="11" t="str">
        <f aca="false">IFERROR(IF($D1412="Manual Review","",IF($G1412="","",IF($D1412="Direct Expiry",$G1412,EDATE($G1412,$F1412)))),"Check Date")</f>
        <v/>
      </c>
      <c r="I1412" s="12" t="str">
        <f aca="true">IF($H1412="","",IF(ISNUMBER($H1412),$H1412-TODAY(),""))</f>
        <v/>
      </c>
      <c r="J1412" s="4" t="str">
        <f aca="true">IF($D1412="Manual Review","Manual Review",IF($G1412="","No Data",IF(NOT(ISNUMBER($H1412)),"N/A",IF($H1412&lt;TODAY(),"Overdue",IF($H1412&lt;=TODAY()+30,"Due within 1 Month",IF($H1412&lt;=TODAY()+60,"Due within 2 Months","OK"))))))</f>
        <v>No Data</v>
      </c>
      <c r="K1412" s="13"/>
    </row>
    <row r="1413" customFormat="false" ht="23.85" hidden="false" customHeight="false" outlineLevel="0" collapsed="false">
      <c r="A1413" s="9" t="str">
        <f aca="false">Vessels!B17</f>
        <v>Vessel 13</v>
      </c>
      <c r="B1413" s="9" t="s">
        <v>88</v>
      </c>
      <c r="C1413" s="7" t="s">
        <v>102</v>
      </c>
      <c r="D1413" s="9" t="s">
        <v>45</v>
      </c>
      <c r="E1413" s="9" t="s">
        <v>97</v>
      </c>
      <c r="F1413" s="5" t="n">
        <v>120</v>
      </c>
      <c r="G1413" s="10"/>
      <c r="H1413" s="11" t="str">
        <f aca="false">IFERROR(IF($D1413="Manual Review","",IF($G1413="","",IF($D1413="Direct Expiry",$G1413,EDATE($G1413,$F1413)))),"Check Date")</f>
        <v/>
      </c>
      <c r="I1413" s="12" t="str">
        <f aca="true">IF($H1413="","",IF(ISNUMBER($H1413),$H1413-TODAY(),""))</f>
        <v/>
      </c>
      <c r="J1413" s="4" t="str">
        <f aca="true">IF($D1413="Manual Review","Manual Review",IF($G1413="","No Data",IF(NOT(ISNUMBER($H1413)),"N/A",IF($H1413&lt;TODAY(),"Overdue",IF($H1413&lt;=TODAY()+30,"Due within 1 Month",IF($H1413&lt;=TODAY()+60,"Due within 2 Months","OK"))))))</f>
        <v>No Data</v>
      </c>
      <c r="K1413" s="13"/>
    </row>
    <row r="1414" customFormat="false" ht="15" hidden="false" customHeight="false" outlineLevel="0" collapsed="false">
      <c r="A1414" s="9" t="str">
        <f aca="false">Vessels!B17</f>
        <v>Vessel 13</v>
      </c>
      <c r="B1414" s="9" t="s">
        <v>88</v>
      </c>
      <c r="C1414" s="7" t="s">
        <v>103</v>
      </c>
      <c r="D1414" s="9" t="s">
        <v>45</v>
      </c>
      <c r="E1414" s="9" t="s">
        <v>44</v>
      </c>
      <c r="F1414" s="5" t="n">
        <v>12</v>
      </c>
      <c r="G1414" s="10"/>
      <c r="H1414" s="11" t="str">
        <f aca="false">IFERROR(IF($D1414="Manual Review","",IF($G1414="","",IF($D1414="Direct Expiry",$G1414,EDATE($G1414,$F1414)))),"Check Date")</f>
        <v/>
      </c>
      <c r="I1414" s="12" t="str">
        <f aca="true">IF($H1414="","",IF(ISNUMBER($H1414),$H1414-TODAY(),""))</f>
        <v/>
      </c>
      <c r="J1414" s="4" t="str">
        <f aca="true">IF($D1414="Manual Review","Manual Review",IF($G1414="","No Data",IF(NOT(ISNUMBER($H1414)),"N/A",IF($H1414&lt;TODAY(),"Overdue",IF($H1414&lt;=TODAY()+30,"Due within 1 Month",IF($H1414&lt;=TODAY()+60,"Due within 2 Months","OK"))))))</f>
        <v>No Data</v>
      </c>
      <c r="K1414" s="13"/>
    </row>
    <row r="1415" customFormat="false" ht="15" hidden="false" customHeight="false" outlineLevel="0" collapsed="false">
      <c r="A1415" s="9" t="str">
        <f aca="false">Vessels!B17</f>
        <v>Vessel 13</v>
      </c>
      <c r="B1415" s="9" t="s">
        <v>88</v>
      </c>
      <c r="C1415" s="7" t="s">
        <v>103</v>
      </c>
      <c r="D1415" s="9" t="s">
        <v>45</v>
      </c>
      <c r="E1415" s="9" t="s">
        <v>97</v>
      </c>
      <c r="F1415" s="5" t="n">
        <v>120</v>
      </c>
      <c r="G1415" s="10"/>
      <c r="H1415" s="11" t="str">
        <f aca="false">IFERROR(IF($D1415="Manual Review","",IF($G1415="","",IF($D1415="Direct Expiry",$G1415,EDATE($G1415,$F1415)))),"Check Date")</f>
        <v/>
      </c>
      <c r="I1415" s="12" t="str">
        <f aca="true">IF($H1415="","",IF(ISNUMBER($H1415),$H1415-TODAY(),""))</f>
        <v/>
      </c>
      <c r="J1415" s="4" t="str">
        <f aca="true">IF($D1415="Manual Review","Manual Review",IF($G1415="","No Data",IF(NOT(ISNUMBER($H1415)),"N/A",IF($H1415&lt;TODAY(),"Overdue",IF($H1415&lt;=TODAY()+30,"Due within 1 Month",IF($H1415&lt;=TODAY()+60,"Due within 2 Months","OK"))))))</f>
        <v>No Data</v>
      </c>
      <c r="K1415" s="13"/>
    </row>
    <row r="1416" customFormat="false" ht="15" hidden="false" customHeight="false" outlineLevel="0" collapsed="false">
      <c r="A1416" s="9" t="str">
        <f aca="false">Vessels!B17</f>
        <v>Vessel 13</v>
      </c>
      <c r="B1416" s="9" t="s">
        <v>88</v>
      </c>
      <c r="C1416" s="7" t="s">
        <v>104</v>
      </c>
      <c r="D1416" s="9" t="s">
        <v>45</v>
      </c>
      <c r="E1416" s="9" t="s">
        <v>44</v>
      </c>
      <c r="F1416" s="5" t="n">
        <v>12</v>
      </c>
      <c r="G1416" s="10"/>
      <c r="H1416" s="11" t="str">
        <f aca="false">IFERROR(IF($D1416="Manual Review","",IF($G1416="","",IF($D1416="Direct Expiry",$G1416,EDATE($G1416,$F1416)))),"Check Date")</f>
        <v/>
      </c>
      <c r="I1416" s="12" t="str">
        <f aca="true">IF($H1416="","",IF(ISNUMBER($H1416),$H1416-TODAY(),""))</f>
        <v/>
      </c>
      <c r="J1416" s="4" t="str">
        <f aca="true">IF($D1416="Manual Review","Manual Review",IF($G1416="","No Data",IF(NOT(ISNUMBER($H1416)),"N/A",IF($H1416&lt;TODAY(),"Overdue",IF($H1416&lt;=TODAY()+30,"Due within 1 Month",IF($H1416&lt;=TODAY()+60,"Due within 2 Months","OK"))))))</f>
        <v>No Data</v>
      </c>
      <c r="K1416" s="13"/>
    </row>
    <row r="1417" customFormat="false" ht="15" hidden="false" customHeight="false" outlineLevel="0" collapsed="false">
      <c r="A1417" s="9" t="str">
        <f aca="false">Vessels!B17</f>
        <v>Vessel 13</v>
      </c>
      <c r="B1417" s="9" t="s">
        <v>88</v>
      </c>
      <c r="C1417" s="7" t="s">
        <v>105</v>
      </c>
      <c r="D1417" s="9" t="s">
        <v>45</v>
      </c>
      <c r="E1417" s="9" t="s">
        <v>44</v>
      </c>
      <c r="F1417" s="5" t="n">
        <v>12</v>
      </c>
      <c r="G1417" s="10"/>
      <c r="H1417" s="11" t="str">
        <f aca="false">IFERROR(IF($D1417="Manual Review","",IF($G1417="","",IF($D1417="Direct Expiry",$G1417,EDATE($G1417,$F1417)))),"Check Date")</f>
        <v/>
      </c>
      <c r="I1417" s="12" t="str">
        <f aca="true">IF($H1417="","",IF(ISNUMBER($H1417),$H1417-TODAY(),""))</f>
        <v/>
      </c>
      <c r="J1417" s="4" t="str">
        <f aca="true">IF($D1417="Manual Review","Manual Review",IF($G1417="","No Data",IF(NOT(ISNUMBER($H1417)),"N/A",IF($H1417&lt;TODAY(),"Overdue",IF($H1417&lt;=TODAY()+30,"Due within 1 Month",IF($H1417&lt;=TODAY()+60,"Due within 2 Months","OK"))))))</f>
        <v>No Data</v>
      </c>
      <c r="K1417" s="13"/>
    </row>
    <row r="1418" customFormat="false" ht="15" hidden="false" customHeight="false" outlineLevel="0" collapsed="false">
      <c r="A1418" s="9" t="str">
        <f aca="false">Vessels!B17</f>
        <v>Vessel 13</v>
      </c>
      <c r="B1418" s="9" t="s">
        <v>88</v>
      </c>
      <c r="C1418" s="7" t="s">
        <v>106</v>
      </c>
      <c r="D1418" s="9" t="s">
        <v>45</v>
      </c>
      <c r="E1418" s="9" t="s">
        <v>44</v>
      </c>
      <c r="F1418" s="5" t="n">
        <v>12</v>
      </c>
      <c r="G1418" s="10"/>
      <c r="H1418" s="11" t="str">
        <f aca="false">IFERROR(IF($D1418="Manual Review","",IF($G1418="","",IF($D1418="Direct Expiry",$G1418,EDATE($G1418,$F1418)))),"Check Date")</f>
        <v/>
      </c>
      <c r="I1418" s="12" t="str">
        <f aca="true">IF($H1418="","",IF(ISNUMBER($H1418),$H1418-TODAY(),""))</f>
        <v/>
      </c>
      <c r="J1418" s="4" t="str">
        <f aca="true">IF($D1418="Manual Review","Manual Review",IF($G1418="","No Data",IF(NOT(ISNUMBER($H1418)),"N/A",IF($H1418&lt;TODAY(),"Overdue",IF($H1418&lt;=TODAY()+30,"Due within 1 Month",IF($H1418&lt;=TODAY()+60,"Due within 2 Months","OK"))))))</f>
        <v>No Data</v>
      </c>
      <c r="K1418" s="13"/>
    </row>
    <row r="1419" customFormat="false" ht="15" hidden="false" customHeight="false" outlineLevel="0" collapsed="false">
      <c r="A1419" s="9" t="str">
        <f aca="false">Vessels!B17</f>
        <v>Vessel 13</v>
      </c>
      <c r="B1419" s="9" t="s">
        <v>88</v>
      </c>
      <c r="C1419" s="7" t="s">
        <v>107</v>
      </c>
      <c r="D1419" s="9" t="s">
        <v>45</v>
      </c>
      <c r="E1419" s="9" t="s">
        <v>44</v>
      </c>
      <c r="F1419" s="5" t="n">
        <v>12</v>
      </c>
      <c r="G1419" s="10"/>
      <c r="H1419" s="11" t="str">
        <f aca="false">IFERROR(IF($D1419="Manual Review","",IF($G1419="","",IF($D1419="Direct Expiry",$G1419,EDATE($G1419,$F1419)))),"Check Date")</f>
        <v/>
      </c>
      <c r="I1419" s="12" t="str">
        <f aca="true">IF($H1419="","",IF(ISNUMBER($H1419),$H1419-TODAY(),""))</f>
        <v/>
      </c>
      <c r="J1419" s="4" t="str">
        <f aca="true">IF($D1419="Manual Review","Manual Review",IF($G1419="","No Data",IF(NOT(ISNUMBER($H1419)),"N/A",IF($H1419&lt;TODAY(),"Overdue",IF($H1419&lt;=TODAY()+30,"Due within 1 Month",IF($H1419&lt;=TODAY()+60,"Due within 2 Months","OK"))))))</f>
        <v>No Data</v>
      </c>
      <c r="K1419" s="13"/>
    </row>
    <row r="1420" customFormat="false" ht="15" hidden="false" customHeight="false" outlineLevel="0" collapsed="false">
      <c r="A1420" s="9" t="str">
        <f aca="false">Vessels!B17</f>
        <v>Vessel 13</v>
      </c>
      <c r="B1420" s="9" t="s">
        <v>88</v>
      </c>
      <c r="C1420" s="7" t="s">
        <v>108</v>
      </c>
      <c r="D1420" s="9" t="s">
        <v>45</v>
      </c>
      <c r="E1420" s="9" t="s">
        <v>109</v>
      </c>
      <c r="F1420" s="5" t="n">
        <v>12</v>
      </c>
      <c r="G1420" s="10"/>
      <c r="H1420" s="11" t="str">
        <f aca="false">IFERROR(IF($D1420="Manual Review","",IF($G1420="","",IF($D1420="Direct Expiry",$G1420,EDATE($G1420,$F1420)))),"Check Date")</f>
        <v/>
      </c>
      <c r="I1420" s="12" t="str">
        <f aca="true">IF($H1420="","",IF(ISNUMBER($H1420),$H1420-TODAY(),""))</f>
        <v/>
      </c>
      <c r="J1420" s="4" t="str">
        <f aca="true">IF($D1420="Manual Review","Manual Review",IF($G1420="","No Data",IF(NOT(ISNUMBER($H1420)),"N/A",IF($H1420&lt;TODAY(),"Overdue",IF($H1420&lt;=TODAY()+30,"Due within 1 Month",IF($H1420&lt;=TODAY()+60,"Due within 2 Months","OK"))))))</f>
        <v>No Data</v>
      </c>
      <c r="K1420" s="13"/>
    </row>
    <row r="1421" customFormat="false" ht="15" hidden="false" customHeight="false" outlineLevel="0" collapsed="false">
      <c r="A1421" s="9" t="str">
        <f aca="false">Vessels!B17</f>
        <v>Vessel 13</v>
      </c>
      <c r="B1421" s="9" t="s">
        <v>88</v>
      </c>
      <c r="C1421" s="7" t="s">
        <v>108</v>
      </c>
      <c r="D1421" s="9" t="s">
        <v>45</v>
      </c>
      <c r="E1421" s="9" t="s">
        <v>110</v>
      </c>
      <c r="F1421" s="5" t="n">
        <v>60</v>
      </c>
      <c r="G1421" s="10"/>
      <c r="H1421" s="11" t="str">
        <f aca="false">IFERROR(IF($D1421="Manual Review","",IF($G1421="","",IF($D1421="Direct Expiry",$G1421,EDATE($G1421,$F1421)))),"Check Date")</f>
        <v/>
      </c>
      <c r="I1421" s="12" t="str">
        <f aca="true">IF($H1421="","",IF(ISNUMBER($H1421),$H1421-TODAY(),""))</f>
        <v/>
      </c>
      <c r="J1421" s="4" t="str">
        <f aca="true">IF($D1421="Manual Review","Manual Review",IF($G1421="","No Data",IF(NOT(ISNUMBER($H1421)),"N/A",IF($H1421&lt;TODAY(),"Overdue",IF($H1421&lt;=TODAY()+30,"Due within 1 Month",IF($H1421&lt;=TODAY()+60,"Due within 2 Months","OK"))))))</f>
        <v>No Data</v>
      </c>
      <c r="K1421" s="13"/>
    </row>
    <row r="1422" customFormat="false" ht="15" hidden="false" customHeight="false" outlineLevel="0" collapsed="false">
      <c r="A1422" s="9" t="str">
        <f aca="false">Vessels!B17</f>
        <v>Vessel 13</v>
      </c>
      <c r="B1422" s="9" t="s">
        <v>88</v>
      </c>
      <c r="C1422" s="7" t="s">
        <v>111</v>
      </c>
      <c r="D1422" s="9" t="s">
        <v>45</v>
      </c>
      <c r="E1422" s="9" t="s">
        <v>44</v>
      </c>
      <c r="F1422" s="5" t="n">
        <v>12</v>
      </c>
      <c r="G1422" s="10"/>
      <c r="H1422" s="11" t="str">
        <f aca="false">IFERROR(IF($D1422="Manual Review","",IF($G1422="","",IF($D1422="Direct Expiry",$G1422,EDATE($G1422,$F1422)))),"Check Date")</f>
        <v/>
      </c>
      <c r="I1422" s="12" t="str">
        <f aca="true">IF($H1422="","",IF(ISNUMBER($H1422),$H1422-TODAY(),""))</f>
        <v/>
      </c>
      <c r="J1422" s="4" t="str">
        <f aca="true">IF($D1422="Manual Review","Manual Review",IF($G1422="","No Data",IF(NOT(ISNUMBER($H1422)),"N/A",IF($H1422&lt;TODAY(),"Overdue",IF($H1422&lt;=TODAY()+30,"Due within 1 Month",IF($H1422&lt;=TODAY()+60,"Due within 2 Months","OK"))))))</f>
        <v>No Data</v>
      </c>
      <c r="K1422" s="13"/>
    </row>
    <row r="1423" customFormat="false" ht="15" hidden="false" customHeight="false" outlineLevel="0" collapsed="false">
      <c r="A1423" s="9" t="str">
        <f aca="false">Vessels!B17</f>
        <v>Vessel 13</v>
      </c>
      <c r="B1423" s="9" t="s">
        <v>88</v>
      </c>
      <c r="C1423" s="7" t="s">
        <v>112</v>
      </c>
      <c r="D1423" s="9" t="s">
        <v>45</v>
      </c>
      <c r="E1423" s="9" t="s">
        <v>44</v>
      </c>
      <c r="F1423" s="5" t="n">
        <v>12</v>
      </c>
      <c r="G1423" s="10"/>
      <c r="H1423" s="11" t="str">
        <f aca="false">IFERROR(IF($D1423="Manual Review","",IF($G1423="","",IF($D1423="Direct Expiry",$G1423,EDATE($G1423,$F1423)))),"Check Date")</f>
        <v/>
      </c>
      <c r="I1423" s="12" t="str">
        <f aca="true">IF($H1423="","",IF(ISNUMBER($H1423),$H1423-TODAY(),""))</f>
        <v/>
      </c>
      <c r="J1423" s="4" t="str">
        <f aca="true">IF($D1423="Manual Review","Manual Review",IF($G1423="","No Data",IF(NOT(ISNUMBER($H1423)),"N/A",IF($H1423&lt;TODAY(),"Overdue",IF($H1423&lt;=TODAY()+30,"Due within 1 Month",IF($H1423&lt;=TODAY()+60,"Due within 2 Months","OK"))))))</f>
        <v>No Data</v>
      </c>
      <c r="K1423" s="13"/>
    </row>
    <row r="1424" customFormat="false" ht="15" hidden="false" customHeight="false" outlineLevel="0" collapsed="false">
      <c r="A1424" s="9" t="str">
        <f aca="false">Vessels!B17</f>
        <v>Vessel 13</v>
      </c>
      <c r="B1424" s="9" t="s">
        <v>88</v>
      </c>
      <c r="C1424" s="7" t="s">
        <v>113</v>
      </c>
      <c r="D1424" s="9" t="s">
        <v>115</v>
      </c>
      <c r="E1424" s="9" t="s">
        <v>114</v>
      </c>
      <c r="F1424" s="5"/>
      <c r="G1424" s="10"/>
      <c r="H1424" s="11" t="str">
        <f aca="false">IFERROR(IF($D1424="Manual Review","",IF($G1424="","",IF($D1424="Direct Expiry",$G1424,EDATE($G1424,$F1424)))),"Check Date")</f>
        <v/>
      </c>
      <c r="I1424" s="12" t="str">
        <f aca="true">IF($H1424="","",IF(ISNUMBER($H1424),$H1424-TODAY(),""))</f>
        <v/>
      </c>
      <c r="J1424" s="4" t="str">
        <f aca="true">IF($D1424="Manual Review","Manual Review",IF($G1424="","No Data",IF(NOT(ISNUMBER($H1424)),"N/A",IF($H1424&lt;TODAY(),"Overdue",IF($H1424&lt;=TODAY()+30,"Due within 1 Month",IF($H1424&lt;=TODAY()+60,"Due within 2 Months","OK"))))))</f>
        <v>Manual Review</v>
      </c>
      <c r="K1424" s="13"/>
    </row>
    <row r="1425" customFormat="false" ht="15" hidden="false" customHeight="false" outlineLevel="0" collapsed="false">
      <c r="A1425" s="9" t="str">
        <f aca="false">Vessels!B17</f>
        <v>Vessel 13</v>
      </c>
      <c r="B1425" s="9" t="s">
        <v>88</v>
      </c>
      <c r="C1425" s="7" t="s">
        <v>116</v>
      </c>
      <c r="D1425" s="9" t="s">
        <v>115</v>
      </c>
      <c r="E1425" s="9" t="s">
        <v>114</v>
      </c>
      <c r="F1425" s="5"/>
      <c r="G1425" s="10"/>
      <c r="H1425" s="11" t="str">
        <f aca="false">IFERROR(IF($D1425="Manual Review","",IF($G1425="","",IF($D1425="Direct Expiry",$G1425,EDATE($G1425,$F1425)))),"Check Date")</f>
        <v/>
      </c>
      <c r="I1425" s="12" t="str">
        <f aca="true">IF($H1425="","",IF(ISNUMBER($H1425),$H1425-TODAY(),""))</f>
        <v/>
      </c>
      <c r="J1425" s="4" t="str">
        <f aca="true">IF($D1425="Manual Review","Manual Review",IF($G1425="","No Data",IF(NOT(ISNUMBER($H1425)),"N/A",IF($H1425&lt;TODAY(),"Overdue",IF($H1425&lt;=TODAY()+30,"Due within 1 Month",IF($H1425&lt;=TODAY()+60,"Due within 2 Months","OK"))))))</f>
        <v>Manual Review</v>
      </c>
      <c r="K1425" s="13"/>
    </row>
    <row r="1426" customFormat="false" ht="15" hidden="false" customHeight="false" outlineLevel="0" collapsed="false">
      <c r="A1426" s="9" t="str">
        <f aca="false">Vessels!B17</f>
        <v>Vessel 13</v>
      </c>
      <c r="B1426" s="9" t="s">
        <v>117</v>
      </c>
      <c r="C1426" s="7" t="s">
        <v>118</v>
      </c>
      <c r="D1426" s="9" t="s">
        <v>59</v>
      </c>
      <c r="E1426" s="9" t="s">
        <v>119</v>
      </c>
      <c r="F1426" s="5"/>
      <c r="G1426" s="10"/>
      <c r="H1426" s="11" t="str">
        <f aca="false">IFERROR(IF($D1426="Manual Review","",IF($G1426="","",IF($D1426="Direct Expiry",$G1426,EDATE($G1426,$F1426)))),"Check Date")</f>
        <v/>
      </c>
      <c r="I1426" s="12" t="str">
        <f aca="true">IF($H1426="","",IF(ISNUMBER($H1426),$H1426-TODAY(),""))</f>
        <v/>
      </c>
      <c r="J1426" s="4" t="str">
        <f aca="true">IF($D1426="Manual Review","Manual Review",IF($G1426="","No Data",IF(NOT(ISNUMBER($H1426)),"N/A",IF($H1426&lt;TODAY(),"Overdue",IF($H1426&lt;=TODAY()+30,"Due within 1 Month",IF($H1426&lt;=TODAY()+60,"Due within 2 Months","OK"))))))</f>
        <v>No Data</v>
      </c>
      <c r="K1426" s="13"/>
    </row>
    <row r="1427" customFormat="false" ht="15" hidden="false" customHeight="false" outlineLevel="0" collapsed="false">
      <c r="A1427" s="9" t="str">
        <f aca="false">Vessels!B17</f>
        <v>Vessel 13</v>
      </c>
      <c r="B1427" s="9" t="s">
        <v>117</v>
      </c>
      <c r="C1427" s="7" t="s">
        <v>120</v>
      </c>
      <c r="D1427" s="9" t="s">
        <v>45</v>
      </c>
      <c r="E1427" s="9" t="s">
        <v>44</v>
      </c>
      <c r="F1427" s="5" t="n">
        <v>12</v>
      </c>
      <c r="G1427" s="10"/>
      <c r="H1427" s="11" t="str">
        <f aca="false">IFERROR(IF($D1427="Manual Review","",IF($G1427="","",IF($D1427="Direct Expiry",$G1427,EDATE($G1427,$F1427)))),"Check Date")</f>
        <v/>
      </c>
      <c r="I1427" s="12" t="str">
        <f aca="true">IF($H1427="","",IF(ISNUMBER($H1427),$H1427-TODAY(),""))</f>
        <v/>
      </c>
      <c r="J1427" s="4" t="str">
        <f aca="true">IF($D1427="Manual Review","Manual Review",IF($G1427="","No Data",IF(NOT(ISNUMBER($H1427)),"N/A",IF($H1427&lt;TODAY(),"Overdue",IF($H1427&lt;=TODAY()+30,"Due within 1 Month",IF($H1427&lt;=TODAY()+60,"Due within 2 Months","OK"))))))</f>
        <v>No Data</v>
      </c>
      <c r="K1427" s="13"/>
    </row>
    <row r="1428" customFormat="false" ht="15" hidden="false" customHeight="false" outlineLevel="0" collapsed="false">
      <c r="A1428" s="9" t="str">
        <f aca="false">Vessels!B17</f>
        <v>Vessel 13</v>
      </c>
      <c r="B1428" s="9" t="s">
        <v>117</v>
      </c>
      <c r="C1428" s="7" t="s">
        <v>121</v>
      </c>
      <c r="D1428" s="9" t="s">
        <v>45</v>
      </c>
      <c r="E1428" s="9" t="s">
        <v>44</v>
      </c>
      <c r="F1428" s="5" t="n">
        <v>12</v>
      </c>
      <c r="G1428" s="10"/>
      <c r="H1428" s="11" t="str">
        <f aca="false">IFERROR(IF($D1428="Manual Review","",IF($G1428="","",IF($D1428="Direct Expiry",$G1428,EDATE($G1428,$F1428)))),"Check Date")</f>
        <v/>
      </c>
      <c r="I1428" s="12" t="str">
        <f aca="true">IF($H1428="","",IF(ISNUMBER($H1428),$H1428-TODAY(),""))</f>
        <v/>
      </c>
      <c r="J1428" s="4" t="str">
        <f aca="true">IF($D1428="Manual Review","Manual Review",IF($G1428="","No Data",IF(NOT(ISNUMBER($H1428)),"N/A",IF($H1428&lt;TODAY(),"Overdue",IF($H1428&lt;=TODAY()+30,"Due within 1 Month",IF($H1428&lt;=TODAY()+60,"Due within 2 Months","OK"))))))</f>
        <v>No Data</v>
      </c>
      <c r="K1428" s="13"/>
    </row>
    <row r="1429" customFormat="false" ht="15" hidden="false" customHeight="false" outlineLevel="0" collapsed="false">
      <c r="A1429" s="9" t="str">
        <f aca="false">Vessels!B17</f>
        <v>Vessel 13</v>
      </c>
      <c r="B1429" s="9" t="s">
        <v>117</v>
      </c>
      <c r="C1429" s="7" t="s">
        <v>122</v>
      </c>
      <c r="D1429" s="9" t="s">
        <v>45</v>
      </c>
      <c r="E1429" s="9" t="s">
        <v>123</v>
      </c>
      <c r="F1429" s="5" t="n">
        <v>24</v>
      </c>
      <c r="G1429" s="10"/>
      <c r="H1429" s="11" t="str">
        <f aca="false">IFERROR(IF($D1429="Manual Review","",IF($G1429="","",IF($D1429="Direct Expiry",$G1429,EDATE($G1429,$F1429)))),"Check Date")</f>
        <v/>
      </c>
      <c r="I1429" s="12" t="str">
        <f aca="true">IF($H1429="","",IF(ISNUMBER($H1429),$H1429-TODAY(),""))</f>
        <v/>
      </c>
      <c r="J1429" s="4" t="str">
        <f aca="true">IF($D1429="Manual Review","Manual Review",IF($G1429="","No Data",IF(NOT(ISNUMBER($H1429)),"N/A",IF($H1429&lt;TODAY(),"Overdue",IF($H1429&lt;=TODAY()+30,"Due within 1 Month",IF($H1429&lt;=TODAY()+60,"Due within 2 Months","OK"))))))</f>
        <v>No Data</v>
      </c>
      <c r="K1429" s="13"/>
    </row>
    <row r="1430" customFormat="false" ht="15" hidden="false" customHeight="false" outlineLevel="0" collapsed="false">
      <c r="A1430" s="9" t="str">
        <f aca="false">Vessels!B17</f>
        <v>Vessel 13</v>
      </c>
      <c r="B1430" s="9" t="s">
        <v>117</v>
      </c>
      <c r="C1430" s="7" t="s">
        <v>124</v>
      </c>
      <c r="D1430" s="9" t="s">
        <v>59</v>
      </c>
      <c r="E1430" s="9" t="s">
        <v>58</v>
      </c>
      <c r="F1430" s="5"/>
      <c r="G1430" s="10"/>
      <c r="H1430" s="11" t="str">
        <f aca="false">IFERROR(IF($D1430="Manual Review","",IF($G1430="","",IF($D1430="Direct Expiry",$G1430,EDATE($G1430,$F1430)))),"Check Date")</f>
        <v/>
      </c>
      <c r="I1430" s="12" t="str">
        <f aca="true">IF($H1430="","",IF(ISNUMBER($H1430),$H1430-TODAY(),""))</f>
        <v/>
      </c>
      <c r="J1430" s="4" t="str">
        <f aca="true">IF($D1430="Manual Review","Manual Review",IF($G1430="","No Data",IF(NOT(ISNUMBER($H1430)),"N/A",IF($H1430&lt;TODAY(),"Overdue",IF($H1430&lt;=TODAY()+30,"Due within 1 Month",IF($H1430&lt;=TODAY()+60,"Due within 2 Months","OK"))))))</f>
        <v>No Data</v>
      </c>
      <c r="K1430" s="13"/>
    </row>
    <row r="1431" customFormat="false" ht="15" hidden="false" customHeight="false" outlineLevel="0" collapsed="false">
      <c r="A1431" s="9" t="str">
        <f aca="false">Vessels!B17</f>
        <v>Vessel 13</v>
      </c>
      <c r="B1431" s="9" t="s">
        <v>117</v>
      </c>
      <c r="C1431" s="7" t="s">
        <v>125</v>
      </c>
      <c r="D1431" s="9" t="s">
        <v>59</v>
      </c>
      <c r="E1431" s="9" t="s">
        <v>58</v>
      </c>
      <c r="F1431" s="5"/>
      <c r="G1431" s="10"/>
      <c r="H1431" s="11" t="str">
        <f aca="false">IFERROR(IF($D1431="Manual Review","",IF($G1431="","",IF($D1431="Direct Expiry",$G1431,EDATE($G1431,$F1431)))),"Check Date")</f>
        <v/>
      </c>
      <c r="I1431" s="12" t="str">
        <f aca="true">IF($H1431="","",IF(ISNUMBER($H1431),$H1431-TODAY(),""))</f>
        <v/>
      </c>
      <c r="J1431" s="4" t="str">
        <f aca="true">IF($D1431="Manual Review","Manual Review",IF($G1431="","No Data",IF(NOT(ISNUMBER($H1431)),"N/A",IF($H1431&lt;TODAY(),"Overdue",IF($H1431&lt;=TODAY()+30,"Due within 1 Month",IF($H1431&lt;=TODAY()+60,"Due within 2 Months","OK"))))))</f>
        <v>No Data</v>
      </c>
      <c r="K1431" s="13"/>
    </row>
    <row r="1432" customFormat="false" ht="15" hidden="false" customHeight="false" outlineLevel="0" collapsed="false">
      <c r="A1432" s="9" t="str">
        <f aca="false">Vessels!B17</f>
        <v>Vessel 13</v>
      </c>
      <c r="B1432" s="9" t="s">
        <v>117</v>
      </c>
      <c r="C1432" s="7" t="s">
        <v>126</v>
      </c>
      <c r="D1432" s="9" t="s">
        <v>45</v>
      </c>
      <c r="E1432" s="9" t="s">
        <v>44</v>
      </c>
      <c r="F1432" s="5" t="n">
        <v>12</v>
      </c>
      <c r="G1432" s="10"/>
      <c r="H1432" s="11" t="str">
        <f aca="false">IFERROR(IF($D1432="Manual Review","",IF($G1432="","",IF($D1432="Direct Expiry",$G1432,EDATE($G1432,$F1432)))),"Check Date")</f>
        <v/>
      </c>
      <c r="I1432" s="12" t="str">
        <f aca="true">IF($H1432="","",IF(ISNUMBER($H1432),$H1432-TODAY(),""))</f>
        <v/>
      </c>
      <c r="J1432" s="4" t="str">
        <f aca="true">IF($D1432="Manual Review","Manual Review",IF($G1432="","No Data",IF(NOT(ISNUMBER($H1432)),"N/A",IF($H1432&lt;TODAY(),"Overdue",IF($H1432&lt;=TODAY()+30,"Due within 1 Month",IF($H1432&lt;=TODAY()+60,"Due within 2 Months","OK"))))))</f>
        <v>No Data</v>
      </c>
      <c r="K1432" s="13"/>
    </row>
    <row r="1433" customFormat="false" ht="15" hidden="false" customHeight="false" outlineLevel="0" collapsed="false">
      <c r="A1433" s="9" t="str">
        <f aca="false">Vessels!B17</f>
        <v>Vessel 13</v>
      </c>
      <c r="B1433" s="9" t="s">
        <v>117</v>
      </c>
      <c r="C1433" s="7" t="s">
        <v>127</v>
      </c>
      <c r="D1433" s="9" t="s">
        <v>59</v>
      </c>
      <c r="E1433" s="9" t="s">
        <v>58</v>
      </c>
      <c r="F1433" s="5"/>
      <c r="G1433" s="10"/>
      <c r="H1433" s="11" t="str">
        <f aca="false">IFERROR(IF($D1433="Manual Review","",IF($G1433="","",IF($D1433="Direct Expiry",$G1433,EDATE($G1433,$F1433)))),"Check Date")</f>
        <v/>
      </c>
      <c r="I1433" s="12" t="str">
        <f aca="true">IF($H1433="","",IF(ISNUMBER($H1433),$H1433-TODAY(),""))</f>
        <v/>
      </c>
      <c r="J1433" s="4" t="str">
        <f aca="true">IF($D1433="Manual Review","Manual Review",IF($G1433="","No Data",IF(NOT(ISNUMBER($H1433)),"N/A",IF($H1433&lt;TODAY(),"Overdue",IF($H1433&lt;=TODAY()+30,"Due within 1 Month",IF($H1433&lt;=TODAY()+60,"Due within 2 Months","OK"))))))</f>
        <v>No Data</v>
      </c>
      <c r="K1433" s="13"/>
    </row>
    <row r="1434" customFormat="false" ht="15" hidden="false" customHeight="false" outlineLevel="0" collapsed="false">
      <c r="A1434" s="9" t="str">
        <f aca="false">Vessels!B17</f>
        <v>Vessel 13</v>
      </c>
      <c r="B1434" s="9" t="s">
        <v>117</v>
      </c>
      <c r="C1434" s="7" t="s">
        <v>128</v>
      </c>
      <c r="D1434" s="9" t="s">
        <v>59</v>
      </c>
      <c r="E1434" s="9" t="s">
        <v>58</v>
      </c>
      <c r="F1434" s="5"/>
      <c r="G1434" s="10"/>
      <c r="H1434" s="11" t="str">
        <f aca="false">IFERROR(IF($D1434="Manual Review","",IF($G1434="","",IF($D1434="Direct Expiry",$G1434,EDATE($G1434,$F1434)))),"Check Date")</f>
        <v/>
      </c>
      <c r="I1434" s="12" t="str">
        <f aca="true">IF($H1434="","",IF(ISNUMBER($H1434),$H1434-TODAY(),""))</f>
        <v/>
      </c>
      <c r="J1434" s="4" t="str">
        <f aca="true">IF($D1434="Manual Review","Manual Review",IF($G1434="","No Data",IF(NOT(ISNUMBER($H1434)),"N/A",IF($H1434&lt;TODAY(),"Overdue",IF($H1434&lt;=TODAY()+30,"Due within 1 Month",IF($H1434&lt;=TODAY()+60,"Due within 2 Months","OK"))))))</f>
        <v>No Data</v>
      </c>
      <c r="K1434" s="13"/>
    </row>
    <row r="1435" customFormat="false" ht="15" hidden="false" customHeight="false" outlineLevel="0" collapsed="false">
      <c r="A1435" s="9" t="str">
        <f aca="false">Vessels!B17</f>
        <v>Vessel 13</v>
      </c>
      <c r="B1435" s="9" t="s">
        <v>117</v>
      </c>
      <c r="C1435" s="7" t="s">
        <v>129</v>
      </c>
      <c r="D1435" s="9" t="s">
        <v>59</v>
      </c>
      <c r="E1435" s="9" t="s">
        <v>58</v>
      </c>
      <c r="F1435" s="5"/>
      <c r="G1435" s="10"/>
      <c r="H1435" s="11" t="str">
        <f aca="false">IFERROR(IF($D1435="Manual Review","",IF($G1435="","",IF($D1435="Direct Expiry",$G1435,EDATE($G1435,$F1435)))),"Check Date")</f>
        <v/>
      </c>
      <c r="I1435" s="12" t="str">
        <f aca="true">IF($H1435="","",IF(ISNUMBER($H1435),$H1435-TODAY(),""))</f>
        <v/>
      </c>
      <c r="J1435" s="4" t="str">
        <f aca="true">IF($D1435="Manual Review","Manual Review",IF($G1435="","No Data",IF(NOT(ISNUMBER($H1435)),"N/A",IF($H1435&lt;TODAY(),"Overdue",IF($H1435&lt;=TODAY()+30,"Due within 1 Month",IF($H1435&lt;=TODAY()+60,"Due within 2 Months","OK"))))))</f>
        <v>No Data</v>
      </c>
      <c r="K1435" s="13"/>
    </row>
    <row r="1436" customFormat="false" ht="15" hidden="false" customHeight="false" outlineLevel="0" collapsed="false">
      <c r="A1436" s="9" t="str">
        <f aca="false">Vessels!B17</f>
        <v>Vessel 13</v>
      </c>
      <c r="B1436" s="9" t="s">
        <v>117</v>
      </c>
      <c r="C1436" s="7" t="s">
        <v>130</v>
      </c>
      <c r="D1436" s="9" t="s">
        <v>45</v>
      </c>
      <c r="E1436" s="9" t="s">
        <v>44</v>
      </c>
      <c r="F1436" s="5" t="n">
        <v>12</v>
      </c>
      <c r="G1436" s="10"/>
      <c r="H1436" s="11" t="str">
        <f aca="false">IFERROR(IF($D1436="Manual Review","",IF($G1436="","",IF($D1436="Direct Expiry",$G1436,EDATE($G1436,$F1436)))),"Check Date")</f>
        <v/>
      </c>
      <c r="I1436" s="12" t="str">
        <f aca="true">IF($H1436="","",IF(ISNUMBER($H1436),$H1436-TODAY(),""))</f>
        <v/>
      </c>
      <c r="J1436" s="4" t="str">
        <f aca="true">IF($D1436="Manual Review","Manual Review",IF($G1436="","No Data",IF(NOT(ISNUMBER($H1436)),"N/A",IF($H1436&lt;TODAY(),"Overdue",IF($H1436&lt;=TODAY()+30,"Due within 1 Month",IF($H1436&lt;=TODAY()+60,"Due within 2 Months","OK"))))))</f>
        <v>No Data</v>
      </c>
      <c r="K1436" s="13"/>
    </row>
    <row r="1437" customFormat="false" ht="15" hidden="false" customHeight="false" outlineLevel="0" collapsed="false">
      <c r="A1437" s="9" t="str">
        <f aca="false">Vessels!B17</f>
        <v>Vessel 13</v>
      </c>
      <c r="B1437" s="9" t="s">
        <v>117</v>
      </c>
      <c r="C1437" s="7" t="s">
        <v>131</v>
      </c>
      <c r="D1437" s="9" t="s">
        <v>45</v>
      </c>
      <c r="E1437" s="9" t="s">
        <v>44</v>
      </c>
      <c r="F1437" s="5" t="n">
        <v>12</v>
      </c>
      <c r="G1437" s="10"/>
      <c r="H1437" s="11" t="str">
        <f aca="false">IFERROR(IF($D1437="Manual Review","",IF($G1437="","",IF($D1437="Direct Expiry",$G1437,EDATE($G1437,$F1437)))),"Check Date")</f>
        <v/>
      </c>
      <c r="I1437" s="12" t="str">
        <f aca="true">IF($H1437="","",IF(ISNUMBER($H1437),$H1437-TODAY(),""))</f>
        <v/>
      </c>
      <c r="J1437" s="4" t="str">
        <f aca="true">IF($D1437="Manual Review","Manual Review",IF($G1437="","No Data",IF(NOT(ISNUMBER($H1437)),"N/A",IF($H1437&lt;TODAY(),"Overdue",IF($H1437&lt;=TODAY()+30,"Due within 1 Month",IF($H1437&lt;=TODAY()+60,"Due within 2 Months","OK"))))))</f>
        <v>No Data</v>
      </c>
      <c r="K1437" s="13"/>
    </row>
    <row r="1438" customFormat="false" ht="15" hidden="false" customHeight="false" outlineLevel="0" collapsed="false">
      <c r="A1438" s="9" t="str">
        <f aca="false">Vessels!B17</f>
        <v>Vessel 13</v>
      </c>
      <c r="B1438" s="9" t="s">
        <v>117</v>
      </c>
      <c r="C1438" s="7" t="s">
        <v>132</v>
      </c>
      <c r="D1438" s="9" t="s">
        <v>45</v>
      </c>
      <c r="E1438" s="9" t="s">
        <v>44</v>
      </c>
      <c r="F1438" s="5" t="n">
        <v>12</v>
      </c>
      <c r="G1438" s="10"/>
      <c r="H1438" s="11" t="str">
        <f aca="false">IFERROR(IF($D1438="Manual Review","",IF($G1438="","",IF($D1438="Direct Expiry",$G1438,EDATE($G1438,$F1438)))),"Check Date")</f>
        <v/>
      </c>
      <c r="I1438" s="12" t="str">
        <f aca="true">IF($H1438="","",IF(ISNUMBER($H1438),$H1438-TODAY(),""))</f>
        <v/>
      </c>
      <c r="J1438" s="4" t="str">
        <f aca="true">IF($D1438="Manual Review","Manual Review",IF($G1438="","No Data",IF(NOT(ISNUMBER($H1438)),"N/A",IF($H1438&lt;TODAY(),"Overdue",IF($H1438&lt;=TODAY()+30,"Due within 1 Month",IF($H1438&lt;=TODAY()+60,"Due within 2 Months","OK"))))))</f>
        <v>No Data</v>
      </c>
      <c r="K1438" s="13"/>
    </row>
    <row r="1439" customFormat="false" ht="15" hidden="false" customHeight="false" outlineLevel="0" collapsed="false">
      <c r="A1439" s="9" t="str">
        <f aca="false">Vessels!B17</f>
        <v>Vessel 13</v>
      </c>
      <c r="B1439" s="9" t="s">
        <v>117</v>
      </c>
      <c r="C1439" s="7" t="s">
        <v>133</v>
      </c>
      <c r="D1439" s="9" t="s">
        <v>45</v>
      </c>
      <c r="E1439" s="9" t="s">
        <v>44</v>
      </c>
      <c r="F1439" s="5" t="n">
        <v>12</v>
      </c>
      <c r="G1439" s="10"/>
      <c r="H1439" s="11" t="str">
        <f aca="false">IFERROR(IF($D1439="Manual Review","",IF($G1439="","",IF($D1439="Direct Expiry",$G1439,EDATE($G1439,$F1439)))),"Check Date")</f>
        <v/>
      </c>
      <c r="I1439" s="12" t="str">
        <f aca="true">IF($H1439="","",IF(ISNUMBER($H1439),$H1439-TODAY(),""))</f>
        <v/>
      </c>
      <c r="J1439" s="4" t="str">
        <f aca="true">IF($D1439="Manual Review","Manual Review",IF($G1439="","No Data",IF(NOT(ISNUMBER($H1439)),"N/A",IF($H1439&lt;TODAY(),"Overdue",IF($H1439&lt;=TODAY()+30,"Due within 1 Month",IF($H1439&lt;=TODAY()+60,"Due within 2 Months","OK"))))))</f>
        <v>No Data</v>
      </c>
      <c r="K1439" s="13"/>
    </row>
    <row r="1440" customFormat="false" ht="15" hidden="false" customHeight="false" outlineLevel="0" collapsed="false">
      <c r="A1440" s="9" t="str">
        <f aca="false">Vessels!B17</f>
        <v>Vessel 13</v>
      </c>
      <c r="B1440" s="9" t="s">
        <v>117</v>
      </c>
      <c r="C1440" s="7" t="s">
        <v>134</v>
      </c>
      <c r="D1440" s="9" t="s">
        <v>45</v>
      </c>
      <c r="E1440" s="9" t="s">
        <v>44</v>
      </c>
      <c r="F1440" s="5" t="n">
        <v>12</v>
      </c>
      <c r="G1440" s="10"/>
      <c r="H1440" s="11" t="str">
        <f aca="false">IFERROR(IF($D1440="Manual Review","",IF($G1440="","",IF($D1440="Direct Expiry",$G1440,EDATE($G1440,$F1440)))),"Check Date")</f>
        <v/>
      </c>
      <c r="I1440" s="12" t="str">
        <f aca="true">IF($H1440="","",IF(ISNUMBER($H1440),$H1440-TODAY(),""))</f>
        <v/>
      </c>
      <c r="J1440" s="4" t="str">
        <f aca="true">IF($D1440="Manual Review","Manual Review",IF($G1440="","No Data",IF(NOT(ISNUMBER($H1440)),"N/A",IF($H1440&lt;TODAY(),"Overdue",IF($H1440&lt;=TODAY()+30,"Due within 1 Month",IF($H1440&lt;=TODAY()+60,"Due within 2 Months","OK"))))))</f>
        <v>No Data</v>
      </c>
      <c r="K1440" s="13"/>
    </row>
    <row r="1441" customFormat="false" ht="15" hidden="false" customHeight="false" outlineLevel="0" collapsed="false">
      <c r="A1441" s="9" t="str">
        <f aca="false">Vessels!B17</f>
        <v>Vessel 13</v>
      </c>
      <c r="B1441" s="9" t="s">
        <v>117</v>
      </c>
      <c r="C1441" s="7" t="s">
        <v>135</v>
      </c>
      <c r="D1441" s="9" t="s">
        <v>45</v>
      </c>
      <c r="E1441" s="9" t="s">
        <v>44</v>
      </c>
      <c r="F1441" s="5" t="n">
        <v>12</v>
      </c>
      <c r="G1441" s="10"/>
      <c r="H1441" s="11" t="str">
        <f aca="false">IFERROR(IF($D1441="Manual Review","",IF($G1441="","",IF($D1441="Direct Expiry",$G1441,EDATE($G1441,$F1441)))),"Check Date")</f>
        <v/>
      </c>
      <c r="I1441" s="12" t="str">
        <f aca="true">IF($H1441="","",IF(ISNUMBER($H1441),$H1441-TODAY(),""))</f>
        <v/>
      </c>
      <c r="J1441" s="4" t="str">
        <f aca="true">IF($D1441="Manual Review","Manual Review",IF($G1441="","No Data",IF(NOT(ISNUMBER($H1441)),"N/A",IF($H1441&lt;TODAY(),"Overdue",IF($H1441&lt;=TODAY()+30,"Due within 1 Month",IF($H1441&lt;=TODAY()+60,"Due within 2 Months","OK"))))))</f>
        <v>No Data</v>
      </c>
      <c r="K1441" s="13"/>
    </row>
    <row r="1442" customFormat="false" ht="15" hidden="false" customHeight="false" outlineLevel="0" collapsed="false">
      <c r="A1442" s="9" t="str">
        <f aca="false">Vessels!B17</f>
        <v>Vessel 13</v>
      </c>
      <c r="B1442" s="9" t="s">
        <v>136</v>
      </c>
      <c r="C1442" s="7" t="s">
        <v>137</v>
      </c>
      <c r="D1442" s="9" t="s">
        <v>45</v>
      </c>
      <c r="E1442" s="9" t="s">
        <v>44</v>
      </c>
      <c r="F1442" s="5" t="n">
        <v>12</v>
      </c>
      <c r="G1442" s="10"/>
      <c r="H1442" s="11" t="str">
        <f aca="false">IFERROR(IF($D1442="Manual Review","",IF($G1442="","",IF($D1442="Direct Expiry",$G1442,EDATE($G1442,$F1442)))),"Check Date")</f>
        <v/>
      </c>
      <c r="I1442" s="12" t="str">
        <f aca="true">IF($H1442="","",IF(ISNUMBER($H1442),$H1442-TODAY(),""))</f>
        <v/>
      </c>
      <c r="J1442" s="4" t="str">
        <f aca="true">IF($D1442="Manual Review","Manual Review",IF($G1442="","No Data",IF(NOT(ISNUMBER($H1442)),"N/A",IF($H1442&lt;TODAY(),"Overdue",IF($H1442&lt;=TODAY()+30,"Due within 1 Month",IF($H1442&lt;=TODAY()+60,"Due within 2 Months","OK"))))))</f>
        <v>No Data</v>
      </c>
      <c r="K1442" s="13"/>
    </row>
    <row r="1443" customFormat="false" ht="15" hidden="false" customHeight="false" outlineLevel="0" collapsed="false">
      <c r="A1443" s="9" t="str">
        <f aca="false">Vessels!B17</f>
        <v>Vessel 13</v>
      </c>
      <c r="B1443" s="9" t="s">
        <v>136</v>
      </c>
      <c r="C1443" s="7" t="s">
        <v>138</v>
      </c>
      <c r="D1443" s="9" t="s">
        <v>45</v>
      </c>
      <c r="E1443" s="9" t="s">
        <v>44</v>
      </c>
      <c r="F1443" s="5" t="n">
        <v>12</v>
      </c>
      <c r="G1443" s="10"/>
      <c r="H1443" s="11" t="str">
        <f aca="false">IFERROR(IF($D1443="Manual Review","",IF($G1443="","",IF($D1443="Direct Expiry",$G1443,EDATE($G1443,$F1443)))),"Check Date")</f>
        <v/>
      </c>
      <c r="I1443" s="12" t="str">
        <f aca="true">IF($H1443="","",IF(ISNUMBER($H1443),$H1443-TODAY(),""))</f>
        <v/>
      </c>
      <c r="J1443" s="4" t="str">
        <f aca="true">IF($D1443="Manual Review","Manual Review",IF($G1443="","No Data",IF(NOT(ISNUMBER($H1443)),"N/A",IF($H1443&lt;TODAY(),"Overdue",IF($H1443&lt;=TODAY()+30,"Due within 1 Month",IF($H1443&lt;=TODAY()+60,"Due within 2 Months","OK"))))))</f>
        <v>No Data</v>
      </c>
      <c r="K1443" s="13"/>
    </row>
    <row r="1444" customFormat="false" ht="15" hidden="false" customHeight="false" outlineLevel="0" collapsed="false">
      <c r="A1444" s="9" t="str">
        <f aca="false">Vessels!B17</f>
        <v>Vessel 13</v>
      </c>
      <c r="B1444" s="9" t="s">
        <v>136</v>
      </c>
      <c r="C1444" s="7" t="s">
        <v>139</v>
      </c>
      <c r="D1444" s="9" t="s">
        <v>45</v>
      </c>
      <c r="E1444" s="9" t="s">
        <v>140</v>
      </c>
      <c r="F1444" s="5" t="n">
        <v>12</v>
      </c>
      <c r="G1444" s="10"/>
      <c r="H1444" s="11" t="str">
        <f aca="false">IFERROR(IF($D1444="Manual Review","",IF($G1444="","",IF($D1444="Direct Expiry",$G1444,EDATE($G1444,$F1444)))),"Check Date")</f>
        <v/>
      </c>
      <c r="I1444" s="12" t="str">
        <f aca="true">IF($H1444="","",IF(ISNUMBER($H1444),$H1444-TODAY(),""))</f>
        <v/>
      </c>
      <c r="J1444" s="4" t="str">
        <f aca="true">IF($D1444="Manual Review","Manual Review",IF($G1444="","No Data",IF(NOT(ISNUMBER($H1444)),"N/A",IF($H1444&lt;TODAY(),"Overdue",IF($H1444&lt;=TODAY()+30,"Due within 1 Month",IF($H1444&lt;=TODAY()+60,"Due within 2 Months","OK"))))))</f>
        <v>No Data</v>
      </c>
      <c r="K1444" s="13"/>
    </row>
    <row r="1445" customFormat="false" ht="15" hidden="false" customHeight="false" outlineLevel="0" collapsed="false">
      <c r="A1445" s="9" t="str">
        <f aca="false">Vessels!B17</f>
        <v>Vessel 13</v>
      </c>
      <c r="B1445" s="9" t="s">
        <v>136</v>
      </c>
      <c r="C1445" s="7" t="s">
        <v>141</v>
      </c>
      <c r="D1445" s="9" t="s">
        <v>45</v>
      </c>
      <c r="E1445" s="9" t="s">
        <v>44</v>
      </c>
      <c r="F1445" s="5" t="n">
        <v>12</v>
      </c>
      <c r="G1445" s="10"/>
      <c r="H1445" s="11" t="str">
        <f aca="false">IFERROR(IF($D1445="Manual Review","",IF($G1445="","",IF($D1445="Direct Expiry",$G1445,EDATE($G1445,$F1445)))),"Check Date")</f>
        <v/>
      </c>
      <c r="I1445" s="12" t="str">
        <f aca="true">IF($H1445="","",IF(ISNUMBER($H1445),$H1445-TODAY(),""))</f>
        <v/>
      </c>
      <c r="J1445" s="4" t="str">
        <f aca="true">IF($D1445="Manual Review","Manual Review",IF($G1445="","No Data",IF(NOT(ISNUMBER($H1445)),"N/A",IF($H1445&lt;TODAY(),"Overdue",IF($H1445&lt;=TODAY()+30,"Due within 1 Month",IF($H1445&lt;=TODAY()+60,"Due within 2 Months","OK"))))))</f>
        <v>No Data</v>
      </c>
      <c r="K1445" s="13"/>
    </row>
    <row r="1446" customFormat="false" ht="15" hidden="false" customHeight="false" outlineLevel="0" collapsed="false">
      <c r="A1446" s="9" t="str">
        <f aca="false">Vessels!B17</f>
        <v>Vessel 13</v>
      </c>
      <c r="B1446" s="9" t="s">
        <v>136</v>
      </c>
      <c r="C1446" s="7" t="s">
        <v>142</v>
      </c>
      <c r="D1446" s="9" t="s">
        <v>115</v>
      </c>
      <c r="E1446" s="9" t="s">
        <v>143</v>
      </c>
      <c r="F1446" s="5"/>
      <c r="G1446" s="10"/>
      <c r="H1446" s="11" t="str">
        <f aca="false">IFERROR(IF($D1446="Manual Review","",IF($G1446="","",IF($D1446="Direct Expiry",$G1446,EDATE($G1446,$F1446)))),"Check Date")</f>
        <v/>
      </c>
      <c r="I1446" s="12" t="str">
        <f aca="true">IF($H1446="","",IF(ISNUMBER($H1446),$H1446-TODAY(),""))</f>
        <v/>
      </c>
      <c r="J1446" s="4" t="str">
        <f aca="true">IF($D1446="Manual Review","Manual Review",IF($G1446="","No Data",IF(NOT(ISNUMBER($H1446)),"N/A",IF($H1446&lt;TODAY(),"Overdue",IF($H1446&lt;=TODAY()+30,"Due within 1 Month",IF($H1446&lt;=TODAY()+60,"Due within 2 Months","OK"))))))</f>
        <v>Manual Review</v>
      </c>
      <c r="K1446" s="13"/>
    </row>
    <row r="1447" customFormat="false" ht="15" hidden="false" customHeight="false" outlineLevel="0" collapsed="false">
      <c r="A1447" s="9" t="str">
        <f aca="false">Vessels!B17</f>
        <v>Vessel 13</v>
      </c>
      <c r="B1447" s="9" t="s">
        <v>136</v>
      </c>
      <c r="C1447" s="7" t="s">
        <v>144</v>
      </c>
      <c r="D1447" s="9" t="s">
        <v>45</v>
      </c>
      <c r="E1447" s="9" t="s">
        <v>44</v>
      </c>
      <c r="F1447" s="5" t="n">
        <v>12</v>
      </c>
      <c r="G1447" s="10"/>
      <c r="H1447" s="11" t="str">
        <f aca="false">IFERROR(IF($D1447="Manual Review","",IF($G1447="","",IF($D1447="Direct Expiry",$G1447,EDATE($G1447,$F1447)))),"Check Date")</f>
        <v/>
      </c>
      <c r="I1447" s="12" t="str">
        <f aca="true">IF($H1447="","",IF(ISNUMBER($H1447),$H1447-TODAY(),""))</f>
        <v/>
      </c>
      <c r="J1447" s="4" t="str">
        <f aca="true">IF($D1447="Manual Review","Manual Review",IF($G1447="","No Data",IF(NOT(ISNUMBER($H1447)),"N/A",IF($H1447&lt;TODAY(),"Overdue",IF($H1447&lt;=TODAY()+30,"Due within 1 Month",IF($H1447&lt;=TODAY()+60,"Due within 2 Months","OK"))))))</f>
        <v>No Data</v>
      </c>
      <c r="K1447" s="13"/>
    </row>
    <row r="1448" customFormat="false" ht="15" hidden="false" customHeight="false" outlineLevel="0" collapsed="false">
      <c r="A1448" s="9" t="str">
        <f aca="false">Vessels!B17</f>
        <v>Vessel 13</v>
      </c>
      <c r="B1448" s="9" t="s">
        <v>136</v>
      </c>
      <c r="C1448" s="7" t="s">
        <v>145</v>
      </c>
      <c r="D1448" s="9" t="s">
        <v>45</v>
      </c>
      <c r="E1448" s="9" t="s">
        <v>44</v>
      </c>
      <c r="F1448" s="5" t="n">
        <v>12</v>
      </c>
      <c r="G1448" s="10"/>
      <c r="H1448" s="11" t="str">
        <f aca="false">IFERROR(IF($D1448="Manual Review","",IF($G1448="","",IF($D1448="Direct Expiry",$G1448,EDATE($G1448,$F1448)))),"Check Date")</f>
        <v/>
      </c>
      <c r="I1448" s="12" t="str">
        <f aca="true">IF($H1448="","",IF(ISNUMBER($H1448),$H1448-TODAY(),""))</f>
        <v/>
      </c>
      <c r="J1448" s="4" t="str">
        <f aca="true">IF($D1448="Manual Review","Manual Review",IF($G1448="","No Data",IF(NOT(ISNUMBER($H1448)),"N/A",IF($H1448&lt;TODAY(),"Overdue",IF($H1448&lt;=TODAY()+30,"Due within 1 Month",IF($H1448&lt;=TODAY()+60,"Due within 2 Months","OK"))))))</f>
        <v>No Data</v>
      </c>
      <c r="K1448" s="13"/>
    </row>
    <row r="1449" customFormat="false" ht="15" hidden="false" customHeight="false" outlineLevel="0" collapsed="false">
      <c r="A1449" s="9" t="str">
        <f aca="false">Vessels!B17</f>
        <v>Vessel 13</v>
      </c>
      <c r="B1449" s="9" t="s">
        <v>136</v>
      </c>
      <c r="C1449" s="7" t="s">
        <v>146</v>
      </c>
      <c r="D1449" s="9" t="s">
        <v>45</v>
      </c>
      <c r="E1449" s="9" t="s">
        <v>44</v>
      </c>
      <c r="F1449" s="5" t="n">
        <v>12</v>
      </c>
      <c r="G1449" s="10"/>
      <c r="H1449" s="11" t="str">
        <f aca="false">IFERROR(IF($D1449="Manual Review","",IF($G1449="","",IF($D1449="Direct Expiry",$G1449,EDATE($G1449,$F1449)))),"Check Date")</f>
        <v/>
      </c>
      <c r="I1449" s="12" t="str">
        <f aca="true">IF($H1449="","",IF(ISNUMBER($H1449),$H1449-TODAY(),""))</f>
        <v/>
      </c>
      <c r="J1449" s="4" t="str">
        <f aca="true">IF($D1449="Manual Review","Manual Review",IF($G1449="","No Data",IF(NOT(ISNUMBER($H1449)),"N/A",IF($H1449&lt;TODAY(),"Overdue",IF($H1449&lt;=TODAY()+30,"Due within 1 Month",IF($H1449&lt;=TODAY()+60,"Due within 2 Months","OK"))))))</f>
        <v>No Data</v>
      </c>
      <c r="K1449" s="13"/>
    </row>
    <row r="1450" customFormat="false" ht="15" hidden="false" customHeight="false" outlineLevel="0" collapsed="false">
      <c r="A1450" s="9" t="str">
        <f aca="false">Vessels!B17</f>
        <v>Vessel 13</v>
      </c>
      <c r="B1450" s="9" t="s">
        <v>136</v>
      </c>
      <c r="C1450" s="7" t="s">
        <v>147</v>
      </c>
      <c r="D1450" s="9" t="s">
        <v>45</v>
      </c>
      <c r="E1450" s="9" t="s">
        <v>44</v>
      </c>
      <c r="F1450" s="5" t="n">
        <v>12</v>
      </c>
      <c r="G1450" s="10"/>
      <c r="H1450" s="11" t="str">
        <f aca="false">IFERROR(IF($D1450="Manual Review","",IF($G1450="","",IF($D1450="Direct Expiry",$G1450,EDATE($G1450,$F1450)))),"Check Date")</f>
        <v/>
      </c>
      <c r="I1450" s="12" t="str">
        <f aca="true">IF($H1450="","",IF(ISNUMBER($H1450),$H1450-TODAY(),""))</f>
        <v/>
      </c>
      <c r="J1450" s="4" t="str">
        <f aca="true">IF($D1450="Manual Review","Manual Review",IF($G1450="","No Data",IF(NOT(ISNUMBER($H1450)),"N/A",IF($H1450&lt;TODAY(),"Overdue",IF($H1450&lt;=TODAY()+30,"Due within 1 Month",IF($H1450&lt;=TODAY()+60,"Due within 2 Months","OK"))))))</f>
        <v>No Data</v>
      </c>
      <c r="K1450" s="13"/>
    </row>
    <row r="1451" customFormat="false" ht="15" hidden="false" customHeight="false" outlineLevel="0" collapsed="false">
      <c r="A1451" s="9" t="str">
        <f aca="false">Vessels!B17</f>
        <v>Vessel 13</v>
      </c>
      <c r="B1451" s="9" t="s">
        <v>136</v>
      </c>
      <c r="C1451" s="7" t="s">
        <v>148</v>
      </c>
      <c r="D1451" s="9" t="s">
        <v>45</v>
      </c>
      <c r="E1451" s="9" t="s">
        <v>44</v>
      </c>
      <c r="F1451" s="5" t="n">
        <v>12</v>
      </c>
      <c r="G1451" s="10"/>
      <c r="H1451" s="11" t="str">
        <f aca="false">IFERROR(IF($D1451="Manual Review","",IF($G1451="","",IF($D1451="Direct Expiry",$G1451,EDATE($G1451,$F1451)))),"Check Date")</f>
        <v/>
      </c>
      <c r="I1451" s="12" t="str">
        <f aca="true">IF($H1451="","",IF(ISNUMBER($H1451),$H1451-TODAY(),""))</f>
        <v/>
      </c>
      <c r="J1451" s="4" t="str">
        <f aca="true">IF($D1451="Manual Review","Manual Review",IF($G1451="","No Data",IF(NOT(ISNUMBER($H1451)),"N/A",IF($H1451&lt;TODAY(),"Overdue",IF($H1451&lt;=TODAY()+30,"Due within 1 Month",IF($H1451&lt;=TODAY()+60,"Due within 2 Months","OK"))))))</f>
        <v>No Data</v>
      </c>
      <c r="K1451" s="13"/>
    </row>
    <row r="1452" customFormat="false" ht="15" hidden="false" customHeight="false" outlineLevel="0" collapsed="false">
      <c r="A1452" s="9" t="str">
        <f aca="false">Vessels!B17</f>
        <v>Vessel 13</v>
      </c>
      <c r="B1452" s="9" t="s">
        <v>136</v>
      </c>
      <c r="C1452" s="7" t="s">
        <v>149</v>
      </c>
      <c r="D1452" s="9" t="s">
        <v>45</v>
      </c>
      <c r="E1452" s="9" t="s">
        <v>44</v>
      </c>
      <c r="F1452" s="5" t="n">
        <v>12</v>
      </c>
      <c r="G1452" s="10"/>
      <c r="H1452" s="11" t="str">
        <f aca="false">IFERROR(IF($D1452="Manual Review","",IF($G1452="","",IF($D1452="Direct Expiry",$G1452,EDATE($G1452,$F1452)))),"Check Date")</f>
        <v/>
      </c>
      <c r="I1452" s="12" t="str">
        <f aca="true">IF($H1452="","",IF(ISNUMBER($H1452),$H1452-TODAY(),""))</f>
        <v/>
      </c>
      <c r="J1452" s="4" t="str">
        <f aca="true">IF($D1452="Manual Review","Manual Review",IF($G1452="","No Data",IF(NOT(ISNUMBER($H1452)),"N/A",IF($H1452&lt;TODAY(),"Overdue",IF($H1452&lt;=TODAY()+30,"Due within 1 Month",IF($H1452&lt;=TODAY()+60,"Due within 2 Months","OK"))))))</f>
        <v>No Data</v>
      </c>
      <c r="K1452" s="13"/>
    </row>
    <row r="1453" customFormat="false" ht="15" hidden="false" customHeight="false" outlineLevel="0" collapsed="false">
      <c r="A1453" s="9" t="str">
        <f aca="false">Vessels!B17</f>
        <v>Vessel 13</v>
      </c>
      <c r="B1453" s="9" t="s">
        <v>136</v>
      </c>
      <c r="C1453" s="7" t="s">
        <v>150</v>
      </c>
      <c r="D1453" s="9" t="s">
        <v>45</v>
      </c>
      <c r="E1453" s="9" t="s">
        <v>44</v>
      </c>
      <c r="F1453" s="5" t="n">
        <v>12</v>
      </c>
      <c r="G1453" s="10"/>
      <c r="H1453" s="11" t="str">
        <f aca="false">IFERROR(IF($D1453="Manual Review","",IF($G1453="","",IF($D1453="Direct Expiry",$G1453,EDATE($G1453,$F1453)))),"Check Date")</f>
        <v/>
      </c>
      <c r="I1453" s="12" t="str">
        <f aca="true">IF($H1453="","",IF(ISNUMBER($H1453),$H1453-TODAY(),""))</f>
        <v/>
      </c>
      <c r="J1453" s="4" t="str">
        <f aca="true">IF($D1453="Manual Review","Manual Review",IF($G1453="","No Data",IF(NOT(ISNUMBER($H1453)),"N/A",IF($H1453&lt;TODAY(),"Overdue",IF($H1453&lt;=TODAY()+30,"Due within 1 Month",IF($H1453&lt;=TODAY()+60,"Due within 2 Months","OK"))))))</f>
        <v>No Data</v>
      </c>
      <c r="K1453" s="13"/>
    </row>
    <row r="1454" customFormat="false" ht="15" hidden="false" customHeight="false" outlineLevel="0" collapsed="false">
      <c r="A1454" s="9" t="str">
        <f aca="false">Vessels!B17</f>
        <v>Vessel 13</v>
      </c>
      <c r="B1454" s="9" t="s">
        <v>136</v>
      </c>
      <c r="C1454" s="7" t="s">
        <v>151</v>
      </c>
      <c r="D1454" s="9" t="s">
        <v>45</v>
      </c>
      <c r="E1454" s="9" t="s">
        <v>44</v>
      </c>
      <c r="F1454" s="5" t="n">
        <v>12</v>
      </c>
      <c r="G1454" s="10"/>
      <c r="H1454" s="11" t="str">
        <f aca="false">IFERROR(IF($D1454="Manual Review","",IF($G1454="","",IF($D1454="Direct Expiry",$G1454,EDATE($G1454,$F1454)))),"Check Date")</f>
        <v/>
      </c>
      <c r="I1454" s="12" t="str">
        <f aca="true">IF($H1454="","",IF(ISNUMBER($H1454),$H1454-TODAY(),""))</f>
        <v/>
      </c>
      <c r="J1454" s="4" t="str">
        <f aca="true">IF($D1454="Manual Review","Manual Review",IF($G1454="","No Data",IF(NOT(ISNUMBER($H1454)),"N/A",IF($H1454&lt;TODAY(),"Overdue",IF($H1454&lt;=TODAY()+30,"Due within 1 Month",IF($H1454&lt;=TODAY()+60,"Due within 2 Months","OK"))))))</f>
        <v>No Data</v>
      </c>
      <c r="K1454" s="13"/>
    </row>
    <row r="1455" customFormat="false" ht="15" hidden="false" customHeight="false" outlineLevel="0" collapsed="false">
      <c r="A1455" s="9" t="str">
        <f aca="false">Vessels!B17</f>
        <v>Vessel 13</v>
      </c>
      <c r="B1455" s="9" t="s">
        <v>136</v>
      </c>
      <c r="C1455" s="7" t="s">
        <v>152</v>
      </c>
      <c r="D1455" s="9" t="s">
        <v>45</v>
      </c>
      <c r="E1455" s="9" t="s">
        <v>44</v>
      </c>
      <c r="F1455" s="5" t="n">
        <v>12</v>
      </c>
      <c r="G1455" s="10"/>
      <c r="H1455" s="11" t="str">
        <f aca="false">IFERROR(IF($D1455="Manual Review","",IF($G1455="","",IF($D1455="Direct Expiry",$G1455,EDATE($G1455,$F1455)))),"Check Date")</f>
        <v/>
      </c>
      <c r="I1455" s="12" t="str">
        <f aca="true">IF($H1455="","",IF(ISNUMBER($H1455),$H1455-TODAY(),""))</f>
        <v/>
      </c>
      <c r="J1455" s="4" t="str">
        <f aca="true">IF($D1455="Manual Review","Manual Review",IF($G1455="","No Data",IF(NOT(ISNUMBER($H1455)),"N/A",IF($H1455&lt;TODAY(),"Overdue",IF($H1455&lt;=TODAY()+30,"Due within 1 Month",IF($H1455&lt;=TODAY()+60,"Due within 2 Months","OK"))))))</f>
        <v>No Data</v>
      </c>
      <c r="K1455" s="13"/>
    </row>
    <row r="1456" customFormat="false" ht="15" hidden="false" customHeight="false" outlineLevel="0" collapsed="false">
      <c r="A1456" s="9" t="str">
        <f aca="false">Vessels!B17</f>
        <v>Vessel 13</v>
      </c>
      <c r="B1456" s="9" t="s">
        <v>136</v>
      </c>
      <c r="C1456" s="7" t="s">
        <v>153</v>
      </c>
      <c r="D1456" s="9" t="s">
        <v>45</v>
      </c>
      <c r="E1456" s="9" t="s">
        <v>44</v>
      </c>
      <c r="F1456" s="5" t="n">
        <v>12</v>
      </c>
      <c r="G1456" s="10"/>
      <c r="H1456" s="11" t="str">
        <f aca="false">IFERROR(IF($D1456="Manual Review","",IF($G1456="","",IF($D1456="Direct Expiry",$G1456,EDATE($G1456,$F1456)))),"Check Date")</f>
        <v/>
      </c>
      <c r="I1456" s="12" t="str">
        <f aca="true">IF($H1456="","",IF(ISNUMBER($H1456),$H1456-TODAY(),""))</f>
        <v/>
      </c>
      <c r="J1456" s="4" t="str">
        <f aca="true">IF($D1456="Manual Review","Manual Review",IF($G1456="","No Data",IF(NOT(ISNUMBER($H1456)),"N/A",IF($H1456&lt;TODAY(),"Overdue",IF($H1456&lt;=TODAY()+30,"Due within 1 Month",IF($H1456&lt;=TODAY()+60,"Due within 2 Months","OK"))))))</f>
        <v>No Data</v>
      </c>
      <c r="K1456" s="13"/>
    </row>
    <row r="1457" customFormat="false" ht="15" hidden="false" customHeight="false" outlineLevel="0" collapsed="false">
      <c r="A1457" s="9" t="str">
        <f aca="false">Vessels!B17</f>
        <v>Vessel 13</v>
      </c>
      <c r="B1457" s="9" t="s">
        <v>136</v>
      </c>
      <c r="C1457" s="7" t="s">
        <v>154</v>
      </c>
      <c r="D1457" s="9" t="s">
        <v>45</v>
      </c>
      <c r="E1457" s="9" t="s">
        <v>44</v>
      </c>
      <c r="F1457" s="5" t="n">
        <v>12</v>
      </c>
      <c r="G1457" s="10"/>
      <c r="H1457" s="11" t="str">
        <f aca="false">IFERROR(IF($D1457="Manual Review","",IF($G1457="","",IF($D1457="Direct Expiry",$G1457,EDATE($G1457,$F1457)))),"Check Date")</f>
        <v/>
      </c>
      <c r="I1457" s="12" t="str">
        <f aca="true">IF($H1457="","",IF(ISNUMBER($H1457),$H1457-TODAY(),""))</f>
        <v/>
      </c>
      <c r="J1457" s="4" t="str">
        <f aca="true">IF($D1457="Manual Review","Manual Review",IF($G1457="","No Data",IF(NOT(ISNUMBER($H1457)),"N/A",IF($H1457&lt;TODAY(),"Overdue",IF($H1457&lt;=TODAY()+30,"Due within 1 Month",IF($H1457&lt;=TODAY()+60,"Due within 2 Months","OK"))))))</f>
        <v>No Data</v>
      </c>
      <c r="K1457" s="13"/>
    </row>
    <row r="1458" customFormat="false" ht="15" hidden="false" customHeight="false" outlineLevel="0" collapsed="false">
      <c r="A1458" s="9" t="str">
        <f aca="false">Vessels!B17</f>
        <v>Vessel 13</v>
      </c>
      <c r="B1458" s="9" t="s">
        <v>136</v>
      </c>
      <c r="C1458" s="7" t="s">
        <v>155</v>
      </c>
      <c r="D1458" s="9" t="s">
        <v>45</v>
      </c>
      <c r="E1458" s="9" t="s">
        <v>44</v>
      </c>
      <c r="F1458" s="5" t="n">
        <v>12</v>
      </c>
      <c r="G1458" s="10"/>
      <c r="H1458" s="11" t="str">
        <f aca="false">IFERROR(IF($D1458="Manual Review","",IF($G1458="","",IF($D1458="Direct Expiry",$G1458,EDATE($G1458,$F1458)))),"Check Date")</f>
        <v/>
      </c>
      <c r="I1458" s="12" t="str">
        <f aca="true">IF($H1458="","",IF(ISNUMBER($H1458),$H1458-TODAY(),""))</f>
        <v/>
      </c>
      <c r="J1458" s="4" t="str">
        <f aca="true">IF($D1458="Manual Review","Manual Review",IF($G1458="","No Data",IF(NOT(ISNUMBER($H1458)),"N/A",IF($H1458&lt;TODAY(),"Overdue",IF($H1458&lt;=TODAY()+30,"Due within 1 Month",IF($H1458&lt;=TODAY()+60,"Due within 2 Months","OK"))))))</f>
        <v>No Data</v>
      </c>
      <c r="K1458" s="13"/>
    </row>
    <row r="1459" customFormat="false" ht="15" hidden="false" customHeight="false" outlineLevel="0" collapsed="false">
      <c r="A1459" s="9" t="str">
        <f aca="false">Vessels!B17</f>
        <v>Vessel 13</v>
      </c>
      <c r="B1459" s="9" t="s">
        <v>136</v>
      </c>
      <c r="C1459" s="7" t="s">
        <v>156</v>
      </c>
      <c r="D1459" s="9" t="s">
        <v>45</v>
      </c>
      <c r="E1459" s="9" t="s">
        <v>44</v>
      </c>
      <c r="F1459" s="5" t="n">
        <v>12</v>
      </c>
      <c r="G1459" s="10"/>
      <c r="H1459" s="11" t="str">
        <f aca="false">IFERROR(IF($D1459="Manual Review","",IF($G1459="","",IF($D1459="Direct Expiry",$G1459,EDATE($G1459,$F1459)))),"Check Date")</f>
        <v/>
      </c>
      <c r="I1459" s="12" t="str">
        <f aca="true">IF($H1459="","",IF(ISNUMBER($H1459),$H1459-TODAY(),""))</f>
        <v/>
      </c>
      <c r="J1459" s="4" t="str">
        <f aca="true">IF($D1459="Manual Review","Manual Review",IF($G1459="","No Data",IF(NOT(ISNUMBER($H1459)),"N/A",IF($H1459&lt;TODAY(),"Overdue",IF($H1459&lt;=TODAY()+30,"Due within 1 Month",IF($H1459&lt;=TODAY()+60,"Due within 2 Months","OK"))))))</f>
        <v>No Data</v>
      </c>
      <c r="K1459" s="13"/>
    </row>
    <row r="1460" customFormat="false" ht="15" hidden="false" customHeight="false" outlineLevel="0" collapsed="false">
      <c r="A1460" s="9" t="str">
        <f aca="false">Vessels!B17</f>
        <v>Vessel 13</v>
      </c>
      <c r="B1460" s="9" t="s">
        <v>136</v>
      </c>
      <c r="C1460" s="7" t="s">
        <v>157</v>
      </c>
      <c r="D1460" s="9" t="s">
        <v>45</v>
      </c>
      <c r="E1460" s="9" t="s">
        <v>44</v>
      </c>
      <c r="F1460" s="5" t="n">
        <v>12</v>
      </c>
      <c r="G1460" s="10"/>
      <c r="H1460" s="11" t="str">
        <f aca="false">IFERROR(IF($D1460="Manual Review","",IF($G1460="","",IF($D1460="Direct Expiry",$G1460,EDATE($G1460,$F1460)))),"Check Date")</f>
        <v/>
      </c>
      <c r="I1460" s="12" t="str">
        <f aca="true">IF($H1460="","",IF(ISNUMBER($H1460),$H1460-TODAY(),""))</f>
        <v/>
      </c>
      <c r="J1460" s="4" t="str">
        <f aca="true">IF($D1460="Manual Review","Manual Review",IF($G1460="","No Data",IF(NOT(ISNUMBER($H1460)),"N/A",IF($H1460&lt;TODAY(),"Overdue",IF($H1460&lt;=TODAY()+30,"Due within 1 Month",IF($H1460&lt;=TODAY()+60,"Due within 2 Months","OK"))))))</f>
        <v>No Data</v>
      </c>
      <c r="K1460" s="13"/>
    </row>
    <row r="1461" customFormat="false" ht="15" hidden="false" customHeight="false" outlineLevel="0" collapsed="false">
      <c r="A1461" s="9" t="str">
        <f aca="false">Vessels!B18</f>
        <v>Vessel 14</v>
      </c>
      <c r="B1461" s="9" t="s">
        <v>42</v>
      </c>
      <c r="C1461" s="7" t="s">
        <v>43</v>
      </c>
      <c r="D1461" s="9" t="s">
        <v>45</v>
      </c>
      <c r="E1461" s="9" t="s">
        <v>44</v>
      </c>
      <c r="F1461" s="5" t="n">
        <v>12</v>
      </c>
      <c r="G1461" s="10"/>
      <c r="H1461" s="11" t="str">
        <f aca="false">IFERROR(IF($D1461="Manual Review","",IF($G1461="","",IF($D1461="Direct Expiry",$G1461,EDATE($G1461,$F1461)))),"Check Date")</f>
        <v/>
      </c>
      <c r="I1461" s="12" t="str">
        <f aca="true">IF($H1461="","",IF(ISNUMBER($H1461),$H1461-TODAY(),""))</f>
        <v/>
      </c>
      <c r="J1461" s="4" t="str">
        <f aca="true">IF($D1461="Manual Review","Manual Review",IF($G1461="","No Data",IF(NOT(ISNUMBER($H1461)),"N/A",IF($H1461&lt;TODAY(),"Overdue",IF($H1461&lt;=TODAY()+30,"Due within 1 Month",IF($H1461&lt;=TODAY()+60,"Due within 2 Months","OK"))))))</f>
        <v>No Data</v>
      </c>
      <c r="K1461" s="13"/>
    </row>
    <row r="1462" customFormat="false" ht="15" hidden="false" customHeight="false" outlineLevel="0" collapsed="false">
      <c r="A1462" s="9" t="str">
        <f aca="false">Vessels!B18</f>
        <v>Vessel 14</v>
      </c>
      <c r="B1462" s="9" t="s">
        <v>42</v>
      </c>
      <c r="C1462" s="7" t="s">
        <v>43</v>
      </c>
      <c r="D1462" s="9" t="s">
        <v>45</v>
      </c>
      <c r="E1462" s="9" t="s">
        <v>46</v>
      </c>
      <c r="F1462" s="5" t="n">
        <v>60</v>
      </c>
      <c r="G1462" s="10"/>
      <c r="H1462" s="11" t="str">
        <f aca="false">IFERROR(IF($D1462="Manual Review","",IF($G1462="","",IF($D1462="Direct Expiry",$G1462,EDATE($G1462,$F1462)))),"Check Date")</f>
        <v/>
      </c>
      <c r="I1462" s="12" t="str">
        <f aca="true">IF($H1462="","",IF(ISNUMBER($H1462),$H1462-TODAY(),""))</f>
        <v/>
      </c>
      <c r="J1462" s="4" t="str">
        <f aca="true">IF($D1462="Manual Review","Manual Review",IF($G1462="","No Data",IF(NOT(ISNUMBER($H1462)),"N/A",IF($H1462&lt;TODAY(),"Overdue",IF($H1462&lt;=TODAY()+30,"Due within 1 Month",IF($H1462&lt;=TODAY()+60,"Due within 2 Months","OK"))))))</f>
        <v>No Data</v>
      </c>
      <c r="K1462" s="13"/>
    </row>
    <row r="1463" customFormat="false" ht="15" hidden="false" customHeight="false" outlineLevel="0" collapsed="false">
      <c r="A1463" s="9" t="str">
        <f aca="false">Vessels!B18</f>
        <v>Vessel 14</v>
      </c>
      <c r="B1463" s="9" t="s">
        <v>42</v>
      </c>
      <c r="C1463" s="7" t="s">
        <v>47</v>
      </c>
      <c r="D1463" s="9" t="s">
        <v>45</v>
      </c>
      <c r="E1463" s="9" t="s">
        <v>44</v>
      </c>
      <c r="F1463" s="5" t="n">
        <v>12</v>
      </c>
      <c r="G1463" s="10"/>
      <c r="H1463" s="11" t="str">
        <f aca="false">IFERROR(IF($D1463="Manual Review","",IF($G1463="","",IF($D1463="Direct Expiry",$G1463,EDATE($G1463,$F1463)))),"Check Date")</f>
        <v/>
      </c>
      <c r="I1463" s="12" t="str">
        <f aca="true">IF($H1463="","",IF(ISNUMBER($H1463),$H1463-TODAY(),""))</f>
        <v/>
      </c>
      <c r="J1463" s="4" t="str">
        <f aca="true">IF($D1463="Manual Review","Manual Review",IF($G1463="","No Data",IF(NOT(ISNUMBER($H1463)),"N/A",IF($H1463&lt;TODAY(),"Overdue",IF($H1463&lt;=TODAY()+30,"Due within 1 Month",IF($H1463&lt;=TODAY()+60,"Due within 2 Months","OK"))))))</f>
        <v>No Data</v>
      </c>
      <c r="K1463" s="13"/>
    </row>
    <row r="1464" customFormat="false" ht="15" hidden="false" customHeight="false" outlineLevel="0" collapsed="false">
      <c r="A1464" s="9" t="str">
        <f aca="false">Vessels!B18</f>
        <v>Vessel 14</v>
      </c>
      <c r="B1464" s="9" t="s">
        <v>42</v>
      </c>
      <c r="C1464" s="7" t="s">
        <v>47</v>
      </c>
      <c r="D1464" s="9" t="s">
        <v>45</v>
      </c>
      <c r="E1464" s="9" t="s">
        <v>46</v>
      </c>
      <c r="F1464" s="5" t="n">
        <v>60</v>
      </c>
      <c r="G1464" s="10"/>
      <c r="H1464" s="11" t="str">
        <f aca="false">IFERROR(IF($D1464="Manual Review","",IF($G1464="","",IF($D1464="Direct Expiry",$G1464,EDATE($G1464,$F1464)))),"Check Date")</f>
        <v/>
      </c>
      <c r="I1464" s="12" t="str">
        <f aca="true">IF($H1464="","",IF(ISNUMBER($H1464),$H1464-TODAY(),""))</f>
        <v/>
      </c>
      <c r="J1464" s="4" t="str">
        <f aca="true">IF($D1464="Manual Review","Manual Review",IF($G1464="","No Data",IF(NOT(ISNUMBER($H1464)),"N/A",IF($H1464&lt;TODAY(),"Overdue",IF($H1464&lt;=TODAY()+30,"Due within 1 Month",IF($H1464&lt;=TODAY()+60,"Due within 2 Months","OK"))))))</f>
        <v>No Data</v>
      </c>
      <c r="K1464" s="13"/>
    </row>
    <row r="1465" customFormat="false" ht="15" hidden="false" customHeight="false" outlineLevel="0" collapsed="false">
      <c r="A1465" s="9" t="str">
        <f aca="false">Vessels!B18</f>
        <v>Vessel 14</v>
      </c>
      <c r="B1465" s="9" t="s">
        <v>42</v>
      </c>
      <c r="C1465" s="7" t="s">
        <v>48</v>
      </c>
      <c r="D1465" s="9" t="s">
        <v>45</v>
      </c>
      <c r="E1465" s="9" t="s">
        <v>44</v>
      </c>
      <c r="F1465" s="5" t="n">
        <v>12</v>
      </c>
      <c r="G1465" s="10"/>
      <c r="H1465" s="11" t="str">
        <f aca="false">IFERROR(IF($D1465="Manual Review","",IF($G1465="","",IF($D1465="Direct Expiry",$G1465,EDATE($G1465,$F1465)))),"Check Date")</f>
        <v/>
      </c>
      <c r="I1465" s="12" t="str">
        <f aca="true">IF($H1465="","",IF(ISNUMBER($H1465),$H1465-TODAY(),""))</f>
        <v/>
      </c>
      <c r="J1465" s="4" t="str">
        <f aca="true">IF($D1465="Manual Review","Manual Review",IF($G1465="","No Data",IF(NOT(ISNUMBER($H1465)),"N/A",IF($H1465&lt;TODAY(),"Overdue",IF($H1465&lt;=TODAY()+30,"Due within 1 Month",IF($H1465&lt;=TODAY()+60,"Due within 2 Months","OK"))))))</f>
        <v>No Data</v>
      </c>
      <c r="K1465" s="13"/>
    </row>
    <row r="1466" customFormat="false" ht="15" hidden="false" customHeight="false" outlineLevel="0" collapsed="false">
      <c r="A1466" s="9" t="str">
        <f aca="false">Vessels!B18</f>
        <v>Vessel 14</v>
      </c>
      <c r="B1466" s="9" t="s">
        <v>42</v>
      </c>
      <c r="C1466" s="7" t="s">
        <v>48</v>
      </c>
      <c r="D1466" s="9" t="s">
        <v>45</v>
      </c>
      <c r="E1466" s="9" t="s">
        <v>49</v>
      </c>
      <c r="F1466" s="5" t="n">
        <v>60</v>
      </c>
      <c r="G1466" s="10"/>
      <c r="H1466" s="11" t="str">
        <f aca="false">IFERROR(IF($D1466="Manual Review","",IF($G1466="","",IF($D1466="Direct Expiry",$G1466,EDATE($G1466,$F1466)))),"Check Date")</f>
        <v/>
      </c>
      <c r="I1466" s="12" t="str">
        <f aca="true">IF($H1466="","",IF(ISNUMBER($H1466),$H1466-TODAY(),""))</f>
        <v/>
      </c>
      <c r="J1466" s="4" t="str">
        <f aca="true">IF($D1466="Manual Review","Manual Review",IF($G1466="","No Data",IF(NOT(ISNUMBER($H1466)),"N/A",IF($H1466&lt;TODAY(),"Overdue",IF($H1466&lt;=TODAY()+30,"Due within 1 Month",IF($H1466&lt;=TODAY()+60,"Due within 2 Months","OK"))))))</f>
        <v>No Data</v>
      </c>
      <c r="K1466" s="13"/>
    </row>
    <row r="1467" customFormat="false" ht="15" hidden="false" customHeight="false" outlineLevel="0" collapsed="false">
      <c r="A1467" s="9" t="str">
        <f aca="false">Vessels!B18</f>
        <v>Vessel 14</v>
      </c>
      <c r="B1467" s="9" t="s">
        <v>42</v>
      </c>
      <c r="C1467" s="7" t="s">
        <v>50</v>
      </c>
      <c r="D1467" s="9" t="s">
        <v>45</v>
      </c>
      <c r="E1467" s="9" t="s">
        <v>44</v>
      </c>
      <c r="F1467" s="5" t="n">
        <v>12</v>
      </c>
      <c r="G1467" s="10"/>
      <c r="H1467" s="11" t="str">
        <f aca="false">IFERROR(IF($D1467="Manual Review","",IF($G1467="","",IF($D1467="Direct Expiry",$G1467,EDATE($G1467,$F1467)))),"Check Date")</f>
        <v/>
      </c>
      <c r="I1467" s="12" t="str">
        <f aca="true">IF($H1467="","",IF(ISNUMBER($H1467),$H1467-TODAY(),""))</f>
        <v/>
      </c>
      <c r="J1467" s="4" t="str">
        <f aca="true">IF($D1467="Manual Review","Manual Review",IF($G1467="","No Data",IF(NOT(ISNUMBER($H1467)),"N/A",IF($H1467&lt;TODAY(),"Overdue",IF($H1467&lt;=TODAY()+30,"Due within 1 Month",IF($H1467&lt;=TODAY()+60,"Due within 2 Months","OK"))))))</f>
        <v>No Data</v>
      </c>
      <c r="K1467" s="13"/>
    </row>
    <row r="1468" customFormat="false" ht="15" hidden="false" customHeight="false" outlineLevel="0" collapsed="false">
      <c r="A1468" s="9" t="str">
        <f aca="false">Vessels!B18</f>
        <v>Vessel 14</v>
      </c>
      <c r="B1468" s="9" t="s">
        <v>42</v>
      </c>
      <c r="C1468" s="7" t="s">
        <v>50</v>
      </c>
      <c r="D1468" s="9" t="s">
        <v>45</v>
      </c>
      <c r="E1468" s="9" t="s">
        <v>49</v>
      </c>
      <c r="F1468" s="5" t="n">
        <v>60</v>
      </c>
      <c r="G1468" s="10"/>
      <c r="H1468" s="11" t="str">
        <f aca="false">IFERROR(IF($D1468="Manual Review","",IF($G1468="","",IF($D1468="Direct Expiry",$G1468,EDATE($G1468,$F1468)))),"Check Date")</f>
        <v/>
      </c>
      <c r="I1468" s="12" t="str">
        <f aca="true">IF($H1468="","",IF(ISNUMBER($H1468),$H1468-TODAY(),""))</f>
        <v/>
      </c>
      <c r="J1468" s="4" t="str">
        <f aca="true">IF($D1468="Manual Review","Manual Review",IF($G1468="","No Data",IF(NOT(ISNUMBER($H1468)),"N/A",IF($H1468&lt;TODAY(),"Overdue",IF($H1468&lt;=TODAY()+30,"Due within 1 Month",IF($H1468&lt;=TODAY()+60,"Due within 2 Months","OK"))))))</f>
        <v>No Data</v>
      </c>
      <c r="K1468" s="13"/>
    </row>
    <row r="1469" customFormat="false" ht="15" hidden="false" customHeight="false" outlineLevel="0" collapsed="false">
      <c r="A1469" s="9" t="str">
        <f aca="false">Vessels!B18</f>
        <v>Vessel 14</v>
      </c>
      <c r="B1469" s="9" t="s">
        <v>42</v>
      </c>
      <c r="C1469" s="7" t="s">
        <v>51</v>
      </c>
      <c r="D1469" s="9" t="s">
        <v>45</v>
      </c>
      <c r="E1469" s="9" t="s">
        <v>46</v>
      </c>
      <c r="F1469" s="5" t="n">
        <v>60</v>
      </c>
      <c r="G1469" s="10"/>
      <c r="H1469" s="11" t="str">
        <f aca="false">IFERROR(IF($D1469="Manual Review","",IF($G1469="","",IF($D1469="Direct Expiry",$G1469,EDATE($G1469,$F1469)))),"Check Date")</f>
        <v/>
      </c>
      <c r="I1469" s="12" t="str">
        <f aca="true">IF($H1469="","",IF(ISNUMBER($H1469),$H1469-TODAY(),""))</f>
        <v/>
      </c>
      <c r="J1469" s="4" t="str">
        <f aca="true">IF($D1469="Manual Review","Manual Review",IF($G1469="","No Data",IF(NOT(ISNUMBER($H1469)),"N/A",IF($H1469&lt;TODAY(),"Overdue",IF($H1469&lt;=TODAY()+30,"Due within 1 Month",IF($H1469&lt;=TODAY()+60,"Due within 2 Months","OK"))))))</f>
        <v>No Data</v>
      </c>
      <c r="K1469" s="13"/>
    </row>
    <row r="1470" customFormat="false" ht="15" hidden="false" customHeight="false" outlineLevel="0" collapsed="false">
      <c r="A1470" s="9" t="str">
        <f aca="false">Vessels!B18</f>
        <v>Vessel 14</v>
      </c>
      <c r="B1470" s="9" t="s">
        <v>42</v>
      </c>
      <c r="C1470" s="7" t="s">
        <v>52</v>
      </c>
      <c r="D1470" s="9" t="s">
        <v>45</v>
      </c>
      <c r="E1470" s="9" t="s">
        <v>46</v>
      </c>
      <c r="F1470" s="5" t="n">
        <v>60</v>
      </c>
      <c r="G1470" s="10"/>
      <c r="H1470" s="11" t="str">
        <f aca="false">IFERROR(IF($D1470="Manual Review","",IF($G1470="","",IF($D1470="Direct Expiry",$G1470,EDATE($G1470,$F1470)))),"Check Date")</f>
        <v/>
      </c>
      <c r="I1470" s="12" t="str">
        <f aca="true">IF($H1470="","",IF(ISNUMBER($H1470),$H1470-TODAY(),""))</f>
        <v/>
      </c>
      <c r="J1470" s="4" t="str">
        <f aca="true">IF($D1470="Manual Review","Manual Review",IF($G1470="","No Data",IF(NOT(ISNUMBER($H1470)),"N/A",IF($H1470&lt;TODAY(),"Overdue",IF($H1470&lt;=TODAY()+30,"Due within 1 Month",IF($H1470&lt;=TODAY()+60,"Due within 2 Months","OK"))))))</f>
        <v>No Data</v>
      </c>
      <c r="K1470" s="13"/>
    </row>
    <row r="1471" customFormat="false" ht="15" hidden="false" customHeight="false" outlineLevel="0" collapsed="false">
      <c r="A1471" s="9" t="str">
        <f aca="false">Vessels!B18</f>
        <v>Vessel 14</v>
      </c>
      <c r="B1471" s="9" t="s">
        <v>42</v>
      </c>
      <c r="C1471" s="7" t="s">
        <v>53</v>
      </c>
      <c r="D1471" s="9" t="s">
        <v>45</v>
      </c>
      <c r="E1471" s="9" t="s">
        <v>46</v>
      </c>
      <c r="F1471" s="5" t="n">
        <v>60</v>
      </c>
      <c r="G1471" s="10"/>
      <c r="H1471" s="11" t="str">
        <f aca="false">IFERROR(IF($D1471="Manual Review","",IF($G1471="","",IF($D1471="Direct Expiry",$G1471,EDATE($G1471,$F1471)))),"Check Date")</f>
        <v/>
      </c>
      <c r="I1471" s="12" t="str">
        <f aca="true">IF($H1471="","",IF(ISNUMBER($H1471),$H1471-TODAY(),""))</f>
        <v/>
      </c>
      <c r="J1471" s="4" t="str">
        <f aca="true">IF($D1471="Manual Review","Manual Review",IF($G1471="","No Data",IF(NOT(ISNUMBER($H1471)),"N/A",IF($H1471&lt;TODAY(),"Overdue",IF($H1471&lt;=TODAY()+30,"Due within 1 Month",IF($H1471&lt;=TODAY()+60,"Due within 2 Months","OK"))))))</f>
        <v>No Data</v>
      </c>
      <c r="K1471" s="13"/>
    </row>
    <row r="1472" customFormat="false" ht="15" hidden="false" customHeight="false" outlineLevel="0" collapsed="false">
      <c r="A1472" s="9" t="str">
        <f aca="false">Vessels!B18</f>
        <v>Vessel 14</v>
      </c>
      <c r="B1472" s="9" t="s">
        <v>42</v>
      </c>
      <c r="C1472" s="7" t="s">
        <v>54</v>
      </c>
      <c r="D1472" s="9" t="s">
        <v>45</v>
      </c>
      <c r="E1472" s="9" t="s">
        <v>46</v>
      </c>
      <c r="F1472" s="5" t="n">
        <v>60</v>
      </c>
      <c r="G1472" s="10"/>
      <c r="H1472" s="11" t="str">
        <f aca="false">IFERROR(IF($D1472="Manual Review","",IF($G1472="","",IF($D1472="Direct Expiry",$G1472,EDATE($G1472,$F1472)))),"Check Date")</f>
        <v/>
      </c>
      <c r="I1472" s="12" t="str">
        <f aca="true">IF($H1472="","",IF(ISNUMBER($H1472),$H1472-TODAY(),""))</f>
        <v/>
      </c>
      <c r="J1472" s="4" t="str">
        <f aca="true">IF($D1472="Manual Review","Manual Review",IF($G1472="","No Data",IF(NOT(ISNUMBER($H1472)),"N/A",IF($H1472&lt;TODAY(),"Overdue",IF($H1472&lt;=TODAY()+30,"Due within 1 Month",IF($H1472&lt;=TODAY()+60,"Due within 2 Months","OK"))))))</f>
        <v>No Data</v>
      </c>
      <c r="K1472" s="13"/>
    </row>
    <row r="1473" customFormat="false" ht="15" hidden="false" customHeight="false" outlineLevel="0" collapsed="false">
      <c r="A1473" s="9" t="str">
        <f aca="false">Vessels!B18</f>
        <v>Vessel 14</v>
      </c>
      <c r="B1473" s="9" t="s">
        <v>42</v>
      </c>
      <c r="C1473" s="7" t="s">
        <v>55</v>
      </c>
      <c r="D1473" s="9" t="s">
        <v>45</v>
      </c>
      <c r="E1473" s="9" t="s">
        <v>46</v>
      </c>
      <c r="F1473" s="5" t="n">
        <v>60</v>
      </c>
      <c r="G1473" s="10"/>
      <c r="H1473" s="11" t="str">
        <f aca="false">IFERROR(IF($D1473="Manual Review","",IF($G1473="","",IF($D1473="Direct Expiry",$G1473,EDATE($G1473,$F1473)))),"Check Date")</f>
        <v/>
      </c>
      <c r="I1473" s="12" t="str">
        <f aca="true">IF($H1473="","",IF(ISNUMBER($H1473),$H1473-TODAY(),""))</f>
        <v/>
      </c>
      <c r="J1473" s="4" t="str">
        <f aca="true">IF($D1473="Manual Review","Manual Review",IF($G1473="","No Data",IF(NOT(ISNUMBER($H1473)),"N/A",IF($H1473&lt;TODAY(),"Overdue",IF($H1473&lt;=TODAY()+30,"Due within 1 Month",IF($H1473&lt;=TODAY()+60,"Due within 2 Months","OK"))))))</f>
        <v>No Data</v>
      </c>
      <c r="K1473" s="13"/>
    </row>
    <row r="1474" customFormat="false" ht="15" hidden="false" customHeight="false" outlineLevel="0" collapsed="false">
      <c r="A1474" s="9" t="str">
        <f aca="false">Vessels!B18</f>
        <v>Vessel 14</v>
      </c>
      <c r="B1474" s="9" t="s">
        <v>42</v>
      </c>
      <c r="C1474" s="7" t="s">
        <v>56</v>
      </c>
      <c r="D1474" s="9" t="s">
        <v>45</v>
      </c>
      <c r="E1474" s="9" t="s">
        <v>46</v>
      </c>
      <c r="F1474" s="5" t="n">
        <v>60</v>
      </c>
      <c r="G1474" s="10"/>
      <c r="H1474" s="11" t="str">
        <f aca="false">IFERROR(IF($D1474="Manual Review","",IF($G1474="","",IF($D1474="Direct Expiry",$G1474,EDATE($G1474,$F1474)))),"Check Date")</f>
        <v/>
      </c>
      <c r="I1474" s="12" t="str">
        <f aca="true">IF($H1474="","",IF(ISNUMBER($H1474),$H1474-TODAY(),""))</f>
        <v/>
      </c>
      <c r="J1474" s="4" t="str">
        <f aca="true">IF($D1474="Manual Review","Manual Review",IF($G1474="","No Data",IF(NOT(ISNUMBER($H1474)),"N/A",IF($H1474&lt;TODAY(),"Overdue",IF($H1474&lt;=TODAY()+30,"Due within 1 Month",IF($H1474&lt;=TODAY()+60,"Due within 2 Months","OK"))))))</f>
        <v>No Data</v>
      </c>
      <c r="K1474" s="13"/>
    </row>
    <row r="1475" customFormat="false" ht="15" hidden="false" customHeight="false" outlineLevel="0" collapsed="false">
      <c r="A1475" s="9" t="str">
        <f aca="false">Vessels!B18</f>
        <v>Vessel 14</v>
      </c>
      <c r="B1475" s="9" t="s">
        <v>42</v>
      </c>
      <c r="C1475" s="7" t="s">
        <v>57</v>
      </c>
      <c r="D1475" s="9" t="s">
        <v>59</v>
      </c>
      <c r="E1475" s="9" t="s">
        <v>58</v>
      </c>
      <c r="F1475" s="5"/>
      <c r="G1475" s="10"/>
      <c r="H1475" s="11" t="str">
        <f aca="false">IFERROR(IF($D1475="Manual Review","",IF($G1475="","",IF($D1475="Direct Expiry",$G1475,EDATE($G1475,$F1475)))),"Check Date")</f>
        <v/>
      </c>
      <c r="I1475" s="12" t="str">
        <f aca="true">IF($H1475="","",IF(ISNUMBER($H1475),$H1475-TODAY(),""))</f>
        <v/>
      </c>
      <c r="J1475" s="4" t="str">
        <f aca="true">IF($D1475="Manual Review","Manual Review",IF($G1475="","No Data",IF(NOT(ISNUMBER($H1475)),"N/A",IF($H1475&lt;TODAY(),"Overdue",IF($H1475&lt;=TODAY()+30,"Due within 1 Month",IF($H1475&lt;=TODAY()+60,"Due within 2 Months","OK"))))))</f>
        <v>No Data</v>
      </c>
      <c r="K1475" s="13"/>
    </row>
    <row r="1476" customFormat="false" ht="15" hidden="false" customHeight="false" outlineLevel="0" collapsed="false">
      <c r="A1476" s="9" t="str">
        <f aca="false">Vessels!B18</f>
        <v>Vessel 14</v>
      </c>
      <c r="B1476" s="9" t="s">
        <v>42</v>
      </c>
      <c r="C1476" s="7" t="s">
        <v>60</v>
      </c>
      <c r="D1476" s="9" t="s">
        <v>45</v>
      </c>
      <c r="E1476" s="9" t="s">
        <v>44</v>
      </c>
      <c r="F1476" s="5" t="n">
        <v>12</v>
      </c>
      <c r="G1476" s="10"/>
      <c r="H1476" s="11" t="str">
        <f aca="false">IFERROR(IF($D1476="Manual Review","",IF($G1476="","",IF($D1476="Direct Expiry",$G1476,EDATE($G1476,$F1476)))),"Check Date")</f>
        <v/>
      </c>
      <c r="I1476" s="12" t="str">
        <f aca="true">IF($H1476="","",IF(ISNUMBER($H1476),$H1476-TODAY(),""))</f>
        <v/>
      </c>
      <c r="J1476" s="4" t="str">
        <f aca="true">IF($D1476="Manual Review","Manual Review",IF($G1476="","No Data",IF(NOT(ISNUMBER($H1476)),"N/A",IF($H1476&lt;TODAY(),"Overdue",IF($H1476&lt;=TODAY()+30,"Due within 1 Month",IF($H1476&lt;=TODAY()+60,"Due within 2 Months","OK"))))))</f>
        <v>No Data</v>
      </c>
      <c r="K1476" s="13"/>
    </row>
    <row r="1477" customFormat="false" ht="15" hidden="false" customHeight="false" outlineLevel="0" collapsed="false">
      <c r="A1477" s="9" t="str">
        <f aca="false">Vessels!B18</f>
        <v>Vessel 14</v>
      </c>
      <c r="B1477" s="9" t="s">
        <v>42</v>
      </c>
      <c r="C1477" s="7" t="s">
        <v>60</v>
      </c>
      <c r="D1477" s="9" t="s">
        <v>45</v>
      </c>
      <c r="E1477" s="9" t="s">
        <v>46</v>
      </c>
      <c r="F1477" s="5" t="n">
        <v>60</v>
      </c>
      <c r="G1477" s="10"/>
      <c r="H1477" s="11" t="str">
        <f aca="false">IFERROR(IF($D1477="Manual Review","",IF($G1477="","",IF($D1477="Direct Expiry",$G1477,EDATE($G1477,$F1477)))),"Check Date")</f>
        <v/>
      </c>
      <c r="I1477" s="12" t="str">
        <f aca="true">IF($H1477="","",IF(ISNUMBER($H1477),$H1477-TODAY(),""))</f>
        <v/>
      </c>
      <c r="J1477" s="4" t="str">
        <f aca="true">IF($D1477="Manual Review","Manual Review",IF($G1477="","No Data",IF(NOT(ISNUMBER($H1477)),"N/A",IF($H1477&lt;TODAY(),"Overdue",IF($H1477&lt;=TODAY()+30,"Due within 1 Month",IF($H1477&lt;=TODAY()+60,"Due within 2 Months","OK"))))))</f>
        <v>No Data</v>
      </c>
      <c r="K1477" s="13"/>
    </row>
    <row r="1478" customFormat="false" ht="15" hidden="false" customHeight="false" outlineLevel="0" collapsed="false">
      <c r="A1478" s="9" t="str">
        <f aca="false">Vessels!B18</f>
        <v>Vessel 14</v>
      </c>
      <c r="B1478" s="9" t="s">
        <v>42</v>
      </c>
      <c r="C1478" s="7" t="s">
        <v>61</v>
      </c>
      <c r="D1478" s="9" t="s">
        <v>45</v>
      </c>
      <c r="E1478" s="9" t="s">
        <v>44</v>
      </c>
      <c r="F1478" s="5" t="n">
        <v>12</v>
      </c>
      <c r="G1478" s="10"/>
      <c r="H1478" s="11" t="str">
        <f aca="false">IFERROR(IF($D1478="Manual Review","",IF($G1478="","",IF($D1478="Direct Expiry",$G1478,EDATE($G1478,$F1478)))),"Check Date")</f>
        <v/>
      </c>
      <c r="I1478" s="12" t="str">
        <f aca="true">IF($H1478="","",IF(ISNUMBER($H1478),$H1478-TODAY(),""))</f>
        <v/>
      </c>
      <c r="J1478" s="4" t="str">
        <f aca="true">IF($D1478="Manual Review","Manual Review",IF($G1478="","No Data",IF(NOT(ISNUMBER($H1478)),"N/A",IF($H1478&lt;TODAY(),"Overdue",IF($H1478&lt;=TODAY()+30,"Due within 1 Month",IF($H1478&lt;=TODAY()+60,"Due within 2 Months","OK"))))))</f>
        <v>No Data</v>
      </c>
      <c r="K1478" s="13"/>
    </row>
    <row r="1479" customFormat="false" ht="15" hidden="false" customHeight="false" outlineLevel="0" collapsed="false">
      <c r="A1479" s="9" t="str">
        <f aca="false">Vessels!B18</f>
        <v>Vessel 14</v>
      </c>
      <c r="B1479" s="9" t="s">
        <v>42</v>
      </c>
      <c r="C1479" s="7" t="s">
        <v>61</v>
      </c>
      <c r="D1479" s="9" t="s">
        <v>45</v>
      </c>
      <c r="E1479" s="9" t="s">
        <v>46</v>
      </c>
      <c r="F1479" s="5" t="n">
        <v>60</v>
      </c>
      <c r="G1479" s="10"/>
      <c r="H1479" s="11" t="str">
        <f aca="false">IFERROR(IF($D1479="Manual Review","",IF($G1479="","",IF($D1479="Direct Expiry",$G1479,EDATE($G1479,$F1479)))),"Check Date")</f>
        <v/>
      </c>
      <c r="I1479" s="12" t="str">
        <f aca="true">IF($H1479="","",IF(ISNUMBER($H1479),$H1479-TODAY(),""))</f>
        <v/>
      </c>
      <c r="J1479" s="4" t="str">
        <f aca="true">IF($D1479="Manual Review","Manual Review",IF($G1479="","No Data",IF(NOT(ISNUMBER($H1479)),"N/A",IF($H1479&lt;TODAY(),"Overdue",IF($H1479&lt;=TODAY()+30,"Due within 1 Month",IF($H1479&lt;=TODAY()+60,"Due within 2 Months","OK"))))))</f>
        <v>No Data</v>
      </c>
      <c r="K1479" s="13"/>
    </row>
    <row r="1480" customFormat="false" ht="15" hidden="false" customHeight="false" outlineLevel="0" collapsed="false">
      <c r="A1480" s="9" t="str">
        <f aca="false">Vessels!B18</f>
        <v>Vessel 14</v>
      </c>
      <c r="B1480" s="9" t="s">
        <v>42</v>
      </c>
      <c r="C1480" s="7" t="s">
        <v>62</v>
      </c>
      <c r="D1480" s="9" t="s">
        <v>45</v>
      </c>
      <c r="E1480" s="9" t="s">
        <v>44</v>
      </c>
      <c r="F1480" s="5" t="n">
        <v>12</v>
      </c>
      <c r="G1480" s="10"/>
      <c r="H1480" s="11" t="str">
        <f aca="false">IFERROR(IF($D1480="Manual Review","",IF($G1480="","",IF($D1480="Direct Expiry",$G1480,EDATE($G1480,$F1480)))),"Check Date")</f>
        <v/>
      </c>
      <c r="I1480" s="12" t="str">
        <f aca="true">IF($H1480="","",IF(ISNUMBER($H1480),$H1480-TODAY(),""))</f>
        <v/>
      </c>
      <c r="J1480" s="4" t="str">
        <f aca="true">IF($D1480="Manual Review","Manual Review",IF($G1480="","No Data",IF(NOT(ISNUMBER($H1480)),"N/A",IF($H1480&lt;TODAY(),"Overdue",IF($H1480&lt;=TODAY()+30,"Due within 1 Month",IF($H1480&lt;=TODAY()+60,"Due within 2 Months","OK"))))))</f>
        <v>No Data</v>
      </c>
      <c r="K1480" s="13"/>
    </row>
    <row r="1481" customFormat="false" ht="15" hidden="false" customHeight="false" outlineLevel="0" collapsed="false">
      <c r="A1481" s="9" t="str">
        <f aca="false">Vessels!B18</f>
        <v>Vessel 14</v>
      </c>
      <c r="B1481" s="9" t="s">
        <v>42</v>
      </c>
      <c r="C1481" s="7" t="s">
        <v>62</v>
      </c>
      <c r="D1481" s="9" t="s">
        <v>45</v>
      </c>
      <c r="E1481" s="9" t="s">
        <v>49</v>
      </c>
      <c r="F1481" s="5" t="n">
        <v>60</v>
      </c>
      <c r="G1481" s="10"/>
      <c r="H1481" s="11" t="str">
        <f aca="false">IFERROR(IF($D1481="Manual Review","",IF($G1481="","",IF($D1481="Direct Expiry",$G1481,EDATE($G1481,$F1481)))),"Check Date")</f>
        <v/>
      </c>
      <c r="I1481" s="12" t="str">
        <f aca="true">IF($H1481="","",IF(ISNUMBER($H1481),$H1481-TODAY(),""))</f>
        <v/>
      </c>
      <c r="J1481" s="4" t="str">
        <f aca="true">IF($D1481="Manual Review","Manual Review",IF($G1481="","No Data",IF(NOT(ISNUMBER($H1481)),"N/A",IF($H1481&lt;TODAY(),"Overdue",IF($H1481&lt;=TODAY()+30,"Due within 1 Month",IF($H1481&lt;=TODAY()+60,"Due within 2 Months","OK"))))))</f>
        <v>No Data</v>
      </c>
      <c r="K1481" s="13"/>
    </row>
    <row r="1482" customFormat="false" ht="15" hidden="false" customHeight="false" outlineLevel="0" collapsed="false">
      <c r="A1482" s="9" t="str">
        <f aca="false">Vessels!B18</f>
        <v>Vessel 14</v>
      </c>
      <c r="B1482" s="9" t="s">
        <v>42</v>
      </c>
      <c r="C1482" s="7" t="s">
        <v>63</v>
      </c>
      <c r="D1482" s="9" t="s">
        <v>45</v>
      </c>
      <c r="E1482" s="9" t="s">
        <v>44</v>
      </c>
      <c r="F1482" s="5" t="n">
        <v>12</v>
      </c>
      <c r="G1482" s="10"/>
      <c r="H1482" s="11" t="str">
        <f aca="false">IFERROR(IF($D1482="Manual Review","",IF($G1482="","",IF($D1482="Direct Expiry",$G1482,EDATE($G1482,$F1482)))),"Check Date")</f>
        <v/>
      </c>
      <c r="I1482" s="12" t="str">
        <f aca="true">IF($H1482="","",IF(ISNUMBER($H1482),$H1482-TODAY(),""))</f>
        <v/>
      </c>
      <c r="J1482" s="4" t="str">
        <f aca="true">IF($D1482="Manual Review","Manual Review",IF($G1482="","No Data",IF(NOT(ISNUMBER($H1482)),"N/A",IF($H1482&lt;TODAY(),"Overdue",IF($H1482&lt;=TODAY()+30,"Due within 1 Month",IF($H1482&lt;=TODAY()+60,"Due within 2 Months","OK"))))))</f>
        <v>No Data</v>
      </c>
      <c r="K1482" s="13"/>
    </row>
    <row r="1483" customFormat="false" ht="15" hidden="false" customHeight="false" outlineLevel="0" collapsed="false">
      <c r="A1483" s="9" t="str">
        <f aca="false">Vessels!B18</f>
        <v>Vessel 14</v>
      </c>
      <c r="B1483" s="9" t="s">
        <v>42</v>
      </c>
      <c r="C1483" s="7" t="s">
        <v>63</v>
      </c>
      <c r="D1483" s="9" t="s">
        <v>45</v>
      </c>
      <c r="E1483" s="9" t="s">
        <v>49</v>
      </c>
      <c r="F1483" s="5" t="n">
        <v>60</v>
      </c>
      <c r="G1483" s="10"/>
      <c r="H1483" s="11" t="str">
        <f aca="false">IFERROR(IF($D1483="Manual Review","",IF($G1483="","",IF($D1483="Direct Expiry",$G1483,EDATE($G1483,$F1483)))),"Check Date")</f>
        <v/>
      </c>
      <c r="I1483" s="12" t="str">
        <f aca="true">IF($H1483="","",IF(ISNUMBER($H1483),$H1483-TODAY(),""))</f>
        <v/>
      </c>
      <c r="J1483" s="4" t="str">
        <f aca="true">IF($D1483="Manual Review","Manual Review",IF($G1483="","No Data",IF(NOT(ISNUMBER($H1483)),"N/A",IF($H1483&lt;TODAY(),"Overdue",IF($H1483&lt;=TODAY()+30,"Due within 1 Month",IF($H1483&lt;=TODAY()+60,"Due within 2 Months","OK"))))))</f>
        <v>No Data</v>
      </c>
      <c r="K1483" s="13"/>
    </row>
    <row r="1484" customFormat="false" ht="15" hidden="false" customHeight="false" outlineLevel="0" collapsed="false">
      <c r="A1484" s="9" t="str">
        <f aca="false">Vessels!B18</f>
        <v>Vessel 14</v>
      </c>
      <c r="B1484" s="9" t="s">
        <v>42</v>
      </c>
      <c r="C1484" s="7" t="s">
        <v>64</v>
      </c>
      <c r="D1484" s="9" t="s">
        <v>45</v>
      </c>
      <c r="E1484" s="9" t="s">
        <v>46</v>
      </c>
      <c r="F1484" s="5" t="n">
        <v>60</v>
      </c>
      <c r="G1484" s="10"/>
      <c r="H1484" s="11" t="str">
        <f aca="false">IFERROR(IF($D1484="Manual Review","",IF($G1484="","",IF($D1484="Direct Expiry",$G1484,EDATE($G1484,$F1484)))),"Check Date")</f>
        <v/>
      </c>
      <c r="I1484" s="12" t="str">
        <f aca="true">IF($H1484="","",IF(ISNUMBER($H1484),$H1484-TODAY(),""))</f>
        <v/>
      </c>
      <c r="J1484" s="4" t="str">
        <f aca="true">IF($D1484="Manual Review","Manual Review",IF($G1484="","No Data",IF(NOT(ISNUMBER($H1484)),"N/A",IF($H1484&lt;TODAY(),"Overdue",IF($H1484&lt;=TODAY()+30,"Due within 1 Month",IF($H1484&lt;=TODAY()+60,"Due within 2 Months","OK"))))))</f>
        <v>No Data</v>
      </c>
      <c r="K1484" s="13"/>
    </row>
    <row r="1485" customFormat="false" ht="15" hidden="false" customHeight="false" outlineLevel="0" collapsed="false">
      <c r="A1485" s="9" t="str">
        <f aca="false">Vessels!B18</f>
        <v>Vessel 14</v>
      </c>
      <c r="B1485" s="9" t="s">
        <v>42</v>
      </c>
      <c r="C1485" s="7" t="s">
        <v>65</v>
      </c>
      <c r="D1485" s="9" t="s">
        <v>45</v>
      </c>
      <c r="E1485" s="9" t="s">
        <v>46</v>
      </c>
      <c r="F1485" s="5" t="n">
        <v>60</v>
      </c>
      <c r="G1485" s="10"/>
      <c r="H1485" s="11" t="str">
        <f aca="false">IFERROR(IF($D1485="Manual Review","",IF($G1485="","",IF($D1485="Direct Expiry",$G1485,EDATE($G1485,$F1485)))),"Check Date")</f>
        <v/>
      </c>
      <c r="I1485" s="12" t="str">
        <f aca="true">IF($H1485="","",IF(ISNUMBER($H1485),$H1485-TODAY(),""))</f>
        <v/>
      </c>
      <c r="J1485" s="4" t="str">
        <f aca="true">IF($D1485="Manual Review","Manual Review",IF($G1485="","No Data",IF(NOT(ISNUMBER($H1485)),"N/A",IF($H1485&lt;TODAY(),"Overdue",IF($H1485&lt;=TODAY()+30,"Due within 1 Month",IF($H1485&lt;=TODAY()+60,"Due within 2 Months","OK"))))))</f>
        <v>No Data</v>
      </c>
      <c r="K1485" s="13"/>
    </row>
    <row r="1486" customFormat="false" ht="15" hidden="false" customHeight="false" outlineLevel="0" collapsed="false">
      <c r="A1486" s="9" t="str">
        <f aca="false">Vessels!B18</f>
        <v>Vessel 14</v>
      </c>
      <c r="B1486" s="9" t="s">
        <v>42</v>
      </c>
      <c r="C1486" s="7" t="s">
        <v>66</v>
      </c>
      <c r="D1486" s="9" t="s">
        <v>45</v>
      </c>
      <c r="E1486" s="9" t="s">
        <v>46</v>
      </c>
      <c r="F1486" s="5" t="n">
        <v>60</v>
      </c>
      <c r="G1486" s="10"/>
      <c r="H1486" s="11" t="str">
        <f aca="false">IFERROR(IF($D1486="Manual Review","",IF($G1486="","",IF($D1486="Direct Expiry",$G1486,EDATE($G1486,$F1486)))),"Check Date")</f>
        <v/>
      </c>
      <c r="I1486" s="12" t="str">
        <f aca="true">IF($H1486="","",IF(ISNUMBER($H1486),$H1486-TODAY(),""))</f>
        <v/>
      </c>
      <c r="J1486" s="4" t="str">
        <f aca="true">IF($D1486="Manual Review","Manual Review",IF($G1486="","No Data",IF(NOT(ISNUMBER($H1486)),"N/A",IF($H1486&lt;TODAY(),"Overdue",IF($H1486&lt;=TODAY()+30,"Due within 1 Month",IF($H1486&lt;=TODAY()+60,"Due within 2 Months","OK"))))))</f>
        <v>No Data</v>
      </c>
      <c r="K1486" s="13"/>
    </row>
    <row r="1487" customFormat="false" ht="15" hidden="false" customHeight="false" outlineLevel="0" collapsed="false">
      <c r="A1487" s="9" t="str">
        <f aca="false">Vessels!B18</f>
        <v>Vessel 14</v>
      </c>
      <c r="B1487" s="9" t="s">
        <v>42</v>
      </c>
      <c r="C1487" s="7" t="s">
        <v>67</v>
      </c>
      <c r="D1487" s="9" t="s">
        <v>45</v>
      </c>
      <c r="E1487" s="9" t="s">
        <v>46</v>
      </c>
      <c r="F1487" s="5" t="n">
        <v>60</v>
      </c>
      <c r="G1487" s="10"/>
      <c r="H1487" s="11" t="str">
        <f aca="false">IFERROR(IF($D1487="Manual Review","",IF($G1487="","",IF($D1487="Direct Expiry",$G1487,EDATE($G1487,$F1487)))),"Check Date")</f>
        <v/>
      </c>
      <c r="I1487" s="12" t="str">
        <f aca="true">IF($H1487="","",IF(ISNUMBER($H1487),$H1487-TODAY(),""))</f>
        <v/>
      </c>
      <c r="J1487" s="4" t="str">
        <f aca="true">IF($D1487="Manual Review","Manual Review",IF($G1487="","No Data",IF(NOT(ISNUMBER($H1487)),"N/A",IF($H1487&lt;TODAY(),"Overdue",IF($H1487&lt;=TODAY()+30,"Due within 1 Month",IF($H1487&lt;=TODAY()+60,"Due within 2 Months","OK"))))))</f>
        <v>No Data</v>
      </c>
      <c r="K1487" s="13"/>
    </row>
    <row r="1488" customFormat="false" ht="15" hidden="false" customHeight="false" outlineLevel="0" collapsed="false">
      <c r="A1488" s="9" t="str">
        <f aca="false">Vessels!B18</f>
        <v>Vessel 14</v>
      </c>
      <c r="B1488" s="9" t="s">
        <v>42</v>
      </c>
      <c r="C1488" s="7" t="s">
        <v>68</v>
      </c>
      <c r="D1488" s="9" t="s">
        <v>45</v>
      </c>
      <c r="E1488" s="9" t="s">
        <v>46</v>
      </c>
      <c r="F1488" s="5" t="n">
        <v>60</v>
      </c>
      <c r="G1488" s="10"/>
      <c r="H1488" s="11" t="str">
        <f aca="false">IFERROR(IF($D1488="Manual Review","",IF($G1488="","",IF($D1488="Direct Expiry",$G1488,EDATE($G1488,$F1488)))),"Check Date")</f>
        <v/>
      </c>
      <c r="I1488" s="12" t="str">
        <f aca="true">IF($H1488="","",IF(ISNUMBER($H1488),$H1488-TODAY(),""))</f>
        <v/>
      </c>
      <c r="J1488" s="4" t="str">
        <f aca="true">IF($D1488="Manual Review","Manual Review",IF($G1488="","No Data",IF(NOT(ISNUMBER($H1488)),"N/A",IF($H1488&lt;TODAY(),"Overdue",IF($H1488&lt;=TODAY()+30,"Due within 1 Month",IF($H1488&lt;=TODAY()+60,"Due within 2 Months","OK"))))))</f>
        <v>No Data</v>
      </c>
      <c r="K1488" s="13"/>
    </row>
    <row r="1489" customFormat="false" ht="15" hidden="false" customHeight="false" outlineLevel="0" collapsed="false">
      <c r="A1489" s="9" t="str">
        <f aca="false">Vessels!B18</f>
        <v>Vessel 14</v>
      </c>
      <c r="B1489" s="9" t="s">
        <v>42</v>
      </c>
      <c r="C1489" s="7" t="s">
        <v>69</v>
      </c>
      <c r="D1489" s="9" t="s">
        <v>45</v>
      </c>
      <c r="E1489" s="9" t="s">
        <v>46</v>
      </c>
      <c r="F1489" s="5" t="n">
        <v>60</v>
      </c>
      <c r="G1489" s="10"/>
      <c r="H1489" s="11" t="str">
        <f aca="false">IFERROR(IF($D1489="Manual Review","",IF($G1489="","",IF($D1489="Direct Expiry",$G1489,EDATE($G1489,$F1489)))),"Check Date")</f>
        <v/>
      </c>
      <c r="I1489" s="12" t="str">
        <f aca="true">IF($H1489="","",IF(ISNUMBER($H1489),$H1489-TODAY(),""))</f>
        <v/>
      </c>
      <c r="J1489" s="4" t="str">
        <f aca="true">IF($D1489="Manual Review","Manual Review",IF($G1489="","No Data",IF(NOT(ISNUMBER($H1489)),"N/A",IF($H1489&lt;TODAY(),"Overdue",IF($H1489&lt;=TODAY()+30,"Due within 1 Month",IF($H1489&lt;=TODAY()+60,"Due within 2 Months","OK"))))))</f>
        <v>No Data</v>
      </c>
      <c r="K1489" s="13"/>
    </row>
    <row r="1490" customFormat="false" ht="15" hidden="false" customHeight="false" outlineLevel="0" collapsed="false">
      <c r="A1490" s="9" t="str">
        <f aca="false">Vessels!B18</f>
        <v>Vessel 14</v>
      </c>
      <c r="B1490" s="9" t="s">
        <v>42</v>
      </c>
      <c r="C1490" s="7" t="s">
        <v>70</v>
      </c>
      <c r="D1490" s="9" t="s">
        <v>59</v>
      </c>
      <c r="E1490" s="9" t="s">
        <v>58</v>
      </c>
      <c r="F1490" s="5"/>
      <c r="G1490" s="10"/>
      <c r="H1490" s="11" t="str">
        <f aca="false">IFERROR(IF($D1490="Manual Review","",IF($G1490="","",IF($D1490="Direct Expiry",$G1490,EDATE($G1490,$F1490)))),"Check Date")</f>
        <v/>
      </c>
      <c r="I1490" s="12" t="str">
        <f aca="true">IF($H1490="","",IF(ISNUMBER($H1490),$H1490-TODAY(),""))</f>
        <v/>
      </c>
      <c r="J1490" s="4" t="str">
        <f aca="true">IF($D1490="Manual Review","Manual Review",IF($G1490="","No Data",IF(NOT(ISNUMBER($H1490)),"N/A",IF($H1490&lt;TODAY(),"Overdue",IF($H1490&lt;=TODAY()+30,"Due within 1 Month",IF($H1490&lt;=TODAY()+60,"Due within 2 Months","OK"))))))</f>
        <v>No Data</v>
      </c>
      <c r="K1490" s="13"/>
    </row>
    <row r="1491" customFormat="false" ht="15" hidden="false" customHeight="false" outlineLevel="0" collapsed="false">
      <c r="A1491" s="9" t="str">
        <f aca="false">Vessels!B18</f>
        <v>Vessel 14</v>
      </c>
      <c r="B1491" s="9" t="s">
        <v>42</v>
      </c>
      <c r="C1491" s="7" t="s">
        <v>71</v>
      </c>
      <c r="D1491" s="9" t="s">
        <v>45</v>
      </c>
      <c r="E1491" s="9" t="s">
        <v>44</v>
      </c>
      <c r="F1491" s="5" t="n">
        <v>12</v>
      </c>
      <c r="G1491" s="10"/>
      <c r="H1491" s="11" t="str">
        <f aca="false">IFERROR(IF($D1491="Manual Review","",IF($G1491="","",IF($D1491="Direct Expiry",$G1491,EDATE($G1491,$F1491)))),"Check Date")</f>
        <v/>
      </c>
      <c r="I1491" s="12" t="str">
        <f aca="true">IF($H1491="","",IF(ISNUMBER($H1491),$H1491-TODAY(),""))</f>
        <v/>
      </c>
      <c r="J1491" s="4" t="str">
        <f aca="true">IF($D1491="Manual Review","Manual Review",IF($G1491="","No Data",IF(NOT(ISNUMBER($H1491)),"N/A",IF($H1491&lt;TODAY(),"Overdue",IF($H1491&lt;=TODAY()+30,"Due within 1 Month",IF($H1491&lt;=TODAY()+60,"Due within 2 Months","OK"))))))</f>
        <v>No Data</v>
      </c>
      <c r="K1491" s="13"/>
    </row>
    <row r="1492" customFormat="false" ht="15" hidden="false" customHeight="false" outlineLevel="0" collapsed="false">
      <c r="A1492" s="9" t="str">
        <f aca="false">Vessels!B18</f>
        <v>Vessel 14</v>
      </c>
      <c r="B1492" s="9" t="s">
        <v>42</v>
      </c>
      <c r="C1492" s="7" t="s">
        <v>72</v>
      </c>
      <c r="D1492" s="9" t="s">
        <v>59</v>
      </c>
      <c r="E1492" s="9" t="s">
        <v>58</v>
      </c>
      <c r="F1492" s="5"/>
      <c r="G1492" s="10"/>
      <c r="H1492" s="11" t="str">
        <f aca="false">IFERROR(IF($D1492="Manual Review","",IF($G1492="","",IF($D1492="Direct Expiry",$G1492,EDATE($G1492,$F1492)))),"Check Date")</f>
        <v/>
      </c>
      <c r="I1492" s="12" t="str">
        <f aca="true">IF($H1492="","",IF(ISNUMBER($H1492),$H1492-TODAY(),""))</f>
        <v/>
      </c>
      <c r="J1492" s="4" t="str">
        <f aca="true">IF($D1492="Manual Review","Manual Review",IF($G1492="","No Data",IF(NOT(ISNUMBER($H1492)),"N/A",IF($H1492&lt;TODAY(),"Overdue",IF($H1492&lt;=TODAY()+30,"Due within 1 Month",IF($H1492&lt;=TODAY()+60,"Due within 2 Months","OK"))))))</f>
        <v>No Data</v>
      </c>
      <c r="K1492" s="13"/>
    </row>
    <row r="1493" customFormat="false" ht="15" hidden="false" customHeight="false" outlineLevel="0" collapsed="false">
      <c r="A1493" s="9" t="str">
        <f aca="false">Vessels!B18</f>
        <v>Vessel 14</v>
      </c>
      <c r="B1493" s="9" t="s">
        <v>42</v>
      </c>
      <c r="C1493" s="7" t="s">
        <v>73</v>
      </c>
      <c r="D1493" s="9" t="s">
        <v>45</v>
      </c>
      <c r="E1493" s="9" t="s">
        <v>44</v>
      </c>
      <c r="F1493" s="5" t="n">
        <v>12</v>
      </c>
      <c r="G1493" s="10"/>
      <c r="H1493" s="11" t="str">
        <f aca="false">IFERROR(IF($D1493="Manual Review","",IF($G1493="","",IF($D1493="Direct Expiry",$G1493,EDATE($G1493,$F1493)))),"Check Date")</f>
        <v/>
      </c>
      <c r="I1493" s="12" t="str">
        <f aca="true">IF($H1493="","",IF(ISNUMBER($H1493),$H1493-TODAY(),""))</f>
        <v/>
      </c>
      <c r="J1493" s="4" t="str">
        <f aca="true">IF($D1493="Manual Review","Manual Review",IF($G1493="","No Data",IF(NOT(ISNUMBER($H1493)),"N/A",IF($H1493&lt;TODAY(),"Overdue",IF($H1493&lt;=TODAY()+30,"Due within 1 Month",IF($H1493&lt;=TODAY()+60,"Due within 2 Months","OK"))))))</f>
        <v>No Data</v>
      </c>
      <c r="K1493" s="13"/>
    </row>
    <row r="1494" customFormat="false" ht="15" hidden="false" customHeight="false" outlineLevel="0" collapsed="false">
      <c r="A1494" s="9" t="str">
        <f aca="false">Vessels!B18</f>
        <v>Vessel 14</v>
      </c>
      <c r="B1494" s="9" t="s">
        <v>42</v>
      </c>
      <c r="C1494" s="7" t="s">
        <v>74</v>
      </c>
      <c r="D1494" s="9" t="s">
        <v>59</v>
      </c>
      <c r="E1494" s="9" t="s">
        <v>58</v>
      </c>
      <c r="F1494" s="5"/>
      <c r="G1494" s="10"/>
      <c r="H1494" s="11" t="str">
        <f aca="false">IFERROR(IF($D1494="Manual Review","",IF($G1494="","",IF($D1494="Direct Expiry",$G1494,EDATE($G1494,$F1494)))),"Check Date")</f>
        <v/>
      </c>
      <c r="I1494" s="12" t="str">
        <f aca="true">IF($H1494="","",IF(ISNUMBER($H1494),$H1494-TODAY(),""))</f>
        <v/>
      </c>
      <c r="J1494" s="4" t="str">
        <f aca="true">IF($D1494="Manual Review","Manual Review",IF($G1494="","No Data",IF(NOT(ISNUMBER($H1494)),"N/A",IF($H1494&lt;TODAY(),"Overdue",IF($H1494&lt;=TODAY()+30,"Due within 1 Month",IF($H1494&lt;=TODAY()+60,"Due within 2 Months","OK"))))))</f>
        <v>No Data</v>
      </c>
      <c r="K1494" s="13"/>
    </row>
    <row r="1495" customFormat="false" ht="15" hidden="false" customHeight="false" outlineLevel="0" collapsed="false">
      <c r="A1495" s="9" t="str">
        <f aca="false">Vessels!B18</f>
        <v>Vessel 14</v>
      </c>
      <c r="B1495" s="9" t="s">
        <v>42</v>
      </c>
      <c r="C1495" s="7" t="s">
        <v>75</v>
      </c>
      <c r="D1495" s="9" t="s">
        <v>45</v>
      </c>
      <c r="E1495" s="9" t="s">
        <v>44</v>
      </c>
      <c r="F1495" s="5" t="n">
        <v>12</v>
      </c>
      <c r="G1495" s="10"/>
      <c r="H1495" s="11" t="str">
        <f aca="false">IFERROR(IF($D1495="Manual Review","",IF($G1495="","",IF($D1495="Direct Expiry",$G1495,EDATE($G1495,$F1495)))),"Check Date")</f>
        <v/>
      </c>
      <c r="I1495" s="12" t="str">
        <f aca="true">IF($H1495="","",IF(ISNUMBER($H1495),$H1495-TODAY(),""))</f>
        <v/>
      </c>
      <c r="J1495" s="4" t="str">
        <f aca="true">IF($D1495="Manual Review","Manual Review",IF($G1495="","No Data",IF(NOT(ISNUMBER($H1495)),"N/A",IF($H1495&lt;TODAY(),"Overdue",IF($H1495&lt;=TODAY()+30,"Due within 1 Month",IF($H1495&lt;=TODAY()+60,"Due within 2 Months","OK"))))))</f>
        <v>No Data</v>
      </c>
      <c r="K1495" s="13"/>
    </row>
    <row r="1496" customFormat="false" ht="15" hidden="false" customHeight="false" outlineLevel="0" collapsed="false">
      <c r="A1496" s="9" t="str">
        <f aca="false">Vessels!B18</f>
        <v>Vessel 14</v>
      </c>
      <c r="B1496" s="9" t="s">
        <v>42</v>
      </c>
      <c r="C1496" s="7" t="s">
        <v>76</v>
      </c>
      <c r="D1496" s="9" t="s">
        <v>59</v>
      </c>
      <c r="E1496" s="9" t="s">
        <v>58</v>
      </c>
      <c r="F1496" s="5"/>
      <c r="G1496" s="10"/>
      <c r="H1496" s="11" t="str">
        <f aca="false">IFERROR(IF($D1496="Manual Review","",IF($G1496="","",IF($D1496="Direct Expiry",$G1496,EDATE($G1496,$F1496)))),"Check Date")</f>
        <v/>
      </c>
      <c r="I1496" s="12" t="str">
        <f aca="true">IF($H1496="","",IF(ISNUMBER($H1496),$H1496-TODAY(),""))</f>
        <v/>
      </c>
      <c r="J1496" s="4" t="str">
        <f aca="true">IF($D1496="Manual Review","Manual Review",IF($G1496="","No Data",IF(NOT(ISNUMBER($H1496)),"N/A",IF($H1496&lt;TODAY(),"Overdue",IF($H1496&lt;=TODAY()+30,"Due within 1 Month",IF($H1496&lt;=TODAY()+60,"Due within 2 Months","OK"))))))</f>
        <v>No Data</v>
      </c>
      <c r="K1496" s="13"/>
    </row>
    <row r="1497" customFormat="false" ht="15" hidden="false" customHeight="false" outlineLevel="0" collapsed="false">
      <c r="A1497" s="9" t="str">
        <f aca="false">Vessels!B18</f>
        <v>Vessel 14</v>
      </c>
      <c r="B1497" s="9" t="s">
        <v>42</v>
      </c>
      <c r="C1497" s="7" t="s">
        <v>77</v>
      </c>
      <c r="D1497" s="9" t="s">
        <v>59</v>
      </c>
      <c r="E1497" s="9" t="s">
        <v>58</v>
      </c>
      <c r="F1497" s="5"/>
      <c r="G1497" s="10"/>
      <c r="H1497" s="11" t="str">
        <f aca="false">IFERROR(IF($D1497="Manual Review","",IF($G1497="","",IF($D1497="Direct Expiry",$G1497,EDATE($G1497,$F1497)))),"Check Date")</f>
        <v/>
      </c>
      <c r="I1497" s="12" t="str">
        <f aca="true">IF($H1497="","",IF(ISNUMBER($H1497),$H1497-TODAY(),""))</f>
        <v/>
      </c>
      <c r="J1497" s="4" t="str">
        <f aca="true">IF($D1497="Manual Review","Manual Review",IF($G1497="","No Data",IF(NOT(ISNUMBER($H1497)),"N/A",IF($H1497&lt;TODAY(),"Overdue",IF($H1497&lt;=TODAY()+30,"Due within 1 Month",IF($H1497&lt;=TODAY()+60,"Due within 2 Months","OK"))))))</f>
        <v>No Data</v>
      </c>
      <c r="K1497" s="13"/>
    </row>
    <row r="1498" customFormat="false" ht="15" hidden="false" customHeight="false" outlineLevel="0" collapsed="false">
      <c r="A1498" s="9" t="str">
        <f aca="false">Vessels!B18</f>
        <v>Vessel 14</v>
      </c>
      <c r="B1498" s="9" t="s">
        <v>42</v>
      </c>
      <c r="C1498" s="7" t="s">
        <v>78</v>
      </c>
      <c r="D1498" s="9" t="s">
        <v>59</v>
      </c>
      <c r="E1498" s="9" t="s">
        <v>58</v>
      </c>
      <c r="F1498" s="5"/>
      <c r="G1498" s="10"/>
      <c r="H1498" s="11" t="str">
        <f aca="false">IFERROR(IF($D1498="Manual Review","",IF($G1498="","",IF($D1498="Direct Expiry",$G1498,EDATE($G1498,$F1498)))),"Check Date")</f>
        <v/>
      </c>
      <c r="I1498" s="12" t="str">
        <f aca="true">IF($H1498="","",IF(ISNUMBER($H1498),$H1498-TODAY(),""))</f>
        <v/>
      </c>
      <c r="J1498" s="4" t="str">
        <f aca="true">IF($D1498="Manual Review","Manual Review",IF($G1498="","No Data",IF(NOT(ISNUMBER($H1498)),"N/A",IF($H1498&lt;TODAY(),"Overdue",IF($H1498&lt;=TODAY()+30,"Due within 1 Month",IF($H1498&lt;=TODAY()+60,"Due within 2 Months","OK"))))))</f>
        <v>No Data</v>
      </c>
      <c r="K1498" s="13"/>
    </row>
    <row r="1499" customFormat="false" ht="15" hidden="false" customHeight="false" outlineLevel="0" collapsed="false">
      <c r="A1499" s="9" t="str">
        <f aca="false">Vessels!B18</f>
        <v>Vessel 14</v>
      </c>
      <c r="B1499" s="9" t="s">
        <v>42</v>
      </c>
      <c r="C1499" s="7" t="s">
        <v>79</v>
      </c>
      <c r="D1499" s="9" t="s">
        <v>45</v>
      </c>
      <c r="E1499" s="9" t="s">
        <v>44</v>
      </c>
      <c r="F1499" s="5" t="n">
        <v>12</v>
      </c>
      <c r="G1499" s="10"/>
      <c r="H1499" s="11" t="str">
        <f aca="false">IFERROR(IF($D1499="Manual Review","",IF($G1499="","",IF($D1499="Direct Expiry",$G1499,EDATE($G1499,$F1499)))),"Check Date")</f>
        <v/>
      </c>
      <c r="I1499" s="12" t="str">
        <f aca="true">IF($H1499="","",IF(ISNUMBER($H1499),$H1499-TODAY(),""))</f>
        <v/>
      </c>
      <c r="J1499" s="4" t="str">
        <f aca="true">IF($D1499="Manual Review","Manual Review",IF($G1499="","No Data",IF(NOT(ISNUMBER($H1499)),"N/A",IF($H1499&lt;TODAY(),"Overdue",IF($H1499&lt;=TODAY()+30,"Due within 1 Month",IF($H1499&lt;=TODAY()+60,"Due within 2 Months","OK"))))))</f>
        <v>No Data</v>
      </c>
      <c r="K1499" s="13"/>
    </row>
    <row r="1500" customFormat="false" ht="15" hidden="false" customHeight="false" outlineLevel="0" collapsed="false">
      <c r="A1500" s="9" t="str">
        <f aca="false">Vessels!B18</f>
        <v>Vessel 14</v>
      </c>
      <c r="B1500" s="9" t="s">
        <v>42</v>
      </c>
      <c r="C1500" s="7" t="s">
        <v>80</v>
      </c>
      <c r="D1500" s="9" t="s">
        <v>45</v>
      </c>
      <c r="E1500" s="9" t="s">
        <v>81</v>
      </c>
      <c r="F1500" s="5" t="n">
        <v>36</v>
      </c>
      <c r="G1500" s="10"/>
      <c r="H1500" s="11" t="str">
        <f aca="false">IFERROR(IF($D1500="Manual Review","",IF($G1500="","",IF($D1500="Direct Expiry",$G1500,EDATE($G1500,$F1500)))),"Check Date")</f>
        <v/>
      </c>
      <c r="I1500" s="12" t="str">
        <f aca="true">IF($H1500="","",IF(ISNUMBER($H1500),$H1500-TODAY(),""))</f>
        <v/>
      </c>
      <c r="J1500" s="4" t="str">
        <f aca="true">IF($D1500="Manual Review","Manual Review",IF($G1500="","No Data",IF(NOT(ISNUMBER($H1500)),"N/A",IF($H1500&lt;TODAY(),"Overdue",IF($H1500&lt;=TODAY()+30,"Due within 1 Month",IF($H1500&lt;=TODAY()+60,"Due within 2 Months","OK"))))))</f>
        <v>No Data</v>
      </c>
      <c r="K1500" s="13"/>
    </row>
    <row r="1501" customFormat="false" ht="15" hidden="false" customHeight="false" outlineLevel="0" collapsed="false">
      <c r="A1501" s="9" t="str">
        <f aca="false">Vessels!B18</f>
        <v>Vessel 14</v>
      </c>
      <c r="B1501" s="9" t="s">
        <v>42</v>
      </c>
      <c r="C1501" s="7" t="s">
        <v>80</v>
      </c>
      <c r="D1501" s="9" t="s">
        <v>45</v>
      </c>
      <c r="E1501" s="9" t="s">
        <v>82</v>
      </c>
      <c r="F1501" s="5" t="n">
        <v>24</v>
      </c>
      <c r="G1501" s="10"/>
      <c r="H1501" s="11" t="str">
        <f aca="false">IFERROR(IF($D1501="Manual Review","",IF($G1501="","",IF($D1501="Direct Expiry",$G1501,EDATE($G1501,$F1501)))),"Check Date")</f>
        <v/>
      </c>
      <c r="I1501" s="12" t="str">
        <f aca="true">IF($H1501="","",IF(ISNUMBER($H1501),$H1501-TODAY(),""))</f>
        <v/>
      </c>
      <c r="J1501" s="4" t="str">
        <f aca="true">IF($D1501="Manual Review","Manual Review",IF($G1501="","No Data",IF(NOT(ISNUMBER($H1501)),"N/A",IF($H1501&lt;TODAY(),"Overdue",IF($H1501&lt;=TODAY()+30,"Due within 1 Month",IF($H1501&lt;=TODAY()+60,"Due within 2 Months","OK"))))))</f>
        <v>No Data</v>
      </c>
      <c r="K1501" s="13"/>
    </row>
    <row r="1502" customFormat="false" ht="15" hidden="false" customHeight="false" outlineLevel="0" collapsed="false">
      <c r="A1502" s="9" t="str">
        <f aca="false">Vessels!B18</f>
        <v>Vessel 14</v>
      </c>
      <c r="B1502" s="9" t="s">
        <v>42</v>
      </c>
      <c r="C1502" s="7" t="s">
        <v>83</v>
      </c>
      <c r="D1502" s="9" t="s">
        <v>45</v>
      </c>
      <c r="E1502" s="9" t="s">
        <v>44</v>
      </c>
      <c r="F1502" s="5" t="n">
        <v>12</v>
      </c>
      <c r="G1502" s="10"/>
      <c r="H1502" s="11" t="str">
        <f aca="false">IFERROR(IF($D1502="Manual Review","",IF($G1502="","",IF($D1502="Direct Expiry",$G1502,EDATE($G1502,$F1502)))),"Check Date")</f>
        <v/>
      </c>
      <c r="I1502" s="12" t="str">
        <f aca="true">IF($H1502="","",IF(ISNUMBER($H1502),$H1502-TODAY(),""))</f>
        <v/>
      </c>
      <c r="J1502" s="4" t="str">
        <f aca="true">IF($D1502="Manual Review","Manual Review",IF($G1502="","No Data",IF(NOT(ISNUMBER($H1502)),"N/A",IF($H1502&lt;TODAY(),"Overdue",IF($H1502&lt;=TODAY()+30,"Due within 1 Month",IF($H1502&lt;=TODAY()+60,"Due within 2 Months","OK"))))))</f>
        <v>No Data</v>
      </c>
      <c r="K1502" s="13"/>
    </row>
    <row r="1503" customFormat="false" ht="15" hidden="false" customHeight="false" outlineLevel="0" collapsed="false">
      <c r="A1503" s="9" t="str">
        <f aca="false">Vessels!B18</f>
        <v>Vessel 14</v>
      </c>
      <c r="B1503" s="9" t="s">
        <v>42</v>
      </c>
      <c r="C1503" s="7" t="s">
        <v>83</v>
      </c>
      <c r="D1503" s="9" t="s">
        <v>45</v>
      </c>
      <c r="E1503" s="9" t="s">
        <v>84</v>
      </c>
      <c r="F1503" s="5" t="n">
        <v>60</v>
      </c>
      <c r="G1503" s="10"/>
      <c r="H1503" s="11" t="str">
        <f aca="false">IFERROR(IF($D1503="Manual Review","",IF($G1503="","",IF($D1503="Direct Expiry",$G1503,EDATE($G1503,$F1503)))),"Check Date")</f>
        <v/>
      </c>
      <c r="I1503" s="12" t="str">
        <f aca="true">IF($H1503="","",IF(ISNUMBER($H1503),$H1503-TODAY(),""))</f>
        <v/>
      </c>
      <c r="J1503" s="4" t="str">
        <f aca="true">IF($D1503="Manual Review","Manual Review",IF($G1503="","No Data",IF(NOT(ISNUMBER($H1503)),"N/A",IF($H1503&lt;TODAY(),"Overdue",IF($H1503&lt;=TODAY()+30,"Due within 1 Month",IF($H1503&lt;=TODAY()+60,"Due within 2 Months","OK"))))))</f>
        <v>No Data</v>
      </c>
      <c r="K1503" s="13"/>
    </row>
    <row r="1504" customFormat="false" ht="15" hidden="false" customHeight="false" outlineLevel="0" collapsed="false">
      <c r="A1504" s="9" t="str">
        <f aca="false">Vessels!B18</f>
        <v>Vessel 14</v>
      </c>
      <c r="B1504" s="9" t="s">
        <v>42</v>
      </c>
      <c r="C1504" s="7" t="s">
        <v>85</v>
      </c>
      <c r="D1504" s="9" t="s">
        <v>45</v>
      </c>
      <c r="E1504" s="9" t="s">
        <v>44</v>
      </c>
      <c r="F1504" s="5" t="n">
        <v>12</v>
      </c>
      <c r="G1504" s="10"/>
      <c r="H1504" s="11" t="str">
        <f aca="false">IFERROR(IF($D1504="Manual Review","",IF($G1504="","",IF($D1504="Direct Expiry",$G1504,EDATE($G1504,$F1504)))),"Check Date")</f>
        <v/>
      </c>
      <c r="I1504" s="12" t="str">
        <f aca="true">IF($H1504="","",IF(ISNUMBER($H1504),$H1504-TODAY(),""))</f>
        <v/>
      </c>
      <c r="J1504" s="4" t="str">
        <f aca="true">IF($D1504="Manual Review","Manual Review",IF($G1504="","No Data",IF(NOT(ISNUMBER($H1504)),"N/A",IF($H1504&lt;TODAY(),"Overdue",IF($H1504&lt;=TODAY()+30,"Due within 1 Month",IF($H1504&lt;=TODAY()+60,"Due within 2 Months","OK"))))))</f>
        <v>No Data</v>
      </c>
      <c r="K1504" s="13"/>
    </row>
    <row r="1505" customFormat="false" ht="15" hidden="false" customHeight="false" outlineLevel="0" collapsed="false">
      <c r="A1505" s="9" t="str">
        <f aca="false">Vessels!B18</f>
        <v>Vessel 14</v>
      </c>
      <c r="B1505" s="9" t="s">
        <v>42</v>
      </c>
      <c r="C1505" s="7" t="s">
        <v>85</v>
      </c>
      <c r="D1505" s="9" t="s">
        <v>45</v>
      </c>
      <c r="E1505" s="9" t="s">
        <v>84</v>
      </c>
      <c r="F1505" s="5" t="n">
        <v>60</v>
      </c>
      <c r="G1505" s="10"/>
      <c r="H1505" s="11" t="str">
        <f aca="false">IFERROR(IF($D1505="Manual Review","",IF($G1505="","",IF($D1505="Direct Expiry",$G1505,EDATE($G1505,$F1505)))),"Check Date")</f>
        <v/>
      </c>
      <c r="I1505" s="12" t="str">
        <f aca="true">IF($H1505="","",IF(ISNUMBER($H1505),$H1505-TODAY(),""))</f>
        <v/>
      </c>
      <c r="J1505" s="4" t="str">
        <f aca="true">IF($D1505="Manual Review","Manual Review",IF($G1505="","No Data",IF(NOT(ISNUMBER($H1505)),"N/A",IF($H1505&lt;TODAY(),"Overdue",IF($H1505&lt;=TODAY()+30,"Due within 1 Month",IF($H1505&lt;=TODAY()+60,"Due within 2 Months","OK"))))))</f>
        <v>No Data</v>
      </c>
      <c r="K1505" s="13"/>
    </row>
    <row r="1506" customFormat="false" ht="15" hidden="false" customHeight="false" outlineLevel="0" collapsed="false">
      <c r="A1506" s="9" t="str">
        <f aca="false">Vessels!B18</f>
        <v>Vessel 14</v>
      </c>
      <c r="B1506" s="9" t="s">
        <v>42</v>
      </c>
      <c r="C1506" s="7" t="s">
        <v>86</v>
      </c>
      <c r="D1506" s="9" t="s">
        <v>45</v>
      </c>
      <c r="E1506" s="9" t="s">
        <v>44</v>
      </c>
      <c r="F1506" s="5" t="n">
        <v>12</v>
      </c>
      <c r="G1506" s="10"/>
      <c r="H1506" s="11" t="str">
        <f aca="false">IFERROR(IF($D1506="Manual Review","",IF($G1506="","",IF($D1506="Direct Expiry",$G1506,EDATE($G1506,$F1506)))),"Check Date")</f>
        <v/>
      </c>
      <c r="I1506" s="12" t="str">
        <f aca="true">IF($H1506="","",IF(ISNUMBER($H1506),$H1506-TODAY(),""))</f>
        <v/>
      </c>
      <c r="J1506" s="4" t="str">
        <f aca="true">IF($D1506="Manual Review","Manual Review",IF($G1506="","No Data",IF(NOT(ISNUMBER($H1506)),"N/A",IF($H1506&lt;TODAY(),"Overdue",IF($H1506&lt;=TODAY()+30,"Due within 1 Month",IF($H1506&lt;=TODAY()+60,"Due within 2 Months","OK"))))))</f>
        <v>No Data</v>
      </c>
      <c r="K1506" s="13"/>
    </row>
    <row r="1507" customFormat="false" ht="15" hidden="false" customHeight="false" outlineLevel="0" collapsed="false">
      <c r="A1507" s="9" t="str">
        <f aca="false">Vessels!B18</f>
        <v>Vessel 14</v>
      </c>
      <c r="B1507" s="9" t="s">
        <v>42</v>
      </c>
      <c r="C1507" s="7" t="s">
        <v>87</v>
      </c>
      <c r="D1507" s="9" t="s">
        <v>45</v>
      </c>
      <c r="E1507" s="9" t="s">
        <v>44</v>
      </c>
      <c r="F1507" s="5" t="n">
        <v>12</v>
      </c>
      <c r="G1507" s="10"/>
      <c r="H1507" s="11" t="str">
        <f aca="false">IFERROR(IF($D1507="Manual Review","",IF($G1507="","",IF($D1507="Direct Expiry",$G1507,EDATE($G1507,$F1507)))),"Check Date")</f>
        <v/>
      </c>
      <c r="I1507" s="12" t="str">
        <f aca="true">IF($H1507="","",IF(ISNUMBER($H1507),$H1507-TODAY(),""))</f>
        <v/>
      </c>
      <c r="J1507" s="4" t="str">
        <f aca="true">IF($D1507="Manual Review","Manual Review",IF($G1507="","No Data",IF(NOT(ISNUMBER($H1507)),"N/A",IF($H1507&lt;TODAY(),"Overdue",IF($H1507&lt;=TODAY()+30,"Due within 1 Month",IF($H1507&lt;=TODAY()+60,"Due within 2 Months","OK"))))))</f>
        <v>No Data</v>
      </c>
      <c r="K1507" s="13"/>
    </row>
    <row r="1508" customFormat="false" ht="15" hidden="false" customHeight="false" outlineLevel="0" collapsed="false">
      <c r="A1508" s="9" t="str">
        <f aca="false">Vessels!B18</f>
        <v>Vessel 14</v>
      </c>
      <c r="B1508" s="9" t="s">
        <v>88</v>
      </c>
      <c r="C1508" s="7" t="s">
        <v>89</v>
      </c>
      <c r="D1508" s="9" t="s">
        <v>45</v>
      </c>
      <c r="E1508" s="9" t="s">
        <v>90</v>
      </c>
      <c r="F1508" s="5" t="n">
        <v>36</v>
      </c>
      <c r="G1508" s="10"/>
      <c r="H1508" s="11" t="str">
        <f aca="false">IFERROR(IF($D1508="Manual Review","",IF($G1508="","",IF($D1508="Direct Expiry",$G1508,EDATE($G1508,$F1508)))),"Check Date")</f>
        <v/>
      </c>
      <c r="I1508" s="12" t="str">
        <f aca="true">IF($H1508="","",IF(ISNUMBER($H1508),$H1508-TODAY(),""))</f>
        <v/>
      </c>
      <c r="J1508" s="4" t="str">
        <f aca="true">IF($D1508="Manual Review","Manual Review",IF($G1508="","No Data",IF(NOT(ISNUMBER($H1508)),"N/A",IF($H1508&lt;TODAY(),"Overdue",IF($H1508&lt;=TODAY()+30,"Due within 1 Month",IF($H1508&lt;=TODAY()+60,"Due within 2 Months","OK"))))))</f>
        <v>No Data</v>
      </c>
      <c r="K1508" s="13"/>
    </row>
    <row r="1509" customFormat="false" ht="15" hidden="false" customHeight="false" outlineLevel="0" collapsed="false">
      <c r="A1509" s="9" t="str">
        <f aca="false">Vessels!B18</f>
        <v>Vessel 14</v>
      </c>
      <c r="B1509" s="9" t="s">
        <v>88</v>
      </c>
      <c r="C1509" s="7" t="s">
        <v>91</v>
      </c>
      <c r="D1509" s="9" t="s">
        <v>45</v>
      </c>
      <c r="E1509" s="9" t="s">
        <v>44</v>
      </c>
      <c r="F1509" s="5" t="n">
        <v>12</v>
      </c>
      <c r="G1509" s="10"/>
      <c r="H1509" s="11" t="str">
        <f aca="false">IFERROR(IF($D1509="Manual Review","",IF($G1509="","",IF($D1509="Direct Expiry",$G1509,EDATE($G1509,$F1509)))),"Check Date")</f>
        <v/>
      </c>
      <c r="I1509" s="12" t="str">
        <f aca="true">IF($H1509="","",IF(ISNUMBER($H1509),$H1509-TODAY(),""))</f>
        <v/>
      </c>
      <c r="J1509" s="4" t="str">
        <f aca="true">IF($D1509="Manual Review","Manual Review",IF($G1509="","No Data",IF(NOT(ISNUMBER($H1509)),"N/A",IF($H1509&lt;TODAY(),"Overdue",IF($H1509&lt;=TODAY()+30,"Due within 1 Month",IF($H1509&lt;=TODAY()+60,"Due within 2 Months","OK"))))))</f>
        <v>No Data</v>
      </c>
      <c r="K1509" s="13"/>
    </row>
    <row r="1510" customFormat="false" ht="15" hidden="false" customHeight="false" outlineLevel="0" collapsed="false">
      <c r="A1510" s="9" t="str">
        <f aca="false">Vessels!B18</f>
        <v>Vessel 14</v>
      </c>
      <c r="B1510" s="9" t="s">
        <v>88</v>
      </c>
      <c r="C1510" s="7" t="s">
        <v>91</v>
      </c>
      <c r="D1510" s="9" t="s">
        <v>45</v>
      </c>
      <c r="E1510" s="9" t="s">
        <v>92</v>
      </c>
      <c r="F1510" s="5" t="n">
        <v>120</v>
      </c>
      <c r="G1510" s="10"/>
      <c r="H1510" s="11" t="str">
        <f aca="false">IFERROR(IF($D1510="Manual Review","",IF($G1510="","",IF($D1510="Direct Expiry",$G1510,EDATE($G1510,$F1510)))),"Check Date")</f>
        <v/>
      </c>
      <c r="I1510" s="12" t="str">
        <f aca="true">IF($H1510="","",IF(ISNUMBER($H1510),$H1510-TODAY(),""))</f>
        <v/>
      </c>
      <c r="J1510" s="4" t="str">
        <f aca="true">IF($D1510="Manual Review","Manual Review",IF($G1510="","No Data",IF(NOT(ISNUMBER($H1510)),"N/A",IF($H1510&lt;TODAY(),"Overdue",IF($H1510&lt;=TODAY()+30,"Due within 1 Month",IF($H1510&lt;=TODAY()+60,"Due within 2 Months","OK"))))))</f>
        <v>No Data</v>
      </c>
      <c r="K1510" s="13"/>
    </row>
    <row r="1511" customFormat="false" ht="15" hidden="false" customHeight="false" outlineLevel="0" collapsed="false">
      <c r="A1511" s="9" t="str">
        <f aca="false">Vessels!B18</f>
        <v>Vessel 14</v>
      </c>
      <c r="B1511" s="9" t="s">
        <v>88</v>
      </c>
      <c r="C1511" s="7" t="s">
        <v>93</v>
      </c>
      <c r="D1511" s="9" t="s">
        <v>45</v>
      </c>
      <c r="E1511" s="9" t="s">
        <v>44</v>
      </c>
      <c r="F1511" s="5" t="n">
        <v>12</v>
      </c>
      <c r="G1511" s="10"/>
      <c r="H1511" s="11" t="str">
        <f aca="false">IFERROR(IF($D1511="Manual Review","",IF($G1511="","",IF($D1511="Direct Expiry",$G1511,EDATE($G1511,$F1511)))),"Check Date")</f>
        <v/>
      </c>
      <c r="I1511" s="12" t="str">
        <f aca="true">IF($H1511="","",IF(ISNUMBER($H1511),$H1511-TODAY(),""))</f>
        <v/>
      </c>
      <c r="J1511" s="4" t="str">
        <f aca="true">IF($D1511="Manual Review","Manual Review",IF($G1511="","No Data",IF(NOT(ISNUMBER($H1511)),"N/A",IF($H1511&lt;TODAY(),"Overdue",IF($H1511&lt;=TODAY()+30,"Due within 1 Month",IF($H1511&lt;=TODAY()+60,"Due within 2 Months","OK"))))))</f>
        <v>No Data</v>
      </c>
      <c r="K1511" s="13"/>
    </row>
    <row r="1512" customFormat="false" ht="15" hidden="false" customHeight="false" outlineLevel="0" collapsed="false">
      <c r="A1512" s="9" t="str">
        <f aca="false">Vessels!B18</f>
        <v>Vessel 14</v>
      </c>
      <c r="B1512" s="9" t="s">
        <v>88</v>
      </c>
      <c r="C1512" s="7" t="s">
        <v>93</v>
      </c>
      <c r="D1512" s="9" t="s">
        <v>45</v>
      </c>
      <c r="E1512" s="9" t="s">
        <v>92</v>
      </c>
      <c r="F1512" s="5" t="n">
        <v>120</v>
      </c>
      <c r="G1512" s="10"/>
      <c r="H1512" s="11" t="str">
        <f aca="false">IFERROR(IF($D1512="Manual Review","",IF($G1512="","",IF($D1512="Direct Expiry",$G1512,EDATE($G1512,$F1512)))),"Check Date")</f>
        <v/>
      </c>
      <c r="I1512" s="12" t="str">
        <f aca="true">IF($H1512="","",IF(ISNUMBER($H1512),$H1512-TODAY(),""))</f>
        <v/>
      </c>
      <c r="J1512" s="4" t="str">
        <f aca="true">IF($D1512="Manual Review","Manual Review",IF($G1512="","No Data",IF(NOT(ISNUMBER($H1512)),"N/A",IF($H1512&lt;TODAY(),"Overdue",IF($H1512&lt;=TODAY()+30,"Due within 1 Month",IF($H1512&lt;=TODAY()+60,"Due within 2 Months","OK"))))))</f>
        <v>No Data</v>
      </c>
      <c r="K1512" s="13"/>
    </row>
    <row r="1513" customFormat="false" ht="15" hidden="false" customHeight="false" outlineLevel="0" collapsed="false">
      <c r="A1513" s="9" t="str">
        <f aca="false">Vessels!B18</f>
        <v>Vessel 14</v>
      </c>
      <c r="B1513" s="9" t="s">
        <v>88</v>
      </c>
      <c r="C1513" s="7" t="s">
        <v>94</v>
      </c>
      <c r="D1513" s="9" t="s">
        <v>45</v>
      </c>
      <c r="E1513" s="9" t="s">
        <v>44</v>
      </c>
      <c r="F1513" s="5" t="n">
        <v>12</v>
      </c>
      <c r="G1513" s="10"/>
      <c r="H1513" s="11" t="str">
        <f aca="false">IFERROR(IF($D1513="Manual Review","",IF($G1513="","",IF($D1513="Direct Expiry",$G1513,EDATE($G1513,$F1513)))),"Check Date")</f>
        <v/>
      </c>
      <c r="I1513" s="12" t="str">
        <f aca="true">IF($H1513="","",IF(ISNUMBER($H1513),$H1513-TODAY(),""))</f>
        <v/>
      </c>
      <c r="J1513" s="4" t="str">
        <f aca="true">IF($D1513="Manual Review","Manual Review",IF($G1513="","No Data",IF(NOT(ISNUMBER($H1513)),"N/A",IF($H1513&lt;TODAY(),"Overdue",IF($H1513&lt;=TODAY()+30,"Due within 1 Month",IF($H1513&lt;=TODAY()+60,"Due within 2 Months","OK"))))))</f>
        <v>No Data</v>
      </c>
      <c r="K1513" s="13"/>
    </row>
    <row r="1514" customFormat="false" ht="15" hidden="false" customHeight="false" outlineLevel="0" collapsed="false">
      <c r="A1514" s="9" t="str">
        <f aca="false">Vessels!B18</f>
        <v>Vessel 14</v>
      </c>
      <c r="B1514" s="9" t="s">
        <v>88</v>
      </c>
      <c r="C1514" s="7" t="s">
        <v>94</v>
      </c>
      <c r="D1514" s="9" t="s">
        <v>45</v>
      </c>
      <c r="E1514" s="9" t="s">
        <v>92</v>
      </c>
      <c r="F1514" s="5" t="n">
        <v>120</v>
      </c>
      <c r="G1514" s="10"/>
      <c r="H1514" s="11" t="str">
        <f aca="false">IFERROR(IF($D1514="Manual Review","",IF($G1514="","",IF($D1514="Direct Expiry",$G1514,EDATE($G1514,$F1514)))),"Check Date")</f>
        <v/>
      </c>
      <c r="I1514" s="12" t="str">
        <f aca="true">IF($H1514="","",IF(ISNUMBER($H1514),$H1514-TODAY(),""))</f>
        <v/>
      </c>
      <c r="J1514" s="4" t="str">
        <f aca="true">IF($D1514="Manual Review","Manual Review",IF($G1514="","No Data",IF(NOT(ISNUMBER($H1514)),"N/A",IF($H1514&lt;TODAY(),"Overdue",IF($H1514&lt;=TODAY()+30,"Due within 1 Month",IF($H1514&lt;=TODAY()+60,"Due within 2 Months","OK"))))))</f>
        <v>No Data</v>
      </c>
      <c r="K1514" s="13"/>
    </row>
    <row r="1515" customFormat="false" ht="15" hidden="false" customHeight="false" outlineLevel="0" collapsed="false">
      <c r="A1515" s="9" t="str">
        <f aca="false">Vessels!B18</f>
        <v>Vessel 14</v>
      </c>
      <c r="B1515" s="9" t="s">
        <v>88</v>
      </c>
      <c r="C1515" s="7" t="s">
        <v>95</v>
      </c>
      <c r="D1515" s="9" t="s">
        <v>45</v>
      </c>
      <c r="E1515" s="9" t="s">
        <v>44</v>
      </c>
      <c r="F1515" s="5" t="n">
        <v>12</v>
      </c>
      <c r="G1515" s="10"/>
      <c r="H1515" s="11" t="str">
        <f aca="false">IFERROR(IF($D1515="Manual Review","",IF($G1515="","",IF($D1515="Direct Expiry",$G1515,EDATE($G1515,$F1515)))),"Check Date")</f>
        <v/>
      </c>
      <c r="I1515" s="12" t="str">
        <f aca="true">IF($H1515="","",IF(ISNUMBER($H1515),$H1515-TODAY(),""))</f>
        <v/>
      </c>
      <c r="J1515" s="4" t="str">
        <f aca="true">IF($D1515="Manual Review","Manual Review",IF($G1515="","No Data",IF(NOT(ISNUMBER($H1515)),"N/A",IF($H1515&lt;TODAY(),"Overdue",IF($H1515&lt;=TODAY()+30,"Due within 1 Month",IF($H1515&lt;=TODAY()+60,"Due within 2 Months","OK"))))))</f>
        <v>No Data</v>
      </c>
      <c r="K1515" s="13"/>
    </row>
    <row r="1516" customFormat="false" ht="15" hidden="false" customHeight="false" outlineLevel="0" collapsed="false">
      <c r="A1516" s="9" t="str">
        <f aca="false">Vessels!B18</f>
        <v>Vessel 14</v>
      </c>
      <c r="B1516" s="9" t="s">
        <v>88</v>
      </c>
      <c r="C1516" s="7" t="s">
        <v>95</v>
      </c>
      <c r="D1516" s="9" t="s">
        <v>45</v>
      </c>
      <c r="E1516" s="9" t="s">
        <v>92</v>
      </c>
      <c r="F1516" s="5" t="n">
        <v>120</v>
      </c>
      <c r="G1516" s="10"/>
      <c r="H1516" s="11" t="str">
        <f aca="false">IFERROR(IF($D1516="Manual Review","",IF($G1516="","",IF($D1516="Direct Expiry",$G1516,EDATE($G1516,$F1516)))),"Check Date")</f>
        <v/>
      </c>
      <c r="I1516" s="12" t="str">
        <f aca="true">IF($H1516="","",IF(ISNUMBER($H1516),$H1516-TODAY(),""))</f>
        <v/>
      </c>
      <c r="J1516" s="4" t="str">
        <f aca="true">IF($D1516="Manual Review","Manual Review",IF($G1516="","No Data",IF(NOT(ISNUMBER($H1516)),"N/A",IF($H1516&lt;TODAY(),"Overdue",IF($H1516&lt;=TODAY()+30,"Due within 1 Month",IF($H1516&lt;=TODAY()+60,"Due within 2 Months","OK"))))))</f>
        <v>No Data</v>
      </c>
      <c r="K1516" s="13"/>
    </row>
    <row r="1517" customFormat="false" ht="15" hidden="false" customHeight="false" outlineLevel="0" collapsed="false">
      <c r="A1517" s="9" t="str">
        <f aca="false">Vessels!B18</f>
        <v>Vessel 14</v>
      </c>
      <c r="B1517" s="9" t="s">
        <v>88</v>
      </c>
      <c r="C1517" s="7" t="s">
        <v>96</v>
      </c>
      <c r="D1517" s="9" t="s">
        <v>45</v>
      </c>
      <c r="E1517" s="9" t="s">
        <v>44</v>
      </c>
      <c r="F1517" s="5" t="n">
        <v>12</v>
      </c>
      <c r="G1517" s="10"/>
      <c r="H1517" s="11" t="str">
        <f aca="false">IFERROR(IF($D1517="Manual Review","",IF($G1517="","",IF($D1517="Direct Expiry",$G1517,EDATE($G1517,$F1517)))),"Check Date")</f>
        <v/>
      </c>
      <c r="I1517" s="12" t="str">
        <f aca="true">IF($H1517="","",IF(ISNUMBER($H1517),$H1517-TODAY(),""))</f>
        <v/>
      </c>
      <c r="J1517" s="4" t="str">
        <f aca="true">IF($D1517="Manual Review","Manual Review",IF($G1517="","No Data",IF(NOT(ISNUMBER($H1517)),"N/A",IF($H1517&lt;TODAY(),"Overdue",IF($H1517&lt;=TODAY()+30,"Due within 1 Month",IF($H1517&lt;=TODAY()+60,"Due within 2 Months","OK"))))))</f>
        <v>No Data</v>
      </c>
      <c r="K1517" s="13"/>
    </row>
    <row r="1518" customFormat="false" ht="15" hidden="false" customHeight="false" outlineLevel="0" collapsed="false">
      <c r="A1518" s="9" t="str">
        <f aca="false">Vessels!B18</f>
        <v>Vessel 14</v>
      </c>
      <c r="B1518" s="9" t="s">
        <v>88</v>
      </c>
      <c r="C1518" s="7" t="s">
        <v>96</v>
      </c>
      <c r="D1518" s="9" t="s">
        <v>45</v>
      </c>
      <c r="E1518" s="9" t="s">
        <v>97</v>
      </c>
      <c r="F1518" s="5" t="n">
        <v>120</v>
      </c>
      <c r="G1518" s="10"/>
      <c r="H1518" s="11" t="str">
        <f aca="false">IFERROR(IF($D1518="Manual Review","",IF($G1518="","",IF($D1518="Direct Expiry",$G1518,EDATE($G1518,$F1518)))),"Check Date")</f>
        <v/>
      </c>
      <c r="I1518" s="12" t="str">
        <f aca="true">IF($H1518="","",IF(ISNUMBER($H1518),$H1518-TODAY(),""))</f>
        <v/>
      </c>
      <c r="J1518" s="4" t="str">
        <f aca="true">IF($D1518="Manual Review","Manual Review",IF($G1518="","No Data",IF(NOT(ISNUMBER($H1518)),"N/A",IF($H1518&lt;TODAY(),"Overdue",IF($H1518&lt;=TODAY()+30,"Due within 1 Month",IF($H1518&lt;=TODAY()+60,"Due within 2 Months","OK"))))))</f>
        <v>No Data</v>
      </c>
      <c r="K1518" s="13"/>
    </row>
    <row r="1519" customFormat="false" ht="15" hidden="false" customHeight="false" outlineLevel="0" collapsed="false">
      <c r="A1519" s="9" t="str">
        <f aca="false">Vessels!B18</f>
        <v>Vessel 14</v>
      </c>
      <c r="B1519" s="9" t="s">
        <v>88</v>
      </c>
      <c r="C1519" s="7" t="s">
        <v>98</v>
      </c>
      <c r="D1519" s="9" t="s">
        <v>45</v>
      </c>
      <c r="E1519" s="9" t="s">
        <v>44</v>
      </c>
      <c r="F1519" s="5" t="n">
        <v>12</v>
      </c>
      <c r="G1519" s="10"/>
      <c r="H1519" s="11" t="str">
        <f aca="false">IFERROR(IF($D1519="Manual Review","",IF($G1519="","",IF($D1519="Direct Expiry",$G1519,EDATE($G1519,$F1519)))),"Check Date")</f>
        <v/>
      </c>
      <c r="I1519" s="12" t="str">
        <f aca="true">IF($H1519="","",IF(ISNUMBER($H1519),$H1519-TODAY(),""))</f>
        <v/>
      </c>
      <c r="J1519" s="4" t="str">
        <f aca="true">IF($D1519="Manual Review","Manual Review",IF($G1519="","No Data",IF(NOT(ISNUMBER($H1519)),"N/A",IF($H1519&lt;TODAY(),"Overdue",IF($H1519&lt;=TODAY()+30,"Due within 1 Month",IF($H1519&lt;=TODAY()+60,"Due within 2 Months","OK"))))))</f>
        <v>No Data</v>
      </c>
      <c r="K1519" s="13"/>
    </row>
    <row r="1520" customFormat="false" ht="15" hidden="false" customHeight="false" outlineLevel="0" collapsed="false">
      <c r="A1520" s="9" t="str">
        <f aca="false">Vessels!B18</f>
        <v>Vessel 14</v>
      </c>
      <c r="B1520" s="9" t="s">
        <v>88</v>
      </c>
      <c r="C1520" s="7" t="s">
        <v>98</v>
      </c>
      <c r="D1520" s="9" t="s">
        <v>45</v>
      </c>
      <c r="E1520" s="9" t="s">
        <v>99</v>
      </c>
      <c r="F1520" s="5" t="n">
        <v>60</v>
      </c>
      <c r="G1520" s="10"/>
      <c r="H1520" s="11" t="str">
        <f aca="false">IFERROR(IF($D1520="Manual Review","",IF($G1520="","",IF($D1520="Direct Expiry",$G1520,EDATE($G1520,$F1520)))),"Check Date")</f>
        <v/>
      </c>
      <c r="I1520" s="12" t="str">
        <f aca="true">IF($H1520="","",IF(ISNUMBER($H1520),$H1520-TODAY(),""))</f>
        <v/>
      </c>
      <c r="J1520" s="4" t="str">
        <f aca="true">IF($D1520="Manual Review","Manual Review",IF($G1520="","No Data",IF(NOT(ISNUMBER($H1520)),"N/A",IF($H1520&lt;TODAY(),"Overdue",IF($H1520&lt;=TODAY()+30,"Due within 1 Month",IF($H1520&lt;=TODAY()+60,"Due within 2 Months","OK"))))))</f>
        <v>No Data</v>
      </c>
      <c r="K1520" s="13"/>
    </row>
    <row r="1521" customFormat="false" ht="15" hidden="false" customHeight="false" outlineLevel="0" collapsed="false">
      <c r="A1521" s="9" t="str">
        <f aca="false">Vessels!B18</f>
        <v>Vessel 14</v>
      </c>
      <c r="B1521" s="9" t="s">
        <v>88</v>
      </c>
      <c r="C1521" s="7" t="s">
        <v>100</v>
      </c>
      <c r="D1521" s="9" t="s">
        <v>45</v>
      </c>
      <c r="E1521" s="9" t="s">
        <v>44</v>
      </c>
      <c r="F1521" s="5" t="n">
        <v>12</v>
      </c>
      <c r="G1521" s="10"/>
      <c r="H1521" s="11" t="str">
        <f aca="false">IFERROR(IF($D1521="Manual Review","",IF($G1521="","",IF($D1521="Direct Expiry",$G1521,EDATE($G1521,$F1521)))),"Check Date")</f>
        <v/>
      </c>
      <c r="I1521" s="12" t="str">
        <f aca="true">IF($H1521="","",IF(ISNUMBER($H1521),$H1521-TODAY(),""))</f>
        <v/>
      </c>
      <c r="J1521" s="4" t="str">
        <f aca="true">IF($D1521="Manual Review","Manual Review",IF($G1521="","No Data",IF(NOT(ISNUMBER($H1521)),"N/A",IF($H1521&lt;TODAY(),"Overdue",IF($H1521&lt;=TODAY()+30,"Due within 1 Month",IF($H1521&lt;=TODAY()+60,"Due within 2 Months","OK"))))))</f>
        <v>No Data</v>
      </c>
      <c r="K1521" s="13"/>
    </row>
    <row r="1522" customFormat="false" ht="15" hidden="false" customHeight="false" outlineLevel="0" collapsed="false">
      <c r="A1522" s="9" t="str">
        <f aca="false">Vessels!B18</f>
        <v>Vessel 14</v>
      </c>
      <c r="B1522" s="9" t="s">
        <v>88</v>
      </c>
      <c r="C1522" s="7" t="s">
        <v>100</v>
      </c>
      <c r="D1522" s="9" t="s">
        <v>45</v>
      </c>
      <c r="E1522" s="9" t="s">
        <v>99</v>
      </c>
      <c r="F1522" s="5" t="n">
        <v>60</v>
      </c>
      <c r="G1522" s="10"/>
      <c r="H1522" s="11" t="str">
        <f aca="false">IFERROR(IF($D1522="Manual Review","",IF($G1522="","",IF($D1522="Direct Expiry",$G1522,EDATE($G1522,$F1522)))),"Check Date")</f>
        <v/>
      </c>
      <c r="I1522" s="12" t="str">
        <f aca="true">IF($H1522="","",IF(ISNUMBER($H1522),$H1522-TODAY(),""))</f>
        <v/>
      </c>
      <c r="J1522" s="4" t="str">
        <f aca="true">IF($D1522="Manual Review","Manual Review",IF($G1522="","No Data",IF(NOT(ISNUMBER($H1522)),"N/A",IF($H1522&lt;TODAY(),"Overdue",IF($H1522&lt;=TODAY()+30,"Due within 1 Month",IF($H1522&lt;=TODAY()+60,"Due within 2 Months","OK"))))))</f>
        <v>No Data</v>
      </c>
      <c r="K1522" s="13"/>
    </row>
    <row r="1523" customFormat="false" ht="15" hidden="false" customHeight="false" outlineLevel="0" collapsed="false">
      <c r="A1523" s="9" t="str">
        <f aca="false">Vessels!B18</f>
        <v>Vessel 14</v>
      </c>
      <c r="B1523" s="9" t="s">
        <v>88</v>
      </c>
      <c r="C1523" s="7" t="s">
        <v>101</v>
      </c>
      <c r="D1523" s="9" t="s">
        <v>45</v>
      </c>
      <c r="E1523" s="9" t="s">
        <v>44</v>
      </c>
      <c r="F1523" s="5" t="n">
        <v>12</v>
      </c>
      <c r="G1523" s="10"/>
      <c r="H1523" s="11" t="str">
        <f aca="false">IFERROR(IF($D1523="Manual Review","",IF($G1523="","",IF($D1523="Direct Expiry",$G1523,EDATE($G1523,$F1523)))),"Check Date")</f>
        <v/>
      </c>
      <c r="I1523" s="12" t="str">
        <f aca="true">IF($H1523="","",IF(ISNUMBER($H1523),$H1523-TODAY(),""))</f>
        <v/>
      </c>
      <c r="J1523" s="4" t="str">
        <f aca="true">IF($D1523="Manual Review","Manual Review",IF($G1523="","No Data",IF(NOT(ISNUMBER($H1523)),"N/A",IF($H1523&lt;TODAY(),"Overdue",IF($H1523&lt;=TODAY()+30,"Due within 1 Month",IF($H1523&lt;=TODAY()+60,"Due within 2 Months","OK"))))))</f>
        <v>No Data</v>
      </c>
      <c r="K1523" s="13"/>
    </row>
    <row r="1524" customFormat="false" ht="23.85" hidden="false" customHeight="false" outlineLevel="0" collapsed="false">
      <c r="A1524" s="9" t="str">
        <f aca="false">Vessels!B18</f>
        <v>Vessel 14</v>
      </c>
      <c r="B1524" s="9" t="s">
        <v>88</v>
      </c>
      <c r="C1524" s="7" t="s">
        <v>102</v>
      </c>
      <c r="D1524" s="9" t="s">
        <v>45</v>
      </c>
      <c r="E1524" s="9" t="s">
        <v>44</v>
      </c>
      <c r="F1524" s="5" t="n">
        <v>12</v>
      </c>
      <c r="G1524" s="10"/>
      <c r="H1524" s="11" t="str">
        <f aca="false">IFERROR(IF($D1524="Manual Review","",IF($G1524="","",IF($D1524="Direct Expiry",$G1524,EDATE($G1524,$F1524)))),"Check Date")</f>
        <v/>
      </c>
      <c r="I1524" s="12" t="str">
        <f aca="true">IF($H1524="","",IF(ISNUMBER($H1524),$H1524-TODAY(),""))</f>
        <v/>
      </c>
      <c r="J1524" s="4" t="str">
        <f aca="true">IF($D1524="Manual Review","Manual Review",IF($G1524="","No Data",IF(NOT(ISNUMBER($H1524)),"N/A",IF($H1524&lt;TODAY(),"Overdue",IF($H1524&lt;=TODAY()+30,"Due within 1 Month",IF($H1524&lt;=TODAY()+60,"Due within 2 Months","OK"))))))</f>
        <v>No Data</v>
      </c>
      <c r="K1524" s="13"/>
    </row>
    <row r="1525" customFormat="false" ht="23.85" hidden="false" customHeight="false" outlineLevel="0" collapsed="false">
      <c r="A1525" s="9" t="str">
        <f aca="false">Vessels!B18</f>
        <v>Vessel 14</v>
      </c>
      <c r="B1525" s="9" t="s">
        <v>88</v>
      </c>
      <c r="C1525" s="7" t="s">
        <v>102</v>
      </c>
      <c r="D1525" s="9" t="s">
        <v>45</v>
      </c>
      <c r="E1525" s="9" t="s">
        <v>97</v>
      </c>
      <c r="F1525" s="5" t="n">
        <v>120</v>
      </c>
      <c r="G1525" s="10"/>
      <c r="H1525" s="11" t="str">
        <f aca="false">IFERROR(IF($D1525="Manual Review","",IF($G1525="","",IF($D1525="Direct Expiry",$G1525,EDATE($G1525,$F1525)))),"Check Date")</f>
        <v/>
      </c>
      <c r="I1525" s="12" t="str">
        <f aca="true">IF($H1525="","",IF(ISNUMBER($H1525),$H1525-TODAY(),""))</f>
        <v/>
      </c>
      <c r="J1525" s="4" t="str">
        <f aca="true">IF($D1525="Manual Review","Manual Review",IF($G1525="","No Data",IF(NOT(ISNUMBER($H1525)),"N/A",IF($H1525&lt;TODAY(),"Overdue",IF($H1525&lt;=TODAY()+30,"Due within 1 Month",IF($H1525&lt;=TODAY()+60,"Due within 2 Months","OK"))))))</f>
        <v>No Data</v>
      </c>
      <c r="K1525" s="13"/>
    </row>
    <row r="1526" customFormat="false" ht="15" hidden="false" customHeight="false" outlineLevel="0" collapsed="false">
      <c r="A1526" s="9" t="str">
        <f aca="false">Vessels!B18</f>
        <v>Vessel 14</v>
      </c>
      <c r="B1526" s="9" t="s">
        <v>88</v>
      </c>
      <c r="C1526" s="7" t="s">
        <v>103</v>
      </c>
      <c r="D1526" s="9" t="s">
        <v>45</v>
      </c>
      <c r="E1526" s="9" t="s">
        <v>44</v>
      </c>
      <c r="F1526" s="5" t="n">
        <v>12</v>
      </c>
      <c r="G1526" s="10"/>
      <c r="H1526" s="11" t="str">
        <f aca="false">IFERROR(IF($D1526="Manual Review","",IF($G1526="","",IF($D1526="Direct Expiry",$G1526,EDATE($G1526,$F1526)))),"Check Date")</f>
        <v/>
      </c>
      <c r="I1526" s="12" t="str">
        <f aca="true">IF($H1526="","",IF(ISNUMBER($H1526),$H1526-TODAY(),""))</f>
        <v/>
      </c>
      <c r="J1526" s="4" t="str">
        <f aca="true">IF($D1526="Manual Review","Manual Review",IF($G1526="","No Data",IF(NOT(ISNUMBER($H1526)),"N/A",IF($H1526&lt;TODAY(),"Overdue",IF($H1526&lt;=TODAY()+30,"Due within 1 Month",IF($H1526&lt;=TODAY()+60,"Due within 2 Months","OK"))))))</f>
        <v>No Data</v>
      </c>
      <c r="K1526" s="13"/>
    </row>
    <row r="1527" customFormat="false" ht="15" hidden="false" customHeight="false" outlineLevel="0" collapsed="false">
      <c r="A1527" s="9" t="str">
        <f aca="false">Vessels!B18</f>
        <v>Vessel 14</v>
      </c>
      <c r="B1527" s="9" t="s">
        <v>88</v>
      </c>
      <c r="C1527" s="7" t="s">
        <v>103</v>
      </c>
      <c r="D1527" s="9" t="s">
        <v>45</v>
      </c>
      <c r="E1527" s="9" t="s">
        <v>97</v>
      </c>
      <c r="F1527" s="5" t="n">
        <v>120</v>
      </c>
      <c r="G1527" s="10"/>
      <c r="H1527" s="11" t="str">
        <f aca="false">IFERROR(IF($D1527="Manual Review","",IF($G1527="","",IF($D1527="Direct Expiry",$G1527,EDATE($G1527,$F1527)))),"Check Date")</f>
        <v/>
      </c>
      <c r="I1527" s="12" t="str">
        <f aca="true">IF($H1527="","",IF(ISNUMBER($H1527),$H1527-TODAY(),""))</f>
        <v/>
      </c>
      <c r="J1527" s="4" t="str">
        <f aca="true">IF($D1527="Manual Review","Manual Review",IF($G1527="","No Data",IF(NOT(ISNUMBER($H1527)),"N/A",IF($H1527&lt;TODAY(),"Overdue",IF($H1527&lt;=TODAY()+30,"Due within 1 Month",IF($H1527&lt;=TODAY()+60,"Due within 2 Months","OK"))))))</f>
        <v>No Data</v>
      </c>
      <c r="K1527" s="13"/>
    </row>
    <row r="1528" customFormat="false" ht="15" hidden="false" customHeight="false" outlineLevel="0" collapsed="false">
      <c r="A1528" s="9" t="str">
        <f aca="false">Vessels!B18</f>
        <v>Vessel 14</v>
      </c>
      <c r="B1528" s="9" t="s">
        <v>88</v>
      </c>
      <c r="C1528" s="7" t="s">
        <v>104</v>
      </c>
      <c r="D1528" s="9" t="s">
        <v>45</v>
      </c>
      <c r="E1528" s="9" t="s">
        <v>44</v>
      </c>
      <c r="F1528" s="5" t="n">
        <v>12</v>
      </c>
      <c r="G1528" s="10"/>
      <c r="H1528" s="11" t="str">
        <f aca="false">IFERROR(IF($D1528="Manual Review","",IF($G1528="","",IF($D1528="Direct Expiry",$G1528,EDATE($G1528,$F1528)))),"Check Date")</f>
        <v/>
      </c>
      <c r="I1528" s="12" t="str">
        <f aca="true">IF($H1528="","",IF(ISNUMBER($H1528),$H1528-TODAY(),""))</f>
        <v/>
      </c>
      <c r="J1528" s="4" t="str">
        <f aca="true">IF($D1528="Manual Review","Manual Review",IF($G1528="","No Data",IF(NOT(ISNUMBER($H1528)),"N/A",IF($H1528&lt;TODAY(),"Overdue",IF($H1528&lt;=TODAY()+30,"Due within 1 Month",IF($H1528&lt;=TODAY()+60,"Due within 2 Months","OK"))))))</f>
        <v>No Data</v>
      </c>
      <c r="K1528" s="13"/>
    </row>
    <row r="1529" customFormat="false" ht="15" hidden="false" customHeight="false" outlineLevel="0" collapsed="false">
      <c r="A1529" s="9" t="str">
        <f aca="false">Vessels!B18</f>
        <v>Vessel 14</v>
      </c>
      <c r="B1529" s="9" t="s">
        <v>88</v>
      </c>
      <c r="C1529" s="7" t="s">
        <v>105</v>
      </c>
      <c r="D1529" s="9" t="s">
        <v>45</v>
      </c>
      <c r="E1529" s="9" t="s">
        <v>44</v>
      </c>
      <c r="F1529" s="5" t="n">
        <v>12</v>
      </c>
      <c r="G1529" s="10"/>
      <c r="H1529" s="11" t="str">
        <f aca="false">IFERROR(IF($D1529="Manual Review","",IF($G1529="","",IF($D1529="Direct Expiry",$G1529,EDATE($G1529,$F1529)))),"Check Date")</f>
        <v/>
      </c>
      <c r="I1529" s="12" t="str">
        <f aca="true">IF($H1529="","",IF(ISNUMBER($H1529),$H1529-TODAY(),""))</f>
        <v/>
      </c>
      <c r="J1529" s="4" t="str">
        <f aca="true">IF($D1529="Manual Review","Manual Review",IF($G1529="","No Data",IF(NOT(ISNUMBER($H1529)),"N/A",IF($H1529&lt;TODAY(),"Overdue",IF($H1529&lt;=TODAY()+30,"Due within 1 Month",IF($H1529&lt;=TODAY()+60,"Due within 2 Months","OK"))))))</f>
        <v>No Data</v>
      </c>
      <c r="K1529" s="13"/>
    </row>
    <row r="1530" customFormat="false" ht="15" hidden="false" customHeight="false" outlineLevel="0" collapsed="false">
      <c r="A1530" s="9" t="str">
        <f aca="false">Vessels!B18</f>
        <v>Vessel 14</v>
      </c>
      <c r="B1530" s="9" t="s">
        <v>88</v>
      </c>
      <c r="C1530" s="7" t="s">
        <v>106</v>
      </c>
      <c r="D1530" s="9" t="s">
        <v>45</v>
      </c>
      <c r="E1530" s="9" t="s">
        <v>44</v>
      </c>
      <c r="F1530" s="5" t="n">
        <v>12</v>
      </c>
      <c r="G1530" s="10"/>
      <c r="H1530" s="11" t="str">
        <f aca="false">IFERROR(IF($D1530="Manual Review","",IF($G1530="","",IF($D1530="Direct Expiry",$G1530,EDATE($G1530,$F1530)))),"Check Date")</f>
        <v/>
      </c>
      <c r="I1530" s="12" t="str">
        <f aca="true">IF($H1530="","",IF(ISNUMBER($H1530),$H1530-TODAY(),""))</f>
        <v/>
      </c>
      <c r="J1530" s="4" t="str">
        <f aca="true">IF($D1530="Manual Review","Manual Review",IF($G1530="","No Data",IF(NOT(ISNUMBER($H1530)),"N/A",IF($H1530&lt;TODAY(),"Overdue",IF($H1530&lt;=TODAY()+30,"Due within 1 Month",IF($H1530&lt;=TODAY()+60,"Due within 2 Months","OK"))))))</f>
        <v>No Data</v>
      </c>
      <c r="K1530" s="13"/>
    </row>
    <row r="1531" customFormat="false" ht="15" hidden="false" customHeight="false" outlineLevel="0" collapsed="false">
      <c r="A1531" s="9" t="str">
        <f aca="false">Vessels!B18</f>
        <v>Vessel 14</v>
      </c>
      <c r="B1531" s="9" t="s">
        <v>88</v>
      </c>
      <c r="C1531" s="7" t="s">
        <v>107</v>
      </c>
      <c r="D1531" s="9" t="s">
        <v>45</v>
      </c>
      <c r="E1531" s="9" t="s">
        <v>44</v>
      </c>
      <c r="F1531" s="5" t="n">
        <v>12</v>
      </c>
      <c r="G1531" s="10"/>
      <c r="H1531" s="11" t="str">
        <f aca="false">IFERROR(IF($D1531="Manual Review","",IF($G1531="","",IF($D1531="Direct Expiry",$G1531,EDATE($G1531,$F1531)))),"Check Date")</f>
        <v/>
      </c>
      <c r="I1531" s="12" t="str">
        <f aca="true">IF($H1531="","",IF(ISNUMBER($H1531),$H1531-TODAY(),""))</f>
        <v/>
      </c>
      <c r="J1531" s="4" t="str">
        <f aca="true">IF($D1531="Manual Review","Manual Review",IF($G1531="","No Data",IF(NOT(ISNUMBER($H1531)),"N/A",IF($H1531&lt;TODAY(),"Overdue",IF($H1531&lt;=TODAY()+30,"Due within 1 Month",IF($H1531&lt;=TODAY()+60,"Due within 2 Months","OK"))))))</f>
        <v>No Data</v>
      </c>
      <c r="K1531" s="13"/>
    </row>
    <row r="1532" customFormat="false" ht="15" hidden="false" customHeight="false" outlineLevel="0" collapsed="false">
      <c r="A1532" s="9" t="str">
        <f aca="false">Vessels!B18</f>
        <v>Vessel 14</v>
      </c>
      <c r="B1532" s="9" t="s">
        <v>88</v>
      </c>
      <c r="C1532" s="7" t="s">
        <v>108</v>
      </c>
      <c r="D1532" s="9" t="s">
        <v>45</v>
      </c>
      <c r="E1532" s="9" t="s">
        <v>109</v>
      </c>
      <c r="F1532" s="5" t="n">
        <v>12</v>
      </c>
      <c r="G1532" s="10"/>
      <c r="H1532" s="11" t="str">
        <f aca="false">IFERROR(IF($D1532="Manual Review","",IF($G1532="","",IF($D1532="Direct Expiry",$G1532,EDATE($G1532,$F1532)))),"Check Date")</f>
        <v/>
      </c>
      <c r="I1532" s="12" t="str">
        <f aca="true">IF($H1532="","",IF(ISNUMBER($H1532),$H1532-TODAY(),""))</f>
        <v/>
      </c>
      <c r="J1532" s="4" t="str">
        <f aca="true">IF($D1532="Manual Review","Manual Review",IF($G1532="","No Data",IF(NOT(ISNUMBER($H1532)),"N/A",IF($H1532&lt;TODAY(),"Overdue",IF($H1532&lt;=TODAY()+30,"Due within 1 Month",IF($H1532&lt;=TODAY()+60,"Due within 2 Months","OK"))))))</f>
        <v>No Data</v>
      </c>
      <c r="K1532" s="13"/>
    </row>
    <row r="1533" customFormat="false" ht="15" hidden="false" customHeight="false" outlineLevel="0" collapsed="false">
      <c r="A1533" s="9" t="str">
        <f aca="false">Vessels!B18</f>
        <v>Vessel 14</v>
      </c>
      <c r="B1533" s="9" t="s">
        <v>88</v>
      </c>
      <c r="C1533" s="7" t="s">
        <v>108</v>
      </c>
      <c r="D1533" s="9" t="s">
        <v>45</v>
      </c>
      <c r="E1533" s="9" t="s">
        <v>110</v>
      </c>
      <c r="F1533" s="5" t="n">
        <v>60</v>
      </c>
      <c r="G1533" s="10"/>
      <c r="H1533" s="11" t="str">
        <f aca="false">IFERROR(IF($D1533="Manual Review","",IF($G1533="","",IF($D1533="Direct Expiry",$G1533,EDATE($G1533,$F1533)))),"Check Date")</f>
        <v/>
      </c>
      <c r="I1533" s="12" t="str">
        <f aca="true">IF($H1533="","",IF(ISNUMBER($H1533),$H1533-TODAY(),""))</f>
        <v/>
      </c>
      <c r="J1533" s="4" t="str">
        <f aca="true">IF($D1533="Manual Review","Manual Review",IF($G1533="","No Data",IF(NOT(ISNUMBER($H1533)),"N/A",IF($H1533&lt;TODAY(),"Overdue",IF($H1533&lt;=TODAY()+30,"Due within 1 Month",IF($H1533&lt;=TODAY()+60,"Due within 2 Months","OK"))))))</f>
        <v>No Data</v>
      </c>
      <c r="K1533" s="13"/>
    </row>
    <row r="1534" customFormat="false" ht="15" hidden="false" customHeight="false" outlineLevel="0" collapsed="false">
      <c r="A1534" s="9" t="str">
        <f aca="false">Vessels!B18</f>
        <v>Vessel 14</v>
      </c>
      <c r="B1534" s="9" t="s">
        <v>88</v>
      </c>
      <c r="C1534" s="7" t="s">
        <v>111</v>
      </c>
      <c r="D1534" s="9" t="s">
        <v>45</v>
      </c>
      <c r="E1534" s="9" t="s">
        <v>44</v>
      </c>
      <c r="F1534" s="5" t="n">
        <v>12</v>
      </c>
      <c r="G1534" s="10"/>
      <c r="H1534" s="11" t="str">
        <f aca="false">IFERROR(IF($D1534="Manual Review","",IF($G1534="","",IF($D1534="Direct Expiry",$G1534,EDATE($G1534,$F1534)))),"Check Date")</f>
        <v/>
      </c>
      <c r="I1534" s="12" t="str">
        <f aca="true">IF($H1534="","",IF(ISNUMBER($H1534),$H1534-TODAY(),""))</f>
        <v/>
      </c>
      <c r="J1534" s="4" t="str">
        <f aca="true">IF($D1534="Manual Review","Manual Review",IF($G1534="","No Data",IF(NOT(ISNUMBER($H1534)),"N/A",IF($H1534&lt;TODAY(),"Overdue",IF($H1534&lt;=TODAY()+30,"Due within 1 Month",IF($H1534&lt;=TODAY()+60,"Due within 2 Months","OK"))))))</f>
        <v>No Data</v>
      </c>
      <c r="K1534" s="13"/>
    </row>
    <row r="1535" customFormat="false" ht="15" hidden="false" customHeight="false" outlineLevel="0" collapsed="false">
      <c r="A1535" s="9" t="str">
        <f aca="false">Vessels!B18</f>
        <v>Vessel 14</v>
      </c>
      <c r="B1535" s="9" t="s">
        <v>88</v>
      </c>
      <c r="C1535" s="7" t="s">
        <v>112</v>
      </c>
      <c r="D1535" s="9" t="s">
        <v>45</v>
      </c>
      <c r="E1535" s="9" t="s">
        <v>44</v>
      </c>
      <c r="F1535" s="5" t="n">
        <v>12</v>
      </c>
      <c r="G1535" s="10"/>
      <c r="H1535" s="11" t="str">
        <f aca="false">IFERROR(IF($D1535="Manual Review","",IF($G1535="","",IF($D1535="Direct Expiry",$G1535,EDATE($G1535,$F1535)))),"Check Date")</f>
        <v/>
      </c>
      <c r="I1535" s="12" t="str">
        <f aca="true">IF($H1535="","",IF(ISNUMBER($H1535),$H1535-TODAY(),""))</f>
        <v/>
      </c>
      <c r="J1535" s="4" t="str">
        <f aca="true">IF($D1535="Manual Review","Manual Review",IF($G1535="","No Data",IF(NOT(ISNUMBER($H1535)),"N/A",IF($H1535&lt;TODAY(),"Overdue",IF($H1535&lt;=TODAY()+30,"Due within 1 Month",IF($H1535&lt;=TODAY()+60,"Due within 2 Months","OK"))))))</f>
        <v>No Data</v>
      </c>
      <c r="K1535" s="13"/>
    </row>
    <row r="1536" customFormat="false" ht="15" hidden="false" customHeight="false" outlineLevel="0" collapsed="false">
      <c r="A1536" s="9" t="str">
        <f aca="false">Vessels!B18</f>
        <v>Vessel 14</v>
      </c>
      <c r="B1536" s="9" t="s">
        <v>88</v>
      </c>
      <c r="C1536" s="7" t="s">
        <v>113</v>
      </c>
      <c r="D1536" s="9" t="s">
        <v>115</v>
      </c>
      <c r="E1536" s="9" t="s">
        <v>114</v>
      </c>
      <c r="F1536" s="5"/>
      <c r="G1536" s="10"/>
      <c r="H1536" s="11" t="str">
        <f aca="false">IFERROR(IF($D1536="Manual Review","",IF($G1536="","",IF($D1536="Direct Expiry",$G1536,EDATE($G1536,$F1536)))),"Check Date")</f>
        <v/>
      </c>
      <c r="I1536" s="12" t="str">
        <f aca="true">IF($H1536="","",IF(ISNUMBER($H1536),$H1536-TODAY(),""))</f>
        <v/>
      </c>
      <c r="J1536" s="4" t="str">
        <f aca="true">IF($D1536="Manual Review","Manual Review",IF($G1536="","No Data",IF(NOT(ISNUMBER($H1536)),"N/A",IF($H1536&lt;TODAY(),"Overdue",IF($H1536&lt;=TODAY()+30,"Due within 1 Month",IF($H1536&lt;=TODAY()+60,"Due within 2 Months","OK"))))))</f>
        <v>Manual Review</v>
      </c>
      <c r="K1536" s="13"/>
    </row>
    <row r="1537" customFormat="false" ht="15" hidden="false" customHeight="false" outlineLevel="0" collapsed="false">
      <c r="A1537" s="9" t="str">
        <f aca="false">Vessels!B18</f>
        <v>Vessel 14</v>
      </c>
      <c r="B1537" s="9" t="s">
        <v>88</v>
      </c>
      <c r="C1537" s="7" t="s">
        <v>116</v>
      </c>
      <c r="D1537" s="9" t="s">
        <v>115</v>
      </c>
      <c r="E1537" s="9" t="s">
        <v>114</v>
      </c>
      <c r="F1537" s="5"/>
      <c r="G1537" s="10"/>
      <c r="H1537" s="11" t="str">
        <f aca="false">IFERROR(IF($D1537="Manual Review","",IF($G1537="","",IF($D1537="Direct Expiry",$G1537,EDATE($G1537,$F1537)))),"Check Date")</f>
        <v/>
      </c>
      <c r="I1537" s="12" t="str">
        <f aca="true">IF($H1537="","",IF(ISNUMBER($H1537),$H1537-TODAY(),""))</f>
        <v/>
      </c>
      <c r="J1537" s="4" t="str">
        <f aca="true">IF($D1537="Manual Review","Manual Review",IF($G1537="","No Data",IF(NOT(ISNUMBER($H1537)),"N/A",IF($H1537&lt;TODAY(),"Overdue",IF($H1537&lt;=TODAY()+30,"Due within 1 Month",IF($H1537&lt;=TODAY()+60,"Due within 2 Months","OK"))))))</f>
        <v>Manual Review</v>
      </c>
      <c r="K1537" s="13"/>
    </row>
    <row r="1538" customFormat="false" ht="15" hidden="false" customHeight="false" outlineLevel="0" collapsed="false">
      <c r="A1538" s="9" t="str">
        <f aca="false">Vessels!B18</f>
        <v>Vessel 14</v>
      </c>
      <c r="B1538" s="9" t="s">
        <v>117</v>
      </c>
      <c r="C1538" s="7" t="s">
        <v>118</v>
      </c>
      <c r="D1538" s="9" t="s">
        <v>59</v>
      </c>
      <c r="E1538" s="9" t="s">
        <v>119</v>
      </c>
      <c r="F1538" s="5"/>
      <c r="G1538" s="10"/>
      <c r="H1538" s="11" t="str">
        <f aca="false">IFERROR(IF($D1538="Manual Review","",IF($G1538="","",IF($D1538="Direct Expiry",$G1538,EDATE($G1538,$F1538)))),"Check Date")</f>
        <v/>
      </c>
      <c r="I1538" s="12" t="str">
        <f aca="true">IF($H1538="","",IF(ISNUMBER($H1538),$H1538-TODAY(),""))</f>
        <v/>
      </c>
      <c r="J1538" s="4" t="str">
        <f aca="true">IF($D1538="Manual Review","Manual Review",IF($G1538="","No Data",IF(NOT(ISNUMBER($H1538)),"N/A",IF($H1538&lt;TODAY(),"Overdue",IF($H1538&lt;=TODAY()+30,"Due within 1 Month",IF($H1538&lt;=TODAY()+60,"Due within 2 Months","OK"))))))</f>
        <v>No Data</v>
      </c>
      <c r="K1538" s="13"/>
    </row>
    <row r="1539" customFormat="false" ht="15" hidden="false" customHeight="false" outlineLevel="0" collapsed="false">
      <c r="A1539" s="9" t="str">
        <f aca="false">Vessels!B18</f>
        <v>Vessel 14</v>
      </c>
      <c r="B1539" s="9" t="s">
        <v>117</v>
      </c>
      <c r="C1539" s="7" t="s">
        <v>120</v>
      </c>
      <c r="D1539" s="9" t="s">
        <v>45</v>
      </c>
      <c r="E1539" s="9" t="s">
        <v>44</v>
      </c>
      <c r="F1539" s="5" t="n">
        <v>12</v>
      </c>
      <c r="G1539" s="10"/>
      <c r="H1539" s="11" t="str">
        <f aca="false">IFERROR(IF($D1539="Manual Review","",IF($G1539="","",IF($D1539="Direct Expiry",$G1539,EDATE($G1539,$F1539)))),"Check Date")</f>
        <v/>
      </c>
      <c r="I1539" s="12" t="str">
        <f aca="true">IF($H1539="","",IF(ISNUMBER($H1539),$H1539-TODAY(),""))</f>
        <v/>
      </c>
      <c r="J1539" s="4" t="str">
        <f aca="true">IF($D1539="Manual Review","Manual Review",IF($G1539="","No Data",IF(NOT(ISNUMBER($H1539)),"N/A",IF($H1539&lt;TODAY(),"Overdue",IF($H1539&lt;=TODAY()+30,"Due within 1 Month",IF($H1539&lt;=TODAY()+60,"Due within 2 Months","OK"))))))</f>
        <v>No Data</v>
      </c>
      <c r="K1539" s="13"/>
    </row>
    <row r="1540" customFormat="false" ht="15" hidden="false" customHeight="false" outlineLevel="0" collapsed="false">
      <c r="A1540" s="9" t="str">
        <f aca="false">Vessels!B18</f>
        <v>Vessel 14</v>
      </c>
      <c r="B1540" s="9" t="s">
        <v>117</v>
      </c>
      <c r="C1540" s="7" t="s">
        <v>121</v>
      </c>
      <c r="D1540" s="9" t="s">
        <v>45</v>
      </c>
      <c r="E1540" s="9" t="s">
        <v>44</v>
      </c>
      <c r="F1540" s="5" t="n">
        <v>12</v>
      </c>
      <c r="G1540" s="10"/>
      <c r="H1540" s="11" t="str">
        <f aca="false">IFERROR(IF($D1540="Manual Review","",IF($G1540="","",IF($D1540="Direct Expiry",$G1540,EDATE($G1540,$F1540)))),"Check Date")</f>
        <v/>
      </c>
      <c r="I1540" s="12" t="str">
        <f aca="true">IF($H1540="","",IF(ISNUMBER($H1540),$H1540-TODAY(),""))</f>
        <v/>
      </c>
      <c r="J1540" s="4" t="str">
        <f aca="true">IF($D1540="Manual Review","Manual Review",IF($G1540="","No Data",IF(NOT(ISNUMBER($H1540)),"N/A",IF($H1540&lt;TODAY(),"Overdue",IF($H1540&lt;=TODAY()+30,"Due within 1 Month",IF($H1540&lt;=TODAY()+60,"Due within 2 Months","OK"))))))</f>
        <v>No Data</v>
      </c>
      <c r="K1540" s="13"/>
    </row>
    <row r="1541" customFormat="false" ht="15" hidden="false" customHeight="false" outlineLevel="0" collapsed="false">
      <c r="A1541" s="9" t="str">
        <f aca="false">Vessels!B18</f>
        <v>Vessel 14</v>
      </c>
      <c r="B1541" s="9" t="s">
        <v>117</v>
      </c>
      <c r="C1541" s="7" t="s">
        <v>122</v>
      </c>
      <c r="D1541" s="9" t="s">
        <v>45</v>
      </c>
      <c r="E1541" s="9" t="s">
        <v>123</v>
      </c>
      <c r="F1541" s="5" t="n">
        <v>24</v>
      </c>
      <c r="G1541" s="10"/>
      <c r="H1541" s="11" t="str">
        <f aca="false">IFERROR(IF($D1541="Manual Review","",IF($G1541="","",IF($D1541="Direct Expiry",$G1541,EDATE($G1541,$F1541)))),"Check Date")</f>
        <v/>
      </c>
      <c r="I1541" s="12" t="str">
        <f aca="true">IF($H1541="","",IF(ISNUMBER($H1541),$H1541-TODAY(),""))</f>
        <v/>
      </c>
      <c r="J1541" s="4" t="str">
        <f aca="true">IF($D1541="Manual Review","Manual Review",IF($G1541="","No Data",IF(NOT(ISNUMBER($H1541)),"N/A",IF($H1541&lt;TODAY(),"Overdue",IF($H1541&lt;=TODAY()+30,"Due within 1 Month",IF($H1541&lt;=TODAY()+60,"Due within 2 Months","OK"))))))</f>
        <v>No Data</v>
      </c>
      <c r="K1541" s="13"/>
    </row>
    <row r="1542" customFormat="false" ht="15" hidden="false" customHeight="false" outlineLevel="0" collapsed="false">
      <c r="A1542" s="9" t="str">
        <f aca="false">Vessels!B18</f>
        <v>Vessel 14</v>
      </c>
      <c r="B1542" s="9" t="s">
        <v>117</v>
      </c>
      <c r="C1542" s="7" t="s">
        <v>124</v>
      </c>
      <c r="D1542" s="9" t="s">
        <v>59</v>
      </c>
      <c r="E1542" s="9" t="s">
        <v>58</v>
      </c>
      <c r="F1542" s="5"/>
      <c r="G1542" s="10"/>
      <c r="H1542" s="11" t="str">
        <f aca="false">IFERROR(IF($D1542="Manual Review","",IF($G1542="","",IF($D1542="Direct Expiry",$G1542,EDATE($G1542,$F1542)))),"Check Date")</f>
        <v/>
      </c>
      <c r="I1542" s="12" t="str">
        <f aca="true">IF($H1542="","",IF(ISNUMBER($H1542),$H1542-TODAY(),""))</f>
        <v/>
      </c>
      <c r="J1542" s="4" t="str">
        <f aca="true">IF($D1542="Manual Review","Manual Review",IF($G1542="","No Data",IF(NOT(ISNUMBER($H1542)),"N/A",IF($H1542&lt;TODAY(),"Overdue",IF($H1542&lt;=TODAY()+30,"Due within 1 Month",IF($H1542&lt;=TODAY()+60,"Due within 2 Months","OK"))))))</f>
        <v>No Data</v>
      </c>
      <c r="K1542" s="13"/>
    </row>
    <row r="1543" customFormat="false" ht="15" hidden="false" customHeight="false" outlineLevel="0" collapsed="false">
      <c r="A1543" s="9" t="str">
        <f aca="false">Vessels!B18</f>
        <v>Vessel 14</v>
      </c>
      <c r="B1543" s="9" t="s">
        <v>117</v>
      </c>
      <c r="C1543" s="7" t="s">
        <v>125</v>
      </c>
      <c r="D1543" s="9" t="s">
        <v>59</v>
      </c>
      <c r="E1543" s="9" t="s">
        <v>58</v>
      </c>
      <c r="F1543" s="5"/>
      <c r="G1543" s="10"/>
      <c r="H1543" s="11" t="str">
        <f aca="false">IFERROR(IF($D1543="Manual Review","",IF($G1543="","",IF($D1543="Direct Expiry",$G1543,EDATE($G1543,$F1543)))),"Check Date")</f>
        <v/>
      </c>
      <c r="I1543" s="12" t="str">
        <f aca="true">IF($H1543="","",IF(ISNUMBER($H1543),$H1543-TODAY(),""))</f>
        <v/>
      </c>
      <c r="J1543" s="4" t="str">
        <f aca="true">IF($D1543="Manual Review","Manual Review",IF($G1543="","No Data",IF(NOT(ISNUMBER($H1543)),"N/A",IF($H1543&lt;TODAY(),"Overdue",IF($H1543&lt;=TODAY()+30,"Due within 1 Month",IF($H1543&lt;=TODAY()+60,"Due within 2 Months","OK"))))))</f>
        <v>No Data</v>
      </c>
      <c r="K1543" s="13"/>
    </row>
    <row r="1544" customFormat="false" ht="15" hidden="false" customHeight="false" outlineLevel="0" collapsed="false">
      <c r="A1544" s="9" t="str">
        <f aca="false">Vessels!B18</f>
        <v>Vessel 14</v>
      </c>
      <c r="B1544" s="9" t="s">
        <v>117</v>
      </c>
      <c r="C1544" s="7" t="s">
        <v>126</v>
      </c>
      <c r="D1544" s="9" t="s">
        <v>45</v>
      </c>
      <c r="E1544" s="9" t="s">
        <v>44</v>
      </c>
      <c r="F1544" s="5" t="n">
        <v>12</v>
      </c>
      <c r="G1544" s="10"/>
      <c r="H1544" s="11" t="str">
        <f aca="false">IFERROR(IF($D1544="Manual Review","",IF($G1544="","",IF($D1544="Direct Expiry",$G1544,EDATE($G1544,$F1544)))),"Check Date")</f>
        <v/>
      </c>
      <c r="I1544" s="12" t="str">
        <f aca="true">IF($H1544="","",IF(ISNUMBER($H1544),$H1544-TODAY(),""))</f>
        <v/>
      </c>
      <c r="J1544" s="4" t="str">
        <f aca="true">IF($D1544="Manual Review","Manual Review",IF($G1544="","No Data",IF(NOT(ISNUMBER($H1544)),"N/A",IF($H1544&lt;TODAY(),"Overdue",IF($H1544&lt;=TODAY()+30,"Due within 1 Month",IF($H1544&lt;=TODAY()+60,"Due within 2 Months","OK"))))))</f>
        <v>No Data</v>
      </c>
      <c r="K1544" s="13"/>
    </row>
    <row r="1545" customFormat="false" ht="15" hidden="false" customHeight="false" outlineLevel="0" collapsed="false">
      <c r="A1545" s="9" t="str">
        <f aca="false">Vessels!B18</f>
        <v>Vessel 14</v>
      </c>
      <c r="B1545" s="9" t="s">
        <v>117</v>
      </c>
      <c r="C1545" s="7" t="s">
        <v>127</v>
      </c>
      <c r="D1545" s="9" t="s">
        <v>59</v>
      </c>
      <c r="E1545" s="9" t="s">
        <v>58</v>
      </c>
      <c r="F1545" s="5"/>
      <c r="G1545" s="10"/>
      <c r="H1545" s="11" t="str">
        <f aca="false">IFERROR(IF($D1545="Manual Review","",IF($G1545="","",IF($D1545="Direct Expiry",$G1545,EDATE($G1545,$F1545)))),"Check Date")</f>
        <v/>
      </c>
      <c r="I1545" s="12" t="str">
        <f aca="true">IF($H1545="","",IF(ISNUMBER($H1545),$H1545-TODAY(),""))</f>
        <v/>
      </c>
      <c r="J1545" s="4" t="str">
        <f aca="true">IF($D1545="Manual Review","Manual Review",IF($G1545="","No Data",IF(NOT(ISNUMBER($H1545)),"N/A",IF($H1545&lt;TODAY(),"Overdue",IF($H1545&lt;=TODAY()+30,"Due within 1 Month",IF($H1545&lt;=TODAY()+60,"Due within 2 Months","OK"))))))</f>
        <v>No Data</v>
      </c>
      <c r="K1545" s="13"/>
    </row>
    <row r="1546" customFormat="false" ht="15" hidden="false" customHeight="false" outlineLevel="0" collapsed="false">
      <c r="A1546" s="9" t="str">
        <f aca="false">Vessels!B18</f>
        <v>Vessel 14</v>
      </c>
      <c r="B1546" s="9" t="s">
        <v>117</v>
      </c>
      <c r="C1546" s="7" t="s">
        <v>128</v>
      </c>
      <c r="D1546" s="9" t="s">
        <v>59</v>
      </c>
      <c r="E1546" s="9" t="s">
        <v>58</v>
      </c>
      <c r="F1546" s="5"/>
      <c r="G1546" s="10"/>
      <c r="H1546" s="11" t="str">
        <f aca="false">IFERROR(IF($D1546="Manual Review","",IF($G1546="","",IF($D1546="Direct Expiry",$G1546,EDATE($G1546,$F1546)))),"Check Date")</f>
        <v/>
      </c>
      <c r="I1546" s="12" t="str">
        <f aca="true">IF($H1546="","",IF(ISNUMBER($H1546),$H1546-TODAY(),""))</f>
        <v/>
      </c>
      <c r="J1546" s="4" t="str">
        <f aca="true">IF($D1546="Manual Review","Manual Review",IF($G1546="","No Data",IF(NOT(ISNUMBER($H1546)),"N/A",IF($H1546&lt;TODAY(),"Overdue",IF($H1546&lt;=TODAY()+30,"Due within 1 Month",IF($H1546&lt;=TODAY()+60,"Due within 2 Months","OK"))))))</f>
        <v>No Data</v>
      </c>
      <c r="K1546" s="13"/>
    </row>
    <row r="1547" customFormat="false" ht="15" hidden="false" customHeight="false" outlineLevel="0" collapsed="false">
      <c r="A1547" s="9" t="str">
        <f aca="false">Vessels!B18</f>
        <v>Vessel 14</v>
      </c>
      <c r="B1547" s="9" t="s">
        <v>117</v>
      </c>
      <c r="C1547" s="7" t="s">
        <v>129</v>
      </c>
      <c r="D1547" s="9" t="s">
        <v>59</v>
      </c>
      <c r="E1547" s="9" t="s">
        <v>58</v>
      </c>
      <c r="F1547" s="5"/>
      <c r="G1547" s="10"/>
      <c r="H1547" s="11" t="str">
        <f aca="false">IFERROR(IF($D1547="Manual Review","",IF($G1547="","",IF($D1547="Direct Expiry",$G1547,EDATE($G1547,$F1547)))),"Check Date")</f>
        <v/>
      </c>
      <c r="I1547" s="12" t="str">
        <f aca="true">IF($H1547="","",IF(ISNUMBER($H1547),$H1547-TODAY(),""))</f>
        <v/>
      </c>
      <c r="J1547" s="4" t="str">
        <f aca="true">IF($D1547="Manual Review","Manual Review",IF($G1547="","No Data",IF(NOT(ISNUMBER($H1547)),"N/A",IF($H1547&lt;TODAY(),"Overdue",IF($H1547&lt;=TODAY()+30,"Due within 1 Month",IF($H1547&lt;=TODAY()+60,"Due within 2 Months","OK"))))))</f>
        <v>No Data</v>
      </c>
      <c r="K1547" s="13"/>
    </row>
    <row r="1548" customFormat="false" ht="15" hidden="false" customHeight="false" outlineLevel="0" collapsed="false">
      <c r="A1548" s="9" t="str">
        <f aca="false">Vessels!B18</f>
        <v>Vessel 14</v>
      </c>
      <c r="B1548" s="9" t="s">
        <v>117</v>
      </c>
      <c r="C1548" s="7" t="s">
        <v>130</v>
      </c>
      <c r="D1548" s="9" t="s">
        <v>45</v>
      </c>
      <c r="E1548" s="9" t="s">
        <v>44</v>
      </c>
      <c r="F1548" s="5" t="n">
        <v>12</v>
      </c>
      <c r="G1548" s="10"/>
      <c r="H1548" s="11" t="str">
        <f aca="false">IFERROR(IF($D1548="Manual Review","",IF($G1548="","",IF($D1548="Direct Expiry",$G1548,EDATE($G1548,$F1548)))),"Check Date")</f>
        <v/>
      </c>
      <c r="I1548" s="12" t="str">
        <f aca="true">IF($H1548="","",IF(ISNUMBER($H1548),$H1548-TODAY(),""))</f>
        <v/>
      </c>
      <c r="J1548" s="4" t="str">
        <f aca="true">IF($D1548="Manual Review","Manual Review",IF($G1548="","No Data",IF(NOT(ISNUMBER($H1548)),"N/A",IF($H1548&lt;TODAY(),"Overdue",IF($H1548&lt;=TODAY()+30,"Due within 1 Month",IF($H1548&lt;=TODAY()+60,"Due within 2 Months","OK"))))))</f>
        <v>No Data</v>
      </c>
      <c r="K1548" s="13"/>
    </row>
    <row r="1549" customFormat="false" ht="15" hidden="false" customHeight="false" outlineLevel="0" collapsed="false">
      <c r="A1549" s="9" t="str">
        <f aca="false">Vessels!B18</f>
        <v>Vessel 14</v>
      </c>
      <c r="B1549" s="9" t="s">
        <v>117</v>
      </c>
      <c r="C1549" s="7" t="s">
        <v>131</v>
      </c>
      <c r="D1549" s="9" t="s">
        <v>45</v>
      </c>
      <c r="E1549" s="9" t="s">
        <v>44</v>
      </c>
      <c r="F1549" s="5" t="n">
        <v>12</v>
      </c>
      <c r="G1549" s="10"/>
      <c r="H1549" s="11" t="str">
        <f aca="false">IFERROR(IF($D1549="Manual Review","",IF($G1549="","",IF($D1549="Direct Expiry",$G1549,EDATE($G1549,$F1549)))),"Check Date")</f>
        <v/>
      </c>
      <c r="I1549" s="12" t="str">
        <f aca="true">IF($H1549="","",IF(ISNUMBER($H1549),$H1549-TODAY(),""))</f>
        <v/>
      </c>
      <c r="J1549" s="4" t="str">
        <f aca="true">IF($D1549="Manual Review","Manual Review",IF($G1549="","No Data",IF(NOT(ISNUMBER($H1549)),"N/A",IF($H1549&lt;TODAY(),"Overdue",IF($H1549&lt;=TODAY()+30,"Due within 1 Month",IF($H1549&lt;=TODAY()+60,"Due within 2 Months","OK"))))))</f>
        <v>No Data</v>
      </c>
      <c r="K1549" s="13"/>
    </row>
    <row r="1550" customFormat="false" ht="15" hidden="false" customHeight="false" outlineLevel="0" collapsed="false">
      <c r="A1550" s="9" t="str">
        <f aca="false">Vessels!B18</f>
        <v>Vessel 14</v>
      </c>
      <c r="B1550" s="9" t="s">
        <v>117</v>
      </c>
      <c r="C1550" s="7" t="s">
        <v>132</v>
      </c>
      <c r="D1550" s="9" t="s">
        <v>45</v>
      </c>
      <c r="E1550" s="9" t="s">
        <v>44</v>
      </c>
      <c r="F1550" s="5" t="n">
        <v>12</v>
      </c>
      <c r="G1550" s="10"/>
      <c r="H1550" s="11" t="str">
        <f aca="false">IFERROR(IF($D1550="Manual Review","",IF($G1550="","",IF($D1550="Direct Expiry",$G1550,EDATE($G1550,$F1550)))),"Check Date")</f>
        <v/>
      </c>
      <c r="I1550" s="12" t="str">
        <f aca="true">IF($H1550="","",IF(ISNUMBER($H1550),$H1550-TODAY(),""))</f>
        <v/>
      </c>
      <c r="J1550" s="4" t="str">
        <f aca="true">IF($D1550="Manual Review","Manual Review",IF($G1550="","No Data",IF(NOT(ISNUMBER($H1550)),"N/A",IF($H1550&lt;TODAY(),"Overdue",IF($H1550&lt;=TODAY()+30,"Due within 1 Month",IF($H1550&lt;=TODAY()+60,"Due within 2 Months","OK"))))))</f>
        <v>No Data</v>
      </c>
      <c r="K1550" s="13"/>
    </row>
    <row r="1551" customFormat="false" ht="15" hidden="false" customHeight="false" outlineLevel="0" collapsed="false">
      <c r="A1551" s="9" t="str">
        <f aca="false">Vessels!B18</f>
        <v>Vessel 14</v>
      </c>
      <c r="B1551" s="9" t="s">
        <v>117</v>
      </c>
      <c r="C1551" s="7" t="s">
        <v>133</v>
      </c>
      <c r="D1551" s="9" t="s">
        <v>45</v>
      </c>
      <c r="E1551" s="9" t="s">
        <v>44</v>
      </c>
      <c r="F1551" s="5" t="n">
        <v>12</v>
      </c>
      <c r="G1551" s="10"/>
      <c r="H1551" s="11" t="str">
        <f aca="false">IFERROR(IF($D1551="Manual Review","",IF($G1551="","",IF($D1551="Direct Expiry",$G1551,EDATE($G1551,$F1551)))),"Check Date")</f>
        <v/>
      </c>
      <c r="I1551" s="12" t="str">
        <f aca="true">IF($H1551="","",IF(ISNUMBER($H1551),$H1551-TODAY(),""))</f>
        <v/>
      </c>
      <c r="J1551" s="4" t="str">
        <f aca="true">IF($D1551="Manual Review","Manual Review",IF($G1551="","No Data",IF(NOT(ISNUMBER($H1551)),"N/A",IF($H1551&lt;TODAY(),"Overdue",IF($H1551&lt;=TODAY()+30,"Due within 1 Month",IF($H1551&lt;=TODAY()+60,"Due within 2 Months","OK"))))))</f>
        <v>No Data</v>
      </c>
      <c r="K1551" s="13"/>
    </row>
    <row r="1552" customFormat="false" ht="15" hidden="false" customHeight="false" outlineLevel="0" collapsed="false">
      <c r="A1552" s="9" t="str">
        <f aca="false">Vessels!B18</f>
        <v>Vessel 14</v>
      </c>
      <c r="B1552" s="9" t="s">
        <v>117</v>
      </c>
      <c r="C1552" s="7" t="s">
        <v>134</v>
      </c>
      <c r="D1552" s="9" t="s">
        <v>45</v>
      </c>
      <c r="E1552" s="9" t="s">
        <v>44</v>
      </c>
      <c r="F1552" s="5" t="n">
        <v>12</v>
      </c>
      <c r="G1552" s="10"/>
      <c r="H1552" s="11" t="str">
        <f aca="false">IFERROR(IF($D1552="Manual Review","",IF($G1552="","",IF($D1552="Direct Expiry",$G1552,EDATE($G1552,$F1552)))),"Check Date")</f>
        <v/>
      </c>
      <c r="I1552" s="12" t="str">
        <f aca="true">IF($H1552="","",IF(ISNUMBER($H1552),$H1552-TODAY(),""))</f>
        <v/>
      </c>
      <c r="J1552" s="4" t="str">
        <f aca="true">IF($D1552="Manual Review","Manual Review",IF($G1552="","No Data",IF(NOT(ISNUMBER($H1552)),"N/A",IF($H1552&lt;TODAY(),"Overdue",IF($H1552&lt;=TODAY()+30,"Due within 1 Month",IF($H1552&lt;=TODAY()+60,"Due within 2 Months","OK"))))))</f>
        <v>No Data</v>
      </c>
      <c r="K1552" s="13"/>
    </row>
    <row r="1553" customFormat="false" ht="15" hidden="false" customHeight="false" outlineLevel="0" collapsed="false">
      <c r="A1553" s="9" t="str">
        <f aca="false">Vessels!B18</f>
        <v>Vessel 14</v>
      </c>
      <c r="B1553" s="9" t="s">
        <v>117</v>
      </c>
      <c r="C1553" s="7" t="s">
        <v>135</v>
      </c>
      <c r="D1553" s="9" t="s">
        <v>45</v>
      </c>
      <c r="E1553" s="9" t="s">
        <v>44</v>
      </c>
      <c r="F1553" s="5" t="n">
        <v>12</v>
      </c>
      <c r="G1553" s="10"/>
      <c r="H1553" s="11" t="str">
        <f aca="false">IFERROR(IF($D1553="Manual Review","",IF($G1553="","",IF($D1553="Direct Expiry",$G1553,EDATE($G1553,$F1553)))),"Check Date")</f>
        <v/>
      </c>
      <c r="I1553" s="12" t="str">
        <f aca="true">IF($H1553="","",IF(ISNUMBER($H1553),$H1553-TODAY(),""))</f>
        <v/>
      </c>
      <c r="J1553" s="4" t="str">
        <f aca="true">IF($D1553="Manual Review","Manual Review",IF($G1553="","No Data",IF(NOT(ISNUMBER($H1553)),"N/A",IF($H1553&lt;TODAY(),"Overdue",IF($H1553&lt;=TODAY()+30,"Due within 1 Month",IF($H1553&lt;=TODAY()+60,"Due within 2 Months","OK"))))))</f>
        <v>No Data</v>
      </c>
      <c r="K1553" s="13"/>
    </row>
    <row r="1554" customFormat="false" ht="15" hidden="false" customHeight="false" outlineLevel="0" collapsed="false">
      <c r="A1554" s="9" t="str">
        <f aca="false">Vessels!B18</f>
        <v>Vessel 14</v>
      </c>
      <c r="B1554" s="9" t="s">
        <v>136</v>
      </c>
      <c r="C1554" s="7" t="s">
        <v>137</v>
      </c>
      <c r="D1554" s="9" t="s">
        <v>45</v>
      </c>
      <c r="E1554" s="9" t="s">
        <v>44</v>
      </c>
      <c r="F1554" s="5" t="n">
        <v>12</v>
      </c>
      <c r="G1554" s="10"/>
      <c r="H1554" s="11" t="str">
        <f aca="false">IFERROR(IF($D1554="Manual Review","",IF($G1554="","",IF($D1554="Direct Expiry",$G1554,EDATE($G1554,$F1554)))),"Check Date")</f>
        <v/>
      </c>
      <c r="I1554" s="12" t="str">
        <f aca="true">IF($H1554="","",IF(ISNUMBER($H1554),$H1554-TODAY(),""))</f>
        <v/>
      </c>
      <c r="J1554" s="4" t="str">
        <f aca="true">IF($D1554="Manual Review","Manual Review",IF($G1554="","No Data",IF(NOT(ISNUMBER($H1554)),"N/A",IF($H1554&lt;TODAY(),"Overdue",IF($H1554&lt;=TODAY()+30,"Due within 1 Month",IF($H1554&lt;=TODAY()+60,"Due within 2 Months","OK"))))))</f>
        <v>No Data</v>
      </c>
      <c r="K1554" s="13"/>
    </row>
    <row r="1555" customFormat="false" ht="15" hidden="false" customHeight="false" outlineLevel="0" collapsed="false">
      <c r="A1555" s="9" t="str">
        <f aca="false">Vessels!B18</f>
        <v>Vessel 14</v>
      </c>
      <c r="B1555" s="9" t="s">
        <v>136</v>
      </c>
      <c r="C1555" s="7" t="s">
        <v>138</v>
      </c>
      <c r="D1555" s="9" t="s">
        <v>45</v>
      </c>
      <c r="E1555" s="9" t="s">
        <v>44</v>
      </c>
      <c r="F1555" s="5" t="n">
        <v>12</v>
      </c>
      <c r="G1555" s="10"/>
      <c r="H1555" s="11" t="str">
        <f aca="false">IFERROR(IF($D1555="Manual Review","",IF($G1555="","",IF($D1555="Direct Expiry",$G1555,EDATE($G1555,$F1555)))),"Check Date")</f>
        <v/>
      </c>
      <c r="I1555" s="12" t="str">
        <f aca="true">IF($H1555="","",IF(ISNUMBER($H1555),$H1555-TODAY(),""))</f>
        <v/>
      </c>
      <c r="J1555" s="4" t="str">
        <f aca="true">IF($D1555="Manual Review","Manual Review",IF($G1555="","No Data",IF(NOT(ISNUMBER($H1555)),"N/A",IF($H1555&lt;TODAY(),"Overdue",IF($H1555&lt;=TODAY()+30,"Due within 1 Month",IF($H1555&lt;=TODAY()+60,"Due within 2 Months","OK"))))))</f>
        <v>No Data</v>
      </c>
      <c r="K1555" s="13"/>
    </row>
    <row r="1556" customFormat="false" ht="15" hidden="false" customHeight="false" outlineLevel="0" collapsed="false">
      <c r="A1556" s="9" t="str">
        <f aca="false">Vessels!B18</f>
        <v>Vessel 14</v>
      </c>
      <c r="B1556" s="9" t="s">
        <v>136</v>
      </c>
      <c r="C1556" s="7" t="s">
        <v>139</v>
      </c>
      <c r="D1556" s="9" t="s">
        <v>45</v>
      </c>
      <c r="E1556" s="9" t="s">
        <v>140</v>
      </c>
      <c r="F1556" s="5" t="n">
        <v>12</v>
      </c>
      <c r="G1556" s="10"/>
      <c r="H1556" s="11" t="str">
        <f aca="false">IFERROR(IF($D1556="Manual Review","",IF($G1556="","",IF($D1556="Direct Expiry",$G1556,EDATE($G1556,$F1556)))),"Check Date")</f>
        <v/>
      </c>
      <c r="I1556" s="12" t="str">
        <f aca="true">IF($H1556="","",IF(ISNUMBER($H1556),$H1556-TODAY(),""))</f>
        <v/>
      </c>
      <c r="J1556" s="4" t="str">
        <f aca="true">IF($D1556="Manual Review","Manual Review",IF($G1556="","No Data",IF(NOT(ISNUMBER($H1556)),"N/A",IF($H1556&lt;TODAY(),"Overdue",IF($H1556&lt;=TODAY()+30,"Due within 1 Month",IF($H1556&lt;=TODAY()+60,"Due within 2 Months","OK"))))))</f>
        <v>No Data</v>
      </c>
      <c r="K1556" s="13"/>
    </row>
    <row r="1557" customFormat="false" ht="15" hidden="false" customHeight="false" outlineLevel="0" collapsed="false">
      <c r="A1557" s="9" t="str">
        <f aca="false">Vessels!B18</f>
        <v>Vessel 14</v>
      </c>
      <c r="B1557" s="9" t="s">
        <v>136</v>
      </c>
      <c r="C1557" s="7" t="s">
        <v>141</v>
      </c>
      <c r="D1557" s="9" t="s">
        <v>45</v>
      </c>
      <c r="E1557" s="9" t="s">
        <v>44</v>
      </c>
      <c r="F1557" s="5" t="n">
        <v>12</v>
      </c>
      <c r="G1557" s="10"/>
      <c r="H1557" s="11" t="str">
        <f aca="false">IFERROR(IF($D1557="Manual Review","",IF($G1557="","",IF($D1557="Direct Expiry",$G1557,EDATE($G1557,$F1557)))),"Check Date")</f>
        <v/>
      </c>
      <c r="I1557" s="12" t="str">
        <f aca="true">IF($H1557="","",IF(ISNUMBER($H1557),$H1557-TODAY(),""))</f>
        <v/>
      </c>
      <c r="J1557" s="4" t="str">
        <f aca="true">IF($D1557="Manual Review","Manual Review",IF($G1557="","No Data",IF(NOT(ISNUMBER($H1557)),"N/A",IF($H1557&lt;TODAY(),"Overdue",IF($H1557&lt;=TODAY()+30,"Due within 1 Month",IF($H1557&lt;=TODAY()+60,"Due within 2 Months","OK"))))))</f>
        <v>No Data</v>
      </c>
      <c r="K1557" s="13"/>
    </row>
    <row r="1558" customFormat="false" ht="15" hidden="false" customHeight="false" outlineLevel="0" collapsed="false">
      <c r="A1558" s="9" t="str">
        <f aca="false">Vessels!B18</f>
        <v>Vessel 14</v>
      </c>
      <c r="B1558" s="9" t="s">
        <v>136</v>
      </c>
      <c r="C1558" s="7" t="s">
        <v>142</v>
      </c>
      <c r="D1558" s="9" t="s">
        <v>115</v>
      </c>
      <c r="E1558" s="9" t="s">
        <v>143</v>
      </c>
      <c r="F1558" s="5"/>
      <c r="G1558" s="10"/>
      <c r="H1558" s="11" t="str">
        <f aca="false">IFERROR(IF($D1558="Manual Review","",IF($G1558="","",IF($D1558="Direct Expiry",$G1558,EDATE($G1558,$F1558)))),"Check Date")</f>
        <v/>
      </c>
      <c r="I1558" s="12" t="str">
        <f aca="true">IF($H1558="","",IF(ISNUMBER($H1558),$H1558-TODAY(),""))</f>
        <v/>
      </c>
      <c r="J1558" s="4" t="str">
        <f aca="true">IF($D1558="Manual Review","Manual Review",IF($G1558="","No Data",IF(NOT(ISNUMBER($H1558)),"N/A",IF($H1558&lt;TODAY(),"Overdue",IF($H1558&lt;=TODAY()+30,"Due within 1 Month",IF($H1558&lt;=TODAY()+60,"Due within 2 Months","OK"))))))</f>
        <v>Manual Review</v>
      </c>
      <c r="K1558" s="13"/>
    </row>
    <row r="1559" customFormat="false" ht="15" hidden="false" customHeight="false" outlineLevel="0" collapsed="false">
      <c r="A1559" s="9" t="str">
        <f aca="false">Vessels!B18</f>
        <v>Vessel 14</v>
      </c>
      <c r="B1559" s="9" t="s">
        <v>136</v>
      </c>
      <c r="C1559" s="7" t="s">
        <v>144</v>
      </c>
      <c r="D1559" s="9" t="s">
        <v>45</v>
      </c>
      <c r="E1559" s="9" t="s">
        <v>44</v>
      </c>
      <c r="F1559" s="5" t="n">
        <v>12</v>
      </c>
      <c r="G1559" s="10"/>
      <c r="H1559" s="11" t="str">
        <f aca="false">IFERROR(IF($D1559="Manual Review","",IF($G1559="","",IF($D1559="Direct Expiry",$G1559,EDATE($G1559,$F1559)))),"Check Date")</f>
        <v/>
      </c>
      <c r="I1559" s="12" t="str">
        <f aca="true">IF($H1559="","",IF(ISNUMBER($H1559),$H1559-TODAY(),""))</f>
        <v/>
      </c>
      <c r="J1559" s="4" t="str">
        <f aca="true">IF($D1559="Manual Review","Manual Review",IF($G1559="","No Data",IF(NOT(ISNUMBER($H1559)),"N/A",IF($H1559&lt;TODAY(),"Overdue",IF($H1559&lt;=TODAY()+30,"Due within 1 Month",IF($H1559&lt;=TODAY()+60,"Due within 2 Months","OK"))))))</f>
        <v>No Data</v>
      </c>
      <c r="K1559" s="13"/>
    </row>
    <row r="1560" customFormat="false" ht="15" hidden="false" customHeight="false" outlineLevel="0" collapsed="false">
      <c r="A1560" s="9" t="str">
        <f aca="false">Vessels!B18</f>
        <v>Vessel 14</v>
      </c>
      <c r="B1560" s="9" t="s">
        <v>136</v>
      </c>
      <c r="C1560" s="7" t="s">
        <v>145</v>
      </c>
      <c r="D1560" s="9" t="s">
        <v>45</v>
      </c>
      <c r="E1560" s="9" t="s">
        <v>44</v>
      </c>
      <c r="F1560" s="5" t="n">
        <v>12</v>
      </c>
      <c r="G1560" s="10"/>
      <c r="H1560" s="11" t="str">
        <f aca="false">IFERROR(IF($D1560="Manual Review","",IF($G1560="","",IF($D1560="Direct Expiry",$G1560,EDATE($G1560,$F1560)))),"Check Date")</f>
        <v/>
      </c>
      <c r="I1560" s="12" t="str">
        <f aca="true">IF($H1560="","",IF(ISNUMBER($H1560),$H1560-TODAY(),""))</f>
        <v/>
      </c>
      <c r="J1560" s="4" t="str">
        <f aca="true">IF($D1560="Manual Review","Manual Review",IF($G1560="","No Data",IF(NOT(ISNUMBER($H1560)),"N/A",IF($H1560&lt;TODAY(),"Overdue",IF($H1560&lt;=TODAY()+30,"Due within 1 Month",IF($H1560&lt;=TODAY()+60,"Due within 2 Months","OK"))))))</f>
        <v>No Data</v>
      </c>
      <c r="K1560" s="13"/>
    </row>
    <row r="1561" customFormat="false" ht="15" hidden="false" customHeight="false" outlineLevel="0" collapsed="false">
      <c r="A1561" s="9" t="str">
        <f aca="false">Vessels!B18</f>
        <v>Vessel 14</v>
      </c>
      <c r="B1561" s="9" t="s">
        <v>136</v>
      </c>
      <c r="C1561" s="7" t="s">
        <v>146</v>
      </c>
      <c r="D1561" s="9" t="s">
        <v>45</v>
      </c>
      <c r="E1561" s="9" t="s">
        <v>44</v>
      </c>
      <c r="F1561" s="5" t="n">
        <v>12</v>
      </c>
      <c r="G1561" s="10"/>
      <c r="H1561" s="11" t="str">
        <f aca="false">IFERROR(IF($D1561="Manual Review","",IF($G1561="","",IF($D1561="Direct Expiry",$G1561,EDATE($G1561,$F1561)))),"Check Date")</f>
        <v/>
      </c>
      <c r="I1561" s="12" t="str">
        <f aca="true">IF($H1561="","",IF(ISNUMBER($H1561),$H1561-TODAY(),""))</f>
        <v/>
      </c>
      <c r="J1561" s="4" t="str">
        <f aca="true">IF($D1561="Manual Review","Manual Review",IF($G1561="","No Data",IF(NOT(ISNUMBER($H1561)),"N/A",IF($H1561&lt;TODAY(),"Overdue",IF($H1561&lt;=TODAY()+30,"Due within 1 Month",IF($H1561&lt;=TODAY()+60,"Due within 2 Months","OK"))))))</f>
        <v>No Data</v>
      </c>
      <c r="K1561" s="13"/>
    </row>
    <row r="1562" customFormat="false" ht="15" hidden="false" customHeight="false" outlineLevel="0" collapsed="false">
      <c r="A1562" s="9" t="str">
        <f aca="false">Vessels!B18</f>
        <v>Vessel 14</v>
      </c>
      <c r="B1562" s="9" t="s">
        <v>136</v>
      </c>
      <c r="C1562" s="7" t="s">
        <v>147</v>
      </c>
      <c r="D1562" s="9" t="s">
        <v>45</v>
      </c>
      <c r="E1562" s="9" t="s">
        <v>44</v>
      </c>
      <c r="F1562" s="5" t="n">
        <v>12</v>
      </c>
      <c r="G1562" s="10"/>
      <c r="H1562" s="11" t="str">
        <f aca="false">IFERROR(IF($D1562="Manual Review","",IF($G1562="","",IF($D1562="Direct Expiry",$G1562,EDATE($G1562,$F1562)))),"Check Date")</f>
        <v/>
      </c>
      <c r="I1562" s="12" t="str">
        <f aca="true">IF($H1562="","",IF(ISNUMBER($H1562),$H1562-TODAY(),""))</f>
        <v/>
      </c>
      <c r="J1562" s="4" t="str">
        <f aca="true">IF($D1562="Manual Review","Manual Review",IF($G1562="","No Data",IF(NOT(ISNUMBER($H1562)),"N/A",IF($H1562&lt;TODAY(),"Overdue",IF($H1562&lt;=TODAY()+30,"Due within 1 Month",IF($H1562&lt;=TODAY()+60,"Due within 2 Months","OK"))))))</f>
        <v>No Data</v>
      </c>
      <c r="K1562" s="13"/>
    </row>
    <row r="1563" customFormat="false" ht="15" hidden="false" customHeight="false" outlineLevel="0" collapsed="false">
      <c r="A1563" s="9" t="str">
        <f aca="false">Vessels!B18</f>
        <v>Vessel 14</v>
      </c>
      <c r="B1563" s="9" t="s">
        <v>136</v>
      </c>
      <c r="C1563" s="7" t="s">
        <v>148</v>
      </c>
      <c r="D1563" s="9" t="s">
        <v>45</v>
      </c>
      <c r="E1563" s="9" t="s">
        <v>44</v>
      </c>
      <c r="F1563" s="5" t="n">
        <v>12</v>
      </c>
      <c r="G1563" s="10"/>
      <c r="H1563" s="11" t="str">
        <f aca="false">IFERROR(IF($D1563="Manual Review","",IF($G1563="","",IF($D1563="Direct Expiry",$G1563,EDATE($G1563,$F1563)))),"Check Date")</f>
        <v/>
      </c>
      <c r="I1563" s="12" t="str">
        <f aca="true">IF($H1563="","",IF(ISNUMBER($H1563),$H1563-TODAY(),""))</f>
        <v/>
      </c>
      <c r="J1563" s="4" t="str">
        <f aca="true">IF($D1563="Manual Review","Manual Review",IF($G1563="","No Data",IF(NOT(ISNUMBER($H1563)),"N/A",IF($H1563&lt;TODAY(),"Overdue",IF($H1563&lt;=TODAY()+30,"Due within 1 Month",IF($H1563&lt;=TODAY()+60,"Due within 2 Months","OK"))))))</f>
        <v>No Data</v>
      </c>
      <c r="K1563" s="13"/>
    </row>
    <row r="1564" customFormat="false" ht="15" hidden="false" customHeight="false" outlineLevel="0" collapsed="false">
      <c r="A1564" s="9" t="str">
        <f aca="false">Vessels!B18</f>
        <v>Vessel 14</v>
      </c>
      <c r="B1564" s="9" t="s">
        <v>136</v>
      </c>
      <c r="C1564" s="7" t="s">
        <v>149</v>
      </c>
      <c r="D1564" s="9" t="s">
        <v>45</v>
      </c>
      <c r="E1564" s="9" t="s">
        <v>44</v>
      </c>
      <c r="F1564" s="5" t="n">
        <v>12</v>
      </c>
      <c r="G1564" s="10"/>
      <c r="H1564" s="11" t="str">
        <f aca="false">IFERROR(IF($D1564="Manual Review","",IF($G1564="","",IF($D1564="Direct Expiry",$G1564,EDATE($G1564,$F1564)))),"Check Date")</f>
        <v/>
      </c>
      <c r="I1564" s="12" t="str">
        <f aca="true">IF($H1564="","",IF(ISNUMBER($H1564),$H1564-TODAY(),""))</f>
        <v/>
      </c>
      <c r="J1564" s="4" t="str">
        <f aca="true">IF($D1564="Manual Review","Manual Review",IF($G1564="","No Data",IF(NOT(ISNUMBER($H1564)),"N/A",IF($H1564&lt;TODAY(),"Overdue",IF($H1564&lt;=TODAY()+30,"Due within 1 Month",IF($H1564&lt;=TODAY()+60,"Due within 2 Months","OK"))))))</f>
        <v>No Data</v>
      </c>
      <c r="K1564" s="13"/>
    </row>
    <row r="1565" customFormat="false" ht="15" hidden="false" customHeight="false" outlineLevel="0" collapsed="false">
      <c r="A1565" s="9" t="str">
        <f aca="false">Vessels!B18</f>
        <v>Vessel 14</v>
      </c>
      <c r="B1565" s="9" t="s">
        <v>136</v>
      </c>
      <c r="C1565" s="7" t="s">
        <v>150</v>
      </c>
      <c r="D1565" s="9" t="s">
        <v>45</v>
      </c>
      <c r="E1565" s="9" t="s">
        <v>44</v>
      </c>
      <c r="F1565" s="5" t="n">
        <v>12</v>
      </c>
      <c r="G1565" s="10"/>
      <c r="H1565" s="11" t="str">
        <f aca="false">IFERROR(IF($D1565="Manual Review","",IF($G1565="","",IF($D1565="Direct Expiry",$G1565,EDATE($G1565,$F1565)))),"Check Date")</f>
        <v/>
      </c>
      <c r="I1565" s="12" t="str">
        <f aca="true">IF($H1565="","",IF(ISNUMBER($H1565),$H1565-TODAY(),""))</f>
        <v/>
      </c>
      <c r="J1565" s="4" t="str">
        <f aca="true">IF($D1565="Manual Review","Manual Review",IF($G1565="","No Data",IF(NOT(ISNUMBER($H1565)),"N/A",IF($H1565&lt;TODAY(),"Overdue",IF($H1565&lt;=TODAY()+30,"Due within 1 Month",IF($H1565&lt;=TODAY()+60,"Due within 2 Months","OK"))))))</f>
        <v>No Data</v>
      </c>
      <c r="K1565" s="13"/>
    </row>
    <row r="1566" customFormat="false" ht="15" hidden="false" customHeight="false" outlineLevel="0" collapsed="false">
      <c r="A1566" s="9" t="str">
        <f aca="false">Vessels!B18</f>
        <v>Vessel 14</v>
      </c>
      <c r="B1566" s="9" t="s">
        <v>136</v>
      </c>
      <c r="C1566" s="7" t="s">
        <v>151</v>
      </c>
      <c r="D1566" s="9" t="s">
        <v>45</v>
      </c>
      <c r="E1566" s="9" t="s">
        <v>44</v>
      </c>
      <c r="F1566" s="5" t="n">
        <v>12</v>
      </c>
      <c r="G1566" s="10"/>
      <c r="H1566" s="11" t="str">
        <f aca="false">IFERROR(IF($D1566="Manual Review","",IF($G1566="","",IF($D1566="Direct Expiry",$G1566,EDATE($G1566,$F1566)))),"Check Date")</f>
        <v/>
      </c>
      <c r="I1566" s="12" t="str">
        <f aca="true">IF($H1566="","",IF(ISNUMBER($H1566),$H1566-TODAY(),""))</f>
        <v/>
      </c>
      <c r="J1566" s="4" t="str">
        <f aca="true">IF($D1566="Manual Review","Manual Review",IF($G1566="","No Data",IF(NOT(ISNUMBER($H1566)),"N/A",IF($H1566&lt;TODAY(),"Overdue",IF($H1566&lt;=TODAY()+30,"Due within 1 Month",IF($H1566&lt;=TODAY()+60,"Due within 2 Months","OK"))))))</f>
        <v>No Data</v>
      </c>
      <c r="K1566" s="13"/>
    </row>
    <row r="1567" customFormat="false" ht="15" hidden="false" customHeight="false" outlineLevel="0" collapsed="false">
      <c r="A1567" s="9" t="str">
        <f aca="false">Vessels!B18</f>
        <v>Vessel 14</v>
      </c>
      <c r="B1567" s="9" t="s">
        <v>136</v>
      </c>
      <c r="C1567" s="7" t="s">
        <v>152</v>
      </c>
      <c r="D1567" s="9" t="s">
        <v>45</v>
      </c>
      <c r="E1567" s="9" t="s">
        <v>44</v>
      </c>
      <c r="F1567" s="5" t="n">
        <v>12</v>
      </c>
      <c r="G1567" s="10"/>
      <c r="H1567" s="11" t="str">
        <f aca="false">IFERROR(IF($D1567="Manual Review","",IF($G1567="","",IF($D1567="Direct Expiry",$G1567,EDATE($G1567,$F1567)))),"Check Date")</f>
        <v/>
      </c>
      <c r="I1567" s="12" t="str">
        <f aca="true">IF($H1567="","",IF(ISNUMBER($H1567),$H1567-TODAY(),""))</f>
        <v/>
      </c>
      <c r="J1567" s="4" t="str">
        <f aca="true">IF($D1567="Manual Review","Manual Review",IF($G1567="","No Data",IF(NOT(ISNUMBER($H1567)),"N/A",IF($H1567&lt;TODAY(),"Overdue",IF($H1567&lt;=TODAY()+30,"Due within 1 Month",IF($H1567&lt;=TODAY()+60,"Due within 2 Months","OK"))))))</f>
        <v>No Data</v>
      </c>
      <c r="K1567" s="13"/>
    </row>
    <row r="1568" customFormat="false" ht="15" hidden="false" customHeight="false" outlineLevel="0" collapsed="false">
      <c r="A1568" s="9" t="str">
        <f aca="false">Vessels!B18</f>
        <v>Vessel 14</v>
      </c>
      <c r="B1568" s="9" t="s">
        <v>136</v>
      </c>
      <c r="C1568" s="7" t="s">
        <v>153</v>
      </c>
      <c r="D1568" s="9" t="s">
        <v>45</v>
      </c>
      <c r="E1568" s="9" t="s">
        <v>44</v>
      </c>
      <c r="F1568" s="5" t="n">
        <v>12</v>
      </c>
      <c r="G1568" s="10"/>
      <c r="H1568" s="11" t="str">
        <f aca="false">IFERROR(IF($D1568="Manual Review","",IF($G1568="","",IF($D1568="Direct Expiry",$G1568,EDATE($G1568,$F1568)))),"Check Date")</f>
        <v/>
      </c>
      <c r="I1568" s="12" t="str">
        <f aca="true">IF($H1568="","",IF(ISNUMBER($H1568),$H1568-TODAY(),""))</f>
        <v/>
      </c>
      <c r="J1568" s="4" t="str">
        <f aca="true">IF($D1568="Manual Review","Manual Review",IF($G1568="","No Data",IF(NOT(ISNUMBER($H1568)),"N/A",IF($H1568&lt;TODAY(),"Overdue",IF($H1568&lt;=TODAY()+30,"Due within 1 Month",IF($H1568&lt;=TODAY()+60,"Due within 2 Months","OK"))))))</f>
        <v>No Data</v>
      </c>
      <c r="K1568" s="13"/>
    </row>
    <row r="1569" customFormat="false" ht="15" hidden="false" customHeight="false" outlineLevel="0" collapsed="false">
      <c r="A1569" s="9" t="str">
        <f aca="false">Vessels!B18</f>
        <v>Vessel 14</v>
      </c>
      <c r="B1569" s="9" t="s">
        <v>136</v>
      </c>
      <c r="C1569" s="7" t="s">
        <v>154</v>
      </c>
      <c r="D1569" s="9" t="s">
        <v>45</v>
      </c>
      <c r="E1569" s="9" t="s">
        <v>44</v>
      </c>
      <c r="F1569" s="5" t="n">
        <v>12</v>
      </c>
      <c r="G1569" s="10"/>
      <c r="H1569" s="11" t="str">
        <f aca="false">IFERROR(IF($D1569="Manual Review","",IF($G1569="","",IF($D1569="Direct Expiry",$G1569,EDATE($G1569,$F1569)))),"Check Date")</f>
        <v/>
      </c>
      <c r="I1569" s="12" t="str">
        <f aca="true">IF($H1569="","",IF(ISNUMBER($H1569),$H1569-TODAY(),""))</f>
        <v/>
      </c>
      <c r="J1569" s="4" t="str">
        <f aca="true">IF($D1569="Manual Review","Manual Review",IF($G1569="","No Data",IF(NOT(ISNUMBER($H1569)),"N/A",IF($H1569&lt;TODAY(),"Overdue",IF($H1569&lt;=TODAY()+30,"Due within 1 Month",IF($H1569&lt;=TODAY()+60,"Due within 2 Months","OK"))))))</f>
        <v>No Data</v>
      </c>
      <c r="K1569" s="13"/>
    </row>
    <row r="1570" customFormat="false" ht="15" hidden="false" customHeight="false" outlineLevel="0" collapsed="false">
      <c r="A1570" s="9" t="str">
        <f aca="false">Vessels!B18</f>
        <v>Vessel 14</v>
      </c>
      <c r="B1570" s="9" t="s">
        <v>136</v>
      </c>
      <c r="C1570" s="7" t="s">
        <v>155</v>
      </c>
      <c r="D1570" s="9" t="s">
        <v>45</v>
      </c>
      <c r="E1570" s="9" t="s">
        <v>44</v>
      </c>
      <c r="F1570" s="5" t="n">
        <v>12</v>
      </c>
      <c r="G1570" s="10"/>
      <c r="H1570" s="11" t="str">
        <f aca="false">IFERROR(IF($D1570="Manual Review","",IF($G1570="","",IF($D1570="Direct Expiry",$G1570,EDATE($G1570,$F1570)))),"Check Date")</f>
        <v/>
      </c>
      <c r="I1570" s="12" t="str">
        <f aca="true">IF($H1570="","",IF(ISNUMBER($H1570),$H1570-TODAY(),""))</f>
        <v/>
      </c>
      <c r="J1570" s="4" t="str">
        <f aca="true">IF($D1570="Manual Review","Manual Review",IF($G1570="","No Data",IF(NOT(ISNUMBER($H1570)),"N/A",IF($H1570&lt;TODAY(),"Overdue",IF($H1570&lt;=TODAY()+30,"Due within 1 Month",IF($H1570&lt;=TODAY()+60,"Due within 2 Months","OK"))))))</f>
        <v>No Data</v>
      </c>
      <c r="K1570" s="13"/>
    </row>
    <row r="1571" customFormat="false" ht="15" hidden="false" customHeight="false" outlineLevel="0" collapsed="false">
      <c r="A1571" s="9" t="str">
        <f aca="false">Vessels!B18</f>
        <v>Vessel 14</v>
      </c>
      <c r="B1571" s="9" t="s">
        <v>136</v>
      </c>
      <c r="C1571" s="7" t="s">
        <v>156</v>
      </c>
      <c r="D1571" s="9" t="s">
        <v>45</v>
      </c>
      <c r="E1571" s="9" t="s">
        <v>44</v>
      </c>
      <c r="F1571" s="5" t="n">
        <v>12</v>
      </c>
      <c r="G1571" s="10"/>
      <c r="H1571" s="11" t="str">
        <f aca="false">IFERROR(IF($D1571="Manual Review","",IF($G1571="","",IF($D1571="Direct Expiry",$G1571,EDATE($G1571,$F1571)))),"Check Date")</f>
        <v/>
      </c>
      <c r="I1571" s="12" t="str">
        <f aca="true">IF($H1571="","",IF(ISNUMBER($H1571),$H1571-TODAY(),""))</f>
        <v/>
      </c>
      <c r="J1571" s="4" t="str">
        <f aca="true">IF($D1571="Manual Review","Manual Review",IF($G1571="","No Data",IF(NOT(ISNUMBER($H1571)),"N/A",IF($H1571&lt;TODAY(),"Overdue",IF($H1571&lt;=TODAY()+30,"Due within 1 Month",IF($H1571&lt;=TODAY()+60,"Due within 2 Months","OK"))))))</f>
        <v>No Data</v>
      </c>
      <c r="K1571" s="13"/>
    </row>
    <row r="1572" customFormat="false" ht="15" hidden="false" customHeight="false" outlineLevel="0" collapsed="false">
      <c r="A1572" s="9" t="str">
        <f aca="false">Vessels!B18</f>
        <v>Vessel 14</v>
      </c>
      <c r="B1572" s="9" t="s">
        <v>136</v>
      </c>
      <c r="C1572" s="7" t="s">
        <v>157</v>
      </c>
      <c r="D1572" s="9" t="s">
        <v>45</v>
      </c>
      <c r="E1572" s="9" t="s">
        <v>44</v>
      </c>
      <c r="F1572" s="5" t="n">
        <v>12</v>
      </c>
      <c r="G1572" s="10"/>
      <c r="H1572" s="11" t="str">
        <f aca="false">IFERROR(IF($D1572="Manual Review","",IF($G1572="","",IF($D1572="Direct Expiry",$G1572,EDATE($G1572,$F1572)))),"Check Date")</f>
        <v/>
      </c>
      <c r="I1572" s="12" t="str">
        <f aca="true">IF($H1572="","",IF(ISNUMBER($H1572),$H1572-TODAY(),""))</f>
        <v/>
      </c>
      <c r="J1572" s="4" t="str">
        <f aca="true">IF($D1572="Manual Review","Manual Review",IF($G1572="","No Data",IF(NOT(ISNUMBER($H1572)),"N/A",IF($H1572&lt;TODAY(),"Overdue",IF($H1572&lt;=TODAY()+30,"Due within 1 Month",IF($H1572&lt;=TODAY()+60,"Due within 2 Months","OK"))))))</f>
        <v>No Data</v>
      </c>
      <c r="K1572" s="13"/>
    </row>
    <row r="1573" customFormat="false" ht="15" hidden="false" customHeight="false" outlineLevel="0" collapsed="false">
      <c r="A1573" s="9" t="str">
        <f aca="false">Vessels!B19</f>
        <v>Vessel 15</v>
      </c>
      <c r="B1573" s="9" t="s">
        <v>42</v>
      </c>
      <c r="C1573" s="7" t="s">
        <v>43</v>
      </c>
      <c r="D1573" s="9" t="s">
        <v>45</v>
      </c>
      <c r="E1573" s="9" t="s">
        <v>44</v>
      </c>
      <c r="F1573" s="5" t="n">
        <v>12</v>
      </c>
      <c r="G1573" s="10"/>
      <c r="H1573" s="11" t="str">
        <f aca="false">IFERROR(IF($D1573="Manual Review","",IF($G1573="","",IF($D1573="Direct Expiry",$G1573,EDATE($G1573,$F1573)))),"Check Date")</f>
        <v/>
      </c>
      <c r="I1573" s="12" t="str">
        <f aca="true">IF($H1573="","",IF(ISNUMBER($H1573),$H1573-TODAY(),""))</f>
        <v/>
      </c>
      <c r="J1573" s="4" t="str">
        <f aca="true">IF($D1573="Manual Review","Manual Review",IF($G1573="","No Data",IF(NOT(ISNUMBER($H1573)),"N/A",IF($H1573&lt;TODAY(),"Overdue",IF($H1573&lt;=TODAY()+30,"Due within 1 Month",IF($H1573&lt;=TODAY()+60,"Due within 2 Months","OK"))))))</f>
        <v>No Data</v>
      </c>
      <c r="K1573" s="13"/>
    </row>
    <row r="1574" customFormat="false" ht="15" hidden="false" customHeight="false" outlineLevel="0" collapsed="false">
      <c r="A1574" s="9" t="str">
        <f aca="false">Vessels!B19</f>
        <v>Vessel 15</v>
      </c>
      <c r="B1574" s="9" t="s">
        <v>42</v>
      </c>
      <c r="C1574" s="7" t="s">
        <v>43</v>
      </c>
      <c r="D1574" s="9" t="s">
        <v>45</v>
      </c>
      <c r="E1574" s="9" t="s">
        <v>46</v>
      </c>
      <c r="F1574" s="5" t="n">
        <v>60</v>
      </c>
      <c r="G1574" s="10"/>
      <c r="H1574" s="11" t="str">
        <f aca="false">IFERROR(IF($D1574="Manual Review","",IF($G1574="","",IF($D1574="Direct Expiry",$G1574,EDATE($G1574,$F1574)))),"Check Date")</f>
        <v/>
      </c>
      <c r="I1574" s="12" t="str">
        <f aca="true">IF($H1574="","",IF(ISNUMBER($H1574),$H1574-TODAY(),""))</f>
        <v/>
      </c>
      <c r="J1574" s="4" t="str">
        <f aca="true">IF($D1574="Manual Review","Manual Review",IF($G1574="","No Data",IF(NOT(ISNUMBER($H1574)),"N/A",IF($H1574&lt;TODAY(),"Overdue",IF($H1574&lt;=TODAY()+30,"Due within 1 Month",IF($H1574&lt;=TODAY()+60,"Due within 2 Months","OK"))))))</f>
        <v>No Data</v>
      </c>
      <c r="K1574" s="13"/>
    </row>
    <row r="1575" customFormat="false" ht="15" hidden="false" customHeight="false" outlineLevel="0" collapsed="false">
      <c r="A1575" s="9" t="str">
        <f aca="false">Vessels!B19</f>
        <v>Vessel 15</v>
      </c>
      <c r="B1575" s="9" t="s">
        <v>42</v>
      </c>
      <c r="C1575" s="7" t="s">
        <v>47</v>
      </c>
      <c r="D1575" s="9" t="s">
        <v>45</v>
      </c>
      <c r="E1575" s="9" t="s">
        <v>44</v>
      </c>
      <c r="F1575" s="5" t="n">
        <v>12</v>
      </c>
      <c r="G1575" s="10"/>
      <c r="H1575" s="11" t="str">
        <f aca="false">IFERROR(IF($D1575="Manual Review","",IF($G1575="","",IF($D1575="Direct Expiry",$G1575,EDATE($G1575,$F1575)))),"Check Date")</f>
        <v/>
      </c>
      <c r="I1575" s="12" t="str">
        <f aca="true">IF($H1575="","",IF(ISNUMBER($H1575),$H1575-TODAY(),""))</f>
        <v/>
      </c>
      <c r="J1575" s="4" t="str">
        <f aca="true">IF($D1575="Manual Review","Manual Review",IF($G1575="","No Data",IF(NOT(ISNUMBER($H1575)),"N/A",IF($H1575&lt;TODAY(),"Overdue",IF($H1575&lt;=TODAY()+30,"Due within 1 Month",IF($H1575&lt;=TODAY()+60,"Due within 2 Months","OK"))))))</f>
        <v>No Data</v>
      </c>
      <c r="K1575" s="13"/>
    </row>
    <row r="1576" customFormat="false" ht="15" hidden="false" customHeight="false" outlineLevel="0" collapsed="false">
      <c r="A1576" s="9" t="str">
        <f aca="false">Vessels!B19</f>
        <v>Vessel 15</v>
      </c>
      <c r="B1576" s="9" t="s">
        <v>42</v>
      </c>
      <c r="C1576" s="7" t="s">
        <v>47</v>
      </c>
      <c r="D1576" s="9" t="s">
        <v>45</v>
      </c>
      <c r="E1576" s="9" t="s">
        <v>46</v>
      </c>
      <c r="F1576" s="5" t="n">
        <v>60</v>
      </c>
      <c r="G1576" s="10"/>
      <c r="H1576" s="11" t="str">
        <f aca="false">IFERROR(IF($D1576="Manual Review","",IF($G1576="","",IF($D1576="Direct Expiry",$G1576,EDATE($G1576,$F1576)))),"Check Date")</f>
        <v/>
      </c>
      <c r="I1576" s="12" t="str">
        <f aca="true">IF($H1576="","",IF(ISNUMBER($H1576),$H1576-TODAY(),""))</f>
        <v/>
      </c>
      <c r="J1576" s="4" t="str">
        <f aca="true">IF($D1576="Manual Review","Manual Review",IF($G1576="","No Data",IF(NOT(ISNUMBER($H1576)),"N/A",IF($H1576&lt;TODAY(),"Overdue",IF($H1576&lt;=TODAY()+30,"Due within 1 Month",IF($H1576&lt;=TODAY()+60,"Due within 2 Months","OK"))))))</f>
        <v>No Data</v>
      </c>
      <c r="K1576" s="13"/>
    </row>
    <row r="1577" customFormat="false" ht="15" hidden="false" customHeight="false" outlineLevel="0" collapsed="false">
      <c r="A1577" s="9" t="str">
        <f aca="false">Vessels!B19</f>
        <v>Vessel 15</v>
      </c>
      <c r="B1577" s="9" t="s">
        <v>42</v>
      </c>
      <c r="C1577" s="7" t="s">
        <v>48</v>
      </c>
      <c r="D1577" s="9" t="s">
        <v>45</v>
      </c>
      <c r="E1577" s="9" t="s">
        <v>44</v>
      </c>
      <c r="F1577" s="5" t="n">
        <v>12</v>
      </c>
      <c r="G1577" s="10"/>
      <c r="H1577" s="11" t="str">
        <f aca="false">IFERROR(IF($D1577="Manual Review","",IF($G1577="","",IF($D1577="Direct Expiry",$G1577,EDATE($G1577,$F1577)))),"Check Date")</f>
        <v/>
      </c>
      <c r="I1577" s="12" t="str">
        <f aca="true">IF($H1577="","",IF(ISNUMBER($H1577),$H1577-TODAY(),""))</f>
        <v/>
      </c>
      <c r="J1577" s="4" t="str">
        <f aca="true">IF($D1577="Manual Review","Manual Review",IF($G1577="","No Data",IF(NOT(ISNUMBER($H1577)),"N/A",IF($H1577&lt;TODAY(),"Overdue",IF($H1577&lt;=TODAY()+30,"Due within 1 Month",IF($H1577&lt;=TODAY()+60,"Due within 2 Months","OK"))))))</f>
        <v>No Data</v>
      </c>
      <c r="K1577" s="13"/>
    </row>
    <row r="1578" customFormat="false" ht="15" hidden="false" customHeight="false" outlineLevel="0" collapsed="false">
      <c r="A1578" s="9" t="str">
        <f aca="false">Vessels!B19</f>
        <v>Vessel 15</v>
      </c>
      <c r="B1578" s="9" t="s">
        <v>42</v>
      </c>
      <c r="C1578" s="7" t="s">
        <v>48</v>
      </c>
      <c r="D1578" s="9" t="s">
        <v>45</v>
      </c>
      <c r="E1578" s="9" t="s">
        <v>49</v>
      </c>
      <c r="F1578" s="5" t="n">
        <v>60</v>
      </c>
      <c r="G1578" s="10"/>
      <c r="H1578" s="11" t="str">
        <f aca="false">IFERROR(IF($D1578="Manual Review","",IF($G1578="","",IF($D1578="Direct Expiry",$G1578,EDATE($G1578,$F1578)))),"Check Date")</f>
        <v/>
      </c>
      <c r="I1578" s="12" t="str">
        <f aca="true">IF($H1578="","",IF(ISNUMBER($H1578),$H1578-TODAY(),""))</f>
        <v/>
      </c>
      <c r="J1578" s="4" t="str">
        <f aca="true">IF($D1578="Manual Review","Manual Review",IF($G1578="","No Data",IF(NOT(ISNUMBER($H1578)),"N/A",IF($H1578&lt;TODAY(),"Overdue",IF($H1578&lt;=TODAY()+30,"Due within 1 Month",IF($H1578&lt;=TODAY()+60,"Due within 2 Months","OK"))))))</f>
        <v>No Data</v>
      </c>
      <c r="K1578" s="13"/>
    </row>
    <row r="1579" customFormat="false" ht="15" hidden="false" customHeight="false" outlineLevel="0" collapsed="false">
      <c r="A1579" s="9" t="str">
        <f aca="false">Vessels!B19</f>
        <v>Vessel 15</v>
      </c>
      <c r="B1579" s="9" t="s">
        <v>42</v>
      </c>
      <c r="C1579" s="7" t="s">
        <v>50</v>
      </c>
      <c r="D1579" s="9" t="s">
        <v>45</v>
      </c>
      <c r="E1579" s="9" t="s">
        <v>44</v>
      </c>
      <c r="F1579" s="5" t="n">
        <v>12</v>
      </c>
      <c r="G1579" s="10"/>
      <c r="H1579" s="11" t="str">
        <f aca="false">IFERROR(IF($D1579="Manual Review","",IF($G1579="","",IF($D1579="Direct Expiry",$G1579,EDATE($G1579,$F1579)))),"Check Date")</f>
        <v/>
      </c>
      <c r="I1579" s="12" t="str">
        <f aca="true">IF($H1579="","",IF(ISNUMBER($H1579),$H1579-TODAY(),""))</f>
        <v/>
      </c>
      <c r="J1579" s="4" t="str">
        <f aca="true">IF($D1579="Manual Review","Manual Review",IF($G1579="","No Data",IF(NOT(ISNUMBER($H1579)),"N/A",IF($H1579&lt;TODAY(),"Overdue",IF($H1579&lt;=TODAY()+30,"Due within 1 Month",IF($H1579&lt;=TODAY()+60,"Due within 2 Months","OK"))))))</f>
        <v>No Data</v>
      </c>
      <c r="K1579" s="13"/>
    </row>
    <row r="1580" customFormat="false" ht="15" hidden="false" customHeight="false" outlineLevel="0" collapsed="false">
      <c r="A1580" s="9" t="str">
        <f aca="false">Vessels!B19</f>
        <v>Vessel 15</v>
      </c>
      <c r="B1580" s="9" t="s">
        <v>42</v>
      </c>
      <c r="C1580" s="7" t="s">
        <v>50</v>
      </c>
      <c r="D1580" s="9" t="s">
        <v>45</v>
      </c>
      <c r="E1580" s="9" t="s">
        <v>49</v>
      </c>
      <c r="F1580" s="5" t="n">
        <v>60</v>
      </c>
      <c r="G1580" s="10"/>
      <c r="H1580" s="11" t="str">
        <f aca="false">IFERROR(IF($D1580="Manual Review","",IF($G1580="","",IF($D1580="Direct Expiry",$G1580,EDATE($G1580,$F1580)))),"Check Date")</f>
        <v/>
      </c>
      <c r="I1580" s="12" t="str">
        <f aca="true">IF($H1580="","",IF(ISNUMBER($H1580),$H1580-TODAY(),""))</f>
        <v/>
      </c>
      <c r="J1580" s="4" t="str">
        <f aca="true">IF($D1580="Manual Review","Manual Review",IF($G1580="","No Data",IF(NOT(ISNUMBER($H1580)),"N/A",IF($H1580&lt;TODAY(),"Overdue",IF($H1580&lt;=TODAY()+30,"Due within 1 Month",IF($H1580&lt;=TODAY()+60,"Due within 2 Months","OK"))))))</f>
        <v>No Data</v>
      </c>
      <c r="K1580" s="13"/>
    </row>
    <row r="1581" customFormat="false" ht="15" hidden="false" customHeight="false" outlineLevel="0" collapsed="false">
      <c r="A1581" s="9" t="str">
        <f aca="false">Vessels!B19</f>
        <v>Vessel 15</v>
      </c>
      <c r="B1581" s="9" t="s">
        <v>42</v>
      </c>
      <c r="C1581" s="7" t="s">
        <v>51</v>
      </c>
      <c r="D1581" s="9" t="s">
        <v>45</v>
      </c>
      <c r="E1581" s="9" t="s">
        <v>46</v>
      </c>
      <c r="F1581" s="5" t="n">
        <v>60</v>
      </c>
      <c r="G1581" s="10"/>
      <c r="H1581" s="11" t="str">
        <f aca="false">IFERROR(IF($D1581="Manual Review","",IF($G1581="","",IF($D1581="Direct Expiry",$G1581,EDATE($G1581,$F1581)))),"Check Date")</f>
        <v/>
      </c>
      <c r="I1581" s="12" t="str">
        <f aca="true">IF($H1581="","",IF(ISNUMBER($H1581),$H1581-TODAY(),""))</f>
        <v/>
      </c>
      <c r="J1581" s="4" t="str">
        <f aca="true">IF($D1581="Manual Review","Manual Review",IF($G1581="","No Data",IF(NOT(ISNUMBER($H1581)),"N/A",IF($H1581&lt;TODAY(),"Overdue",IF($H1581&lt;=TODAY()+30,"Due within 1 Month",IF($H1581&lt;=TODAY()+60,"Due within 2 Months","OK"))))))</f>
        <v>No Data</v>
      </c>
      <c r="K1581" s="13"/>
    </row>
    <row r="1582" customFormat="false" ht="15" hidden="false" customHeight="false" outlineLevel="0" collapsed="false">
      <c r="A1582" s="9" t="str">
        <f aca="false">Vessels!B19</f>
        <v>Vessel 15</v>
      </c>
      <c r="B1582" s="9" t="s">
        <v>42</v>
      </c>
      <c r="C1582" s="7" t="s">
        <v>52</v>
      </c>
      <c r="D1582" s="9" t="s">
        <v>45</v>
      </c>
      <c r="E1582" s="9" t="s">
        <v>46</v>
      </c>
      <c r="F1582" s="5" t="n">
        <v>60</v>
      </c>
      <c r="G1582" s="10"/>
      <c r="H1582" s="11" t="str">
        <f aca="false">IFERROR(IF($D1582="Manual Review","",IF($G1582="","",IF($D1582="Direct Expiry",$G1582,EDATE($G1582,$F1582)))),"Check Date")</f>
        <v/>
      </c>
      <c r="I1582" s="12" t="str">
        <f aca="true">IF($H1582="","",IF(ISNUMBER($H1582),$H1582-TODAY(),""))</f>
        <v/>
      </c>
      <c r="J1582" s="4" t="str">
        <f aca="true">IF($D1582="Manual Review","Manual Review",IF($G1582="","No Data",IF(NOT(ISNUMBER($H1582)),"N/A",IF($H1582&lt;TODAY(),"Overdue",IF($H1582&lt;=TODAY()+30,"Due within 1 Month",IF($H1582&lt;=TODAY()+60,"Due within 2 Months","OK"))))))</f>
        <v>No Data</v>
      </c>
      <c r="K1582" s="13"/>
    </row>
    <row r="1583" customFormat="false" ht="15" hidden="false" customHeight="false" outlineLevel="0" collapsed="false">
      <c r="A1583" s="9" t="str">
        <f aca="false">Vessels!B19</f>
        <v>Vessel 15</v>
      </c>
      <c r="B1583" s="9" t="s">
        <v>42</v>
      </c>
      <c r="C1583" s="7" t="s">
        <v>53</v>
      </c>
      <c r="D1583" s="9" t="s">
        <v>45</v>
      </c>
      <c r="E1583" s="9" t="s">
        <v>46</v>
      </c>
      <c r="F1583" s="5" t="n">
        <v>60</v>
      </c>
      <c r="G1583" s="10"/>
      <c r="H1583" s="11" t="str">
        <f aca="false">IFERROR(IF($D1583="Manual Review","",IF($G1583="","",IF($D1583="Direct Expiry",$G1583,EDATE($G1583,$F1583)))),"Check Date")</f>
        <v/>
      </c>
      <c r="I1583" s="12" t="str">
        <f aca="true">IF($H1583="","",IF(ISNUMBER($H1583),$H1583-TODAY(),""))</f>
        <v/>
      </c>
      <c r="J1583" s="4" t="str">
        <f aca="true">IF($D1583="Manual Review","Manual Review",IF($G1583="","No Data",IF(NOT(ISNUMBER($H1583)),"N/A",IF($H1583&lt;TODAY(),"Overdue",IF($H1583&lt;=TODAY()+30,"Due within 1 Month",IF($H1583&lt;=TODAY()+60,"Due within 2 Months","OK"))))))</f>
        <v>No Data</v>
      </c>
      <c r="K1583" s="13"/>
    </row>
    <row r="1584" customFormat="false" ht="15" hidden="false" customHeight="false" outlineLevel="0" collapsed="false">
      <c r="A1584" s="9" t="str">
        <f aca="false">Vessels!B19</f>
        <v>Vessel 15</v>
      </c>
      <c r="B1584" s="9" t="s">
        <v>42</v>
      </c>
      <c r="C1584" s="7" t="s">
        <v>54</v>
      </c>
      <c r="D1584" s="9" t="s">
        <v>45</v>
      </c>
      <c r="E1584" s="9" t="s">
        <v>46</v>
      </c>
      <c r="F1584" s="5" t="n">
        <v>60</v>
      </c>
      <c r="G1584" s="10"/>
      <c r="H1584" s="11" t="str">
        <f aca="false">IFERROR(IF($D1584="Manual Review","",IF($G1584="","",IF($D1584="Direct Expiry",$G1584,EDATE($G1584,$F1584)))),"Check Date")</f>
        <v/>
      </c>
      <c r="I1584" s="12" t="str">
        <f aca="true">IF($H1584="","",IF(ISNUMBER($H1584),$H1584-TODAY(),""))</f>
        <v/>
      </c>
      <c r="J1584" s="4" t="str">
        <f aca="true">IF($D1584="Manual Review","Manual Review",IF($G1584="","No Data",IF(NOT(ISNUMBER($H1584)),"N/A",IF($H1584&lt;TODAY(),"Overdue",IF($H1584&lt;=TODAY()+30,"Due within 1 Month",IF($H1584&lt;=TODAY()+60,"Due within 2 Months","OK"))))))</f>
        <v>No Data</v>
      </c>
      <c r="K1584" s="13"/>
    </row>
    <row r="1585" customFormat="false" ht="15" hidden="false" customHeight="false" outlineLevel="0" collapsed="false">
      <c r="A1585" s="9" t="str">
        <f aca="false">Vessels!B19</f>
        <v>Vessel 15</v>
      </c>
      <c r="B1585" s="9" t="s">
        <v>42</v>
      </c>
      <c r="C1585" s="7" t="s">
        <v>55</v>
      </c>
      <c r="D1585" s="9" t="s">
        <v>45</v>
      </c>
      <c r="E1585" s="9" t="s">
        <v>46</v>
      </c>
      <c r="F1585" s="5" t="n">
        <v>60</v>
      </c>
      <c r="G1585" s="10"/>
      <c r="H1585" s="11" t="str">
        <f aca="false">IFERROR(IF($D1585="Manual Review","",IF($G1585="","",IF($D1585="Direct Expiry",$G1585,EDATE($G1585,$F1585)))),"Check Date")</f>
        <v/>
      </c>
      <c r="I1585" s="12" t="str">
        <f aca="true">IF($H1585="","",IF(ISNUMBER($H1585),$H1585-TODAY(),""))</f>
        <v/>
      </c>
      <c r="J1585" s="4" t="str">
        <f aca="true">IF($D1585="Manual Review","Manual Review",IF($G1585="","No Data",IF(NOT(ISNUMBER($H1585)),"N/A",IF($H1585&lt;TODAY(),"Overdue",IF($H1585&lt;=TODAY()+30,"Due within 1 Month",IF($H1585&lt;=TODAY()+60,"Due within 2 Months","OK"))))))</f>
        <v>No Data</v>
      </c>
      <c r="K1585" s="13"/>
    </row>
    <row r="1586" customFormat="false" ht="15" hidden="false" customHeight="false" outlineLevel="0" collapsed="false">
      <c r="A1586" s="9" t="str">
        <f aca="false">Vessels!B19</f>
        <v>Vessel 15</v>
      </c>
      <c r="B1586" s="9" t="s">
        <v>42</v>
      </c>
      <c r="C1586" s="7" t="s">
        <v>56</v>
      </c>
      <c r="D1586" s="9" t="s">
        <v>45</v>
      </c>
      <c r="E1586" s="9" t="s">
        <v>46</v>
      </c>
      <c r="F1586" s="5" t="n">
        <v>60</v>
      </c>
      <c r="G1586" s="10"/>
      <c r="H1586" s="11" t="str">
        <f aca="false">IFERROR(IF($D1586="Manual Review","",IF($G1586="","",IF($D1586="Direct Expiry",$G1586,EDATE($G1586,$F1586)))),"Check Date")</f>
        <v/>
      </c>
      <c r="I1586" s="12" t="str">
        <f aca="true">IF($H1586="","",IF(ISNUMBER($H1586),$H1586-TODAY(),""))</f>
        <v/>
      </c>
      <c r="J1586" s="4" t="str">
        <f aca="true">IF($D1586="Manual Review","Manual Review",IF($G1586="","No Data",IF(NOT(ISNUMBER($H1586)),"N/A",IF($H1586&lt;TODAY(),"Overdue",IF($H1586&lt;=TODAY()+30,"Due within 1 Month",IF($H1586&lt;=TODAY()+60,"Due within 2 Months","OK"))))))</f>
        <v>No Data</v>
      </c>
      <c r="K1586" s="13"/>
    </row>
    <row r="1587" customFormat="false" ht="15" hidden="false" customHeight="false" outlineLevel="0" collapsed="false">
      <c r="A1587" s="9" t="str">
        <f aca="false">Vessels!B19</f>
        <v>Vessel 15</v>
      </c>
      <c r="B1587" s="9" t="s">
        <v>42</v>
      </c>
      <c r="C1587" s="7" t="s">
        <v>57</v>
      </c>
      <c r="D1587" s="9" t="s">
        <v>59</v>
      </c>
      <c r="E1587" s="9" t="s">
        <v>58</v>
      </c>
      <c r="F1587" s="5"/>
      <c r="G1587" s="10"/>
      <c r="H1587" s="11" t="str">
        <f aca="false">IFERROR(IF($D1587="Manual Review","",IF($G1587="","",IF($D1587="Direct Expiry",$G1587,EDATE($G1587,$F1587)))),"Check Date")</f>
        <v/>
      </c>
      <c r="I1587" s="12" t="str">
        <f aca="true">IF($H1587="","",IF(ISNUMBER($H1587),$H1587-TODAY(),""))</f>
        <v/>
      </c>
      <c r="J1587" s="4" t="str">
        <f aca="true">IF($D1587="Manual Review","Manual Review",IF($G1587="","No Data",IF(NOT(ISNUMBER($H1587)),"N/A",IF($H1587&lt;TODAY(),"Overdue",IF($H1587&lt;=TODAY()+30,"Due within 1 Month",IF($H1587&lt;=TODAY()+60,"Due within 2 Months","OK"))))))</f>
        <v>No Data</v>
      </c>
      <c r="K1587" s="13"/>
    </row>
    <row r="1588" customFormat="false" ht="15" hidden="false" customHeight="false" outlineLevel="0" collapsed="false">
      <c r="A1588" s="9" t="str">
        <f aca="false">Vessels!B19</f>
        <v>Vessel 15</v>
      </c>
      <c r="B1588" s="9" t="s">
        <v>42</v>
      </c>
      <c r="C1588" s="7" t="s">
        <v>60</v>
      </c>
      <c r="D1588" s="9" t="s">
        <v>45</v>
      </c>
      <c r="E1588" s="9" t="s">
        <v>44</v>
      </c>
      <c r="F1588" s="5" t="n">
        <v>12</v>
      </c>
      <c r="G1588" s="10"/>
      <c r="H1588" s="11" t="str">
        <f aca="false">IFERROR(IF($D1588="Manual Review","",IF($G1588="","",IF($D1588="Direct Expiry",$G1588,EDATE($G1588,$F1588)))),"Check Date")</f>
        <v/>
      </c>
      <c r="I1588" s="12" t="str">
        <f aca="true">IF($H1588="","",IF(ISNUMBER($H1588),$H1588-TODAY(),""))</f>
        <v/>
      </c>
      <c r="J1588" s="4" t="str">
        <f aca="true">IF($D1588="Manual Review","Manual Review",IF($G1588="","No Data",IF(NOT(ISNUMBER($H1588)),"N/A",IF($H1588&lt;TODAY(),"Overdue",IF($H1588&lt;=TODAY()+30,"Due within 1 Month",IF($H1588&lt;=TODAY()+60,"Due within 2 Months","OK"))))))</f>
        <v>No Data</v>
      </c>
      <c r="K1588" s="13"/>
    </row>
    <row r="1589" customFormat="false" ht="15" hidden="false" customHeight="false" outlineLevel="0" collapsed="false">
      <c r="A1589" s="9" t="str">
        <f aca="false">Vessels!B19</f>
        <v>Vessel 15</v>
      </c>
      <c r="B1589" s="9" t="s">
        <v>42</v>
      </c>
      <c r="C1589" s="7" t="s">
        <v>60</v>
      </c>
      <c r="D1589" s="9" t="s">
        <v>45</v>
      </c>
      <c r="E1589" s="9" t="s">
        <v>46</v>
      </c>
      <c r="F1589" s="5" t="n">
        <v>60</v>
      </c>
      <c r="G1589" s="10"/>
      <c r="H1589" s="11" t="str">
        <f aca="false">IFERROR(IF($D1589="Manual Review","",IF($G1589="","",IF($D1589="Direct Expiry",$G1589,EDATE($G1589,$F1589)))),"Check Date")</f>
        <v/>
      </c>
      <c r="I1589" s="12" t="str">
        <f aca="true">IF($H1589="","",IF(ISNUMBER($H1589),$H1589-TODAY(),""))</f>
        <v/>
      </c>
      <c r="J1589" s="4" t="str">
        <f aca="true">IF($D1589="Manual Review","Manual Review",IF($G1589="","No Data",IF(NOT(ISNUMBER($H1589)),"N/A",IF($H1589&lt;TODAY(),"Overdue",IF($H1589&lt;=TODAY()+30,"Due within 1 Month",IF($H1589&lt;=TODAY()+60,"Due within 2 Months","OK"))))))</f>
        <v>No Data</v>
      </c>
      <c r="K1589" s="13"/>
    </row>
    <row r="1590" customFormat="false" ht="15" hidden="false" customHeight="false" outlineLevel="0" collapsed="false">
      <c r="A1590" s="9" t="str">
        <f aca="false">Vessels!B19</f>
        <v>Vessel 15</v>
      </c>
      <c r="B1590" s="9" t="s">
        <v>42</v>
      </c>
      <c r="C1590" s="7" t="s">
        <v>61</v>
      </c>
      <c r="D1590" s="9" t="s">
        <v>45</v>
      </c>
      <c r="E1590" s="9" t="s">
        <v>44</v>
      </c>
      <c r="F1590" s="5" t="n">
        <v>12</v>
      </c>
      <c r="G1590" s="10"/>
      <c r="H1590" s="11" t="str">
        <f aca="false">IFERROR(IF($D1590="Manual Review","",IF($G1590="","",IF($D1590="Direct Expiry",$G1590,EDATE($G1590,$F1590)))),"Check Date")</f>
        <v/>
      </c>
      <c r="I1590" s="12" t="str">
        <f aca="true">IF($H1590="","",IF(ISNUMBER($H1590),$H1590-TODAY(),""))</f>
        <v/>
      </c>
      <c r="J1590" s="4" t="str">
        <f aca="true">IF($D1590="Manual Review","Manual Review",IF($G1590="","No Data",IF(NOT(ISNUMBER($H1590)),"N/A",IF($H1590&lt;TODAY(),"Overdue",IF($H1590&lt;=TODAY()+30,"Due within 1 Month",IF($H1590&lt;=TODAY()+60,"Due within 2 Months","OK"))))))</f>
        <v>No Data</v>
      </c>
      <c r="K1590" s="13"/>
    </row>
    <row r="1591" customFormat="false" ht="15" hidden="false" customHeight="false" outlineLevel="0" collapsed="false">
      <c r="A1591" s="9" t="str">
        <f aca="false">Vessels!B19</f>
        <v>Vessel 15</v>
      </c>
      <c r="B1591" s="9" t="s">
        <v>42</v>
      </c>
      <c r="C1591" s="7" t="s">
        <v>61</v>
      </c>
      <c r="D1591" s="9" t="s">
        <v>45</v>
      </c>
      <c r="E1591" s="9" t="s">
        <v>46</v>
      </c>
      <c r="F1591" s="5" t="n">
        <v>60</v>
      </c>
      <c r="G1591" s="10"/>
      <c r="H1591" s="11" t="str">
        <f aca="false">IFERROR(IF($D1591="Manual Review","",IF($G1591="","",IF($D1591="Direct Expiry",$G1591,EDATE($G1591,$F1591)))),"Check Date")</f>
        <v/>
      </c>
      <c r="I1591" s="12" t="str">
        <f aca="true">IF($H1591="","",IF(ISNUMBER($H1591),$H1591-TODAY(),""))</f>
        <v/>
      </c>
      <c r="J1591" s="4" t="str">
        <f aca="true">IF($D1591="Manual Review","Manual Review",IF($G1591="","No Data",IF(NOT(ISNUMBER($H1591)),"N/A",IF($H1591&lt;TODAY(),"Overdue",IF($H1591&lt;=TODAY()+30,"Due within 1 Month",IF($H1591&lt;=TODAY()+60,"Due within 2 Months","OK"))))))</f>
        <v>No Data</v>
      </c>
      <c r="K1591" s="13"/>
    </row>
    <row r="1592" customFormat="false" ht="15" hidden="false" customHeight="false" outlineLevel="0" collapsed="false">
      <c r="A1592" s="9" t="str">
        <f aca="false">Vessels!B19</f>
        <v>Vessel 15</v>
      </c>
      <c r="B1592" s="9" t="s">
        <v>42</v>
      </c>
      <c r="C1592" s="7" t="s">
        <v>62</v>
      </c>
      <c r="D1592" s="9" t="s">
        <v>45</v>
      </c>
      <c r="E1592" s="9" t="s">
        <v>44</v>
      </c>
      <c r="F1592" s="5" t="n">
        <v>12</v>
      </c>
      <c r="G1592" s="10"/>
      <c r="H1592" s="11" t="str">
        <f aca="false">IFERROR(IF($D1592="Manual Review","",IF($G1592="","",IF($D1592="Direct Expiry",$G1592,EDATE($G1592,$F1592)))),"Check Date")</f>
        <v/>
      </c>
      <c r="I1592" s="12" t="str">
        <f aca="true">IF($H1592="","",IF(ISNUMBER($H1592),$H1592-TODAY(),""))</f>
        <v/>
      </c>
      <c r="J1592" s="4" t="str">
        <f aca="true">IF($D1592="Manual Review","Manual Review",IF($G1592="","No Data",IF(NOT(ISNUMBER($H1592)),"N/A",IF($H1592&lt;TODAY(),"Overdue",IF($H1592&lt;=TODAY()+30,"Due within 1 Month",IF($H1592&lt;=TODAY()+60,"Due within 2 Months","OK"))))))</f>
        <v>No Data</v>
      </c>
      <c r="K1592" s="13"/>
    </row>
    <row r="1593" customFormat="false" ht="15" hidden="false" customHeight="false" outlineLevel="0" collapsed="false">
      <c r="A1593" s="9" t="str">
        <f aca="false">Vessels!B19</f>
        <v>Vessel 15</v>
      </c>
      <c r="B1593" s="9" t="s">
        <v>42</v>
      </c>
      <c r="C1593" s="7" t="s">
        <v>62</v>
      </c>
      <c r="D1593" s="9" t="s">
        <v>45</v>
      </c>
      <c r="E1593" s="9" t="s">
        <v>49</v>
      </c>
      <c r="F1593" s="5" t="n">
        <v>60</v>
      </c>
      <c r="G1593" s="10"/>
      <c r="H1593" s="11" t="str">
        <f aca="false">IFERROR(IF($D1593="Manual Review","",IF($G1593="","",IF($D1593="Direct Expiry",$G1593,EDATE($G1593,$F1593)))),"Check Date")</f>
        <v/>
      </c>
      <c r="I1593" s="12" t="str">
        <f aca="true">IF($H1593="","",IF(ISNUMBER($H1593),$H1593-TODAY(),""))</f>
        <v/>
      </c>
      <c r="J1593" s="4" t="str">
        <f aca="true">IF($D1593="Manual Review","Manual Review",IF($G1593="","No Data",IF(NOT(ISNUMBER($H1593)),"N/A",IF($H1593&lt;TODAY(),"Overdue",IF($H1593&lt;=TODAY()+30,"Due within 1 Month",IF($H1593&lt;=TODAY()+60,"Due within 2 Months","OK"))))))</f>
        <v>No Data</v>
      </c>
      <c r="K1593" s="13"/>
    </row>
    <row r="1594" customFormat="false" ht="15" hidden="false" customHeight="false" outlineLevel="0" collapsed="false">
      <c r="A1594" s="9" t="str">
        <f aca="false">Vessels!B19</f>
        <v>Vessel 15</v>
      </c>
      <c r="B1594" s="9" t="s">
        <v>42</v>
      </c>
      <c r="C1594" s="7" t="s">
        <v>63</v>
      </c>
      <c r="D1594" s="9" t="s">
        <v>45</v>
      </c>
      <c r="E1594" s="9" t="s">
        <v>44</v>
      </c>
      <c r="F1594" s="5" t="n">
        <v>12</v>
      </c>
      <c r="G1594" s="10"/>
      <c r="H1594" s="11" t="str">
        <f aca="false">IFERROR(IF($D1594="Manual Review","",IF($G1594="","",IF($D1594="Direct Expiry",$G1594,EDATE($G1594,$F1594)))),"Check Date")</f>
        <v/>
      </c>
      <c r="I1594" s="12" t="str">
        <f aca="true">IF($H1594="","",IF(ISNUMBER($H1594),$H1594-TODAY(),""))</f>
        <v/>
      </c>
      <c r="J1594" s="4" t="str">
        <f aca="true">IF($D1594="Manual Review","Manual Review",IF($G1594="","No Data",IF(NOT(ISNUMBER($H1594)),"N/A",IF($H1594&lt;TODAY(),"Overdue",IF($H1594&lt;=TODAY()+30,"Due within 1 Month",IF($H1594&lt;=TODAY()+60,"Due within 2 Months","OK"))))))</f>
        <v>No Data</v>
      </c>
      <c r="K1594" s="13"/>
    </row>
    <row r="1595" customFormat="false" ht="15" hidden="false" customHeight="false" outlineLevel="0" collapsed="false">
      <c r="A1595" s="9" t="str">
        <f aca="false">Vessels!B19</f>
        <v>Vessel 15</v>
      </c>
      <c r="B1595" s="9" t="s">
        <v>42</v>
      </c>
      <c r="C1595" s="7" t="s">
        <v>63</v>
      </c>
      <c r="D1595" s="9" t="s">
        <v>45</v>
      </c>
      <c r="E1595" s="9" t="s">
        <v>49</v>
      </c>
      <c r="F1595" s="5" t="n">
        <v>60</v>
      </c>
      <c r="G1595" s="10"/>
      <c r="H1595" s="11" t="str">
        <f aca="false">IFERROR(IF($D1595="Manual Review","",IF($G1595="","",IF($D1595="Direct Expiry",$G1595,EDATE($G1595,$F1595)))),"Check Date")</f>
        <v/>
      </c>
      <c r="I1595" s="12" t="str">
        <f aca="true">IF($H1595="","",IF(ISNUMBER($H1595),$H1595-TODAY(),""))</f>
        <v/>
      </c>
      <c r="J1595" s="4" t="str">
        <f aca="true">IF($D1595="Manual Review","Manual Review",IF($G1595="","No Data",IF(NOT(ISNUMBER($H1595)),"N/A",IF($H1595&lt;TODAY(),"Overdue",IF($H1595&lt;=TODAY()+30,"Due within 1 Month",IF($H1595&lt;=TODAY()+60,"Due within 2 Months","OK"))))))</f>
        <v>No Data</v>
      </c>
      <c r="K1595" s="13"/>
    </row>
    <row r="1596" customFormat="false" ht="15" hidden="false" customHeight="false" outlineLevel="0" collapsed="false">
      <c r="A1596" s="9" t="str">
        <f aca="false">Vessels!B19</f>
        <v>Vessel 15</v>
      </c>
      <c r="B1596" s="9" t="s">
        <v>42</v>
      </c>
      <c r="C1596" s="7" t="s">
        <v>64</v>
      </c>
      <c r="D1596" s="9" t="s">
        <v>45</v>
      </c>
      <c r="E1596" s="9" t="s">
        <v>46</v>
      </c>
      <c r="F1596" s="5" t="n">
        <v>60</v>
      </c>
      <c r="G1596" s="10"/>
      <c r="H1596" s="11" t="str">
        <f aca="false">IFERROR(IF($D1596="Manual Review","",IF($G1596="","",IF($D1596="Direct Expiry",$G1596,EDATE($G1596,$F1596)))),"Check Date")</f>
        <v/>
      </c>
      <c r="I1596" s="12" t="str">
        <f aca="true">IF($H1596="","",IF(ISNUMBER($H1596),$H1596-TODAY(),""))</f>
        <v/>
      </c>
      <c r="J1596" s="4" t="str">
        <f aca="true">IF($D1596="Manual Review","Manual Review",IF($G1596="","No Data",IF(NOT(ISNUMBER($H1596)),"N/A",IF($H1596&lt;TODAY(),"Overdue",IF($H1596&lt;=TODAY()+30,"Due within 1 Month",IF($H1596&lt;=TODAY()+60,"Due within 2 Months","OK"))))))</f>
        <v>No Data</v>
      </c>
      <c r="K1596" s="13"/>
    </row>
    <row r="1597" customFormat="false" ht="15" hidden="false" customHeight="false" outlineLevel="0" collapsed="false">
      <c r="A1597" s="9" t="str">
        <f aca="false">Vessels!B19</f>
        <v>Vessel 15</v>
      </c>
      <c r="B1597" s="9" t="s">
        <v>42</v>
      </c>
      <c r="C1597" s="7" t="s">
        <v>65</v>
      </c>
      <c r="D1597" s="9" t="s">
        <v>45</v>
      </c>
      <c r="E1597" s="9" t="s">
        <v>46</v>
      </c>
      <c r="F1597" s="5" t="n">
        <v>60</v>
      </c>
      <c r="G1597" s="10"/>
      <c r="H1597" s="11" t="str">
        <f aca="false">IFERROR(IF($D1597="Manual Review","",IF($G1597="","",IF($D1597="Direct Expiry",$G1597,EDATE($G1597,$F1597)))),"Check Date")</f>
        <v/>
      </c>
      <c r="I1597" s="12" t="str">
        <f aca="true">IF($H1597="","",IF(ISNUMBER($H1597),$H1597-TODAY(),""))</f>
        <v/>
      </c>
      <c r="J1597" s="4" t="str">
        <f aca="true">IF($D1597="Manual Review","Manual Review",IF($G1597="","No Data",IF(NOT(ISNUMBER($H1597)),"N/A",IF($H1597&lt;TODAY(),"Overdue",IF($H1597&lt;=TODAY()+30,"Due within 1 Month",IF($H1597&lt;=TODAY()+60,"Due within 2 Months","OK"))))))</f>
        <v>No Data</v>
      </c>
      <c r="K1597" s="13"/>
    </row>
    <row r="1598" customFormat="false" ht="15" hidden="false" customHeight="false" outlineLevel="0" collapsed="false">
      <c r="A1598" s="9" t="str">
        <f aca="false">Vessels!B19</f>
        <v>Vessel 15</v>
      </c>
      <c r="B1598" s="9" t="s">
        <v>42</v>
      </c>
      <c r="C1598" s="7" t="s">
        <v>66</v>
      </c>
      <c r="D1598" s="9" t="s">
        <v>45</v>
      </c>
      <c r="E1598" s="9" t="s">
        <v>46</v>
      </c>
      <c r="F1598" s="5" t="n">
        <v>60</v>
      </c>
      <c r="G1598" s="10"/>
      <c r="H1598" s="11" t="str">
        <f aca="false">IFERROR(IF($D1598="Manual Review","",IF($G1598="","",IF($D1598="Direct Expiry",$G1598,EDATE($G1598,$F1598)))),"Check Date")</f>
        <v/>
      </c>
      <c r="I1598" s="12" t="str">
        <f aca="true">IF($H1598="","",IF(ISNUMBER($H1598),$H1598-TODAY(),""))</f>
        <v/>
      </c>
      <c r="J1598" s="4" t="str">
        <f aca="true">IF($D1598="Manual Review","Manual Review",IF($G1598="","No Data",IF(NOT(ISNUMBER($H1598)),"N/A",IF($H1598&lt;TODAY(),"Overdue",IF($H1598&lt;=TODAY()+30,"Due within 1 Month",IF($H1598&lt;=TODAY()+60,"Due within 2 Months","OK"))))))</f>
        <v>No Data</v>
      </c>
      <c r="K1598" s="13"/>
    </row>
    <row r="1599" customFormat="false" ht="15" hidden="false" customHeight="false" outlineLevel="0" collapsed="false">
      <c r="A1599" s="9" t="str">
        <f aca="false">Vessels!B19</f>
        <v>Vessel 15</v>
      </c>
      <c r="B1599" s="9" t="s">
        <v>42</v>
      </c>
      <c r="C1599" s="7" t="s">
        <v>67</v>
      </c>
      <c r="D1599" s="9" t="s">
        <v>45</v>
      </c>
      <c r="E1599" s="9" t="s">
        <v>46</v>
      </c>
      <c r="F1599" s="5" t="n">
        <v>60</v>
      </c>
      <c r="G1599" s="10"/>
      <c r="H1599" s="11" t="str">
        <f aca="false">IFERROR(IF($D1599="Manual Review","",IF($G1599="","",IF($D1599="Direct Expiry",$G1599,EDATE($G1599,$F1599)))),"Check Date")</f>
        <v/>
      </c>
      <c r="I1599" s="12" t="str">
        <f aca="true">IF($H1599="","",IF(ISNUMBER($H1599),$H1599-TODAY(),""))</f>
        <v/>
      </c>
      <c r="J1599" s="4" t="str">
        <f aca="true">IF($D1599="Manual Review","Manual Review",IF($G1599="","No Data",IF(NOT(ISNUMBER($H1599)),"N/A",IF($H1599&lt;TODAY(),"Overdue",IF($H1599&lt;=TODAY()+30,"Due within 1 Month",IF($H1599&lt;=TODAY()+60,"Due within 2 Months","OK"))))))</f>
        <v>No Data</v>
      </c>
      <c r="K1599" s="13"/>
    </row>
    <row r="1600" customFormat="false" ht="15" hidden="false" customHeight="false" outlineLevel="0" collapsed="false">
      <c r="A1600" s="9" t="str">
        <f aca="false">Vessels!B19</f>
        <v>Vessel 15</v>
      </c>
      <c r="B1600" s="9" t="s">
        <v>42</v>
      </c>
      <c r="C1600" s="7" t="s">
        <v>68</v>
      </c>
      <c r="D1600" s="9" t="s">
        <v>45</v>
      </c>
      <c r="E1600" s="9" t="s">
        <v>46</v>
      </c>
      <c r="F1600" s="5" t="n">
        <v>60</v>
      </c>
      <c r="G1600" s="10"/>
      <c r="H1600" s="11" t="str">
        <f aca="false">IFERROR(IF($D1600="Manual Review","",IF($G1600="","",IF($D1600="Direct Expiry",$G1600,EDATE($G1600,$F1600)))),"Check Date")</f>
        <v/>
      </c>
      <c r="I1600" s="12" t="str">
        <f aca="true">IF($H1600="","",IF(ISNUMBER($H1600),$H1600-TODAY(),""))</f>
        <v/>
      </c>
      <c r="J1600" s="4" t="str">
        <f aca="true">IF($D1600="Manual Review","Manual Review",IF($G1600="","No Data",IF(NOT(ISNUMBER($H1600)),"N/A",IF($H1600&lt;TODAY(),"Overdue",IF($H1600&lt;=TODAY()+30,"Due within 1 Month",IF($H1600&lt;=TODAY()+60,"Due within 2 Months","OK"))))))</f>
        <v>No Data</v>
      </c>
      <c r="K1600" s="13"/>
    </row>
    <row r="1601" customFormat="false" ht="15" hidden="false" customHeight="false" outlineLevel="0" collapsed="false">
      <c r="A1601" s="9" t="str">
        <f aca="false">Vessels!B19</f>
        <v>Vessel 15</v>
      </c>
      <c r="B1601" s="9" t="s">
        <v>42</v>
      </c>
      <c r="C1601" s="7" t="s">
        <v>69</v>
      </c>
      <c r="D1601" s="9" t="s">
        <v>45</v>
      </c>
      <c r="E1601" s="9" t="s">
        <v>46</v>
      </c>
      <c r="F1601" s="5" t="n">
        <v>60</v>
      </c>
      <c r="G1601" s="10"/>
      <c r="H1601" s="11" t="str">
        <f aca="false">IFERROR(IF($D1601="Manual Review","",IF($G1601="","",IF($D1601="Direct Expiry",$G1601,EDATE($G1601,$F1601)))),"Check Date")</f>
        <v/>
      </c>
      <c r="I1601" s="12" t="str">
        <f aca="true">IF($H1601="","",IF(ISNUMBER($H1601),$H1601-TODAY(),""))</f>
        <v/>
      </c>
      <c r="J1601" s="4" t="str">
        <f aca="true">IF($D1601="Manual Review","Manual Review",IF($G1601="","No Data",IF(NOT(ISNUMBER($H1601)),"N/A",IF($H1601&lt;TODAY(),"Overdue",IF($H1601&lt;=TODAY()+30,"Due within 1 Month",IF($H1601&lt;=TODAY()+60,"Due within 2 Months","OK"))))))</f>
        <v>No Data</v>
      </c>
      <c r="K1601" s="13"/>
    </row>
    <row r="1602" customFormat="false" ht="15" hidden="false" customHeight="false" outlineLevel="0" collapsed="false">
      <c r="A1602" s="9" t="str">
        <f aca="false">Vessels!B19</f>
        <v>Vessel 15</v>
      </c>
      <c r="B1602" s="9" t="s">
        <v>42</v>
      </c>
      <c r="C1602" s="7" t="s">
        <v>70</v>
      </c>
      <c r="D1602" s="9" t="s">
        <v>59</v>
      </c>
      <c r="E1602" s="9" t="s">
        <v>58</v>
      </c>
      <c r="F1602" s="5"/>
      <c r="G1602" s="10"/>
      <c r="H1602" s="11" t="str">
        <f aca="false">IFERROR(IF($D1602="Manual Review","",IF($G1602="","",IF($D1602="Direct Expiry",$G1602,EDATE($G1602,$F1602)))),"Check Date")</f>
        <v/>
      </c>
      <c r="I1602" s="12" t="str">
        <f aca="true">IF($H1602="","",IF(ISNUMBER($H1602),$H1602-TODAY(),""))</f>
        <v/>
      </c>
      <c r="J1602" s="4" t="str">
        <f aca="true">IF($D1602="Manual Review","Manual Review",IF($G1602="","No Data",IF(NOT(ISNUMBER($H1602)),"N/A",IF($H1602&lt;TODAY(),"Overdue",IF($H1602&lt;=TODAY()+30,"Due within 1 Month",IF($H1602&lt;=TODAY()+60,"Due within 2 Months","OK"))))))</f>
        <v>No Data</v>
      </c>
      <c r="K1602" s="13"/>
    </row>
    <row r="1603" customFormat="false" ht="15" hidden="false" customHeight="false" outlineLevel="0" collapsed="false">
      <c r="A1603" s="9" t="str">
        <f aca="false">Vessels!B19</f>
        <v>Vessel 15</v>
      </c>
      <c r="B1603" s="9" t="s">
        <v>42</v>
      </c>
      <c r="C1603" s="7" t="s">
        <v>71</v>
      </c>
      <c r="D1603" s="9" t="s">
        <v>45</v>
      </c>
      <c r="E1603" s="9" t="s">
        <v>44</v>
      </c>
      <c r="F1603" s="5" t="n">
        <v>12</v>
      </c>
      <c r="G1603" s="10"/>
      <c r="H1603" s="11" t="str">
        <f aca="false">IFERROR(IF($D1603="Manual Review","",IF($G1603="","",IF($D1603="Direct Expiry",$G1603,EDATE($G1603,$F1603)))),"Check Date")</f>
        <v/>
      </c>
      <c r="I1603" s="12" t="str">
        <f aca="true">IF($H1603="","",IF(ISNUMBER($H1603),$H1603-TODAY(),""))</f>
        <v/>
      </c>
      <c r="J1603" s="4" t="str">
        <f aca="true">IF($D1603="Manual Review","Manual Review",IF($G1603="","No Data",IF(NOT(ISNUMBER($H1603)),"N/A",IF($H1603&lt;TODAY(),"Overdue",IF($H1603&lt;=TODAY()+30,"Due within 1 Month",IF($H1603&lt;=TODAY()+60,"Due within 2 Months","OK"))))))</f>
        <v>No Data</v>
      </c>
      <c r="K1603" s="13"/>
    </row>
    <row r="1604" customFormat="false" ht="15" hidden="false" customHeight="false" outlineLevel="0" collapsed="false">
      <c r="A1604" s="9" t="str">
        <f aca="false">Vessels!B19</f>
        <v>Vessel 15</v>
      </c>
      <c r="B1604" s="9" t="s">
        <v>42</v>
      </c>
      <c r="C1604" s="7" t="s">
        <v>72</v>
      </c>
      <c r="D1604" s="9" t="s">
        <v>59</v>
      </c>
      <c r="E1604" s="9" t="s">
        <v>58</v>
      </c>
      <c r="F1604" s="5"/>
      <c r="G1604" s="10"/>
      <c r="H1604" s="11" t="str">
        <f aca="false">IFERROR(IF($D1604="Manual Review","",IF($G1604="","",IF($D1604="Direct Expiry",$G1604,EDATE($G1604,$F1604)))),"Check Date")</f>
        <v/>
      </c>
      <c r="I1604" s="12" t="str">
        <f aca="true">IF($H1604="","",IF(ISNUMBER($H1604),$H1604-TODAY(),""))</f>
        <v/>
      </c>
      <c r="J1604" s="4" t="str">
        <f aca="true">IF($D1604="Manual Review","Manual Review",IF($G1604="","No Data",IF(NOT(ISNUMBER($H1604)),"N/A",IF($H1604&lt;TODAY(),"Overdue",IF($H1604&lt;=TODAY()+30,"Due within 1 Month",IF($H1604&lt;=TODAY()+60,"Due within 2 Months","OK"))))))</f>
        <v>No Data</v>
      </c>
      <c r="K1604" s="13"/>
    </row>
    <row r="1605" customFormat="false" ht="15" hidden="false" customHeight="false" outlineLevel="0" collapsed="false">
      <c r="A1605" s="9" t="str">
        <f aca="false">Vessels!B19</f>
        <v>Vessel 15</v>
      </c>
      <c r="B1605" s="9" t="s">
        <v>42</v>
      </c>
      <c r="C1605" s="7" t="s">
        <v>73</v>
      </c>
      <c r="D1605" s="9" t="s">
        <v>45</v>
      </c>
      <c r="E1605" s="9" t="s">
        <v>44</v>
      </c>
      <c r="F1605" s="5" t="n">
        <v>12</v>
      </c>
      <c r="G1605" s="10"/>
      <c r="H1605" s="11" t="str">
        <f aca="false">IFERROR(IF($D1605="Manual Review","",IF($G1605="","",IF($D1605="Direct Expiry",$G1605,EDATE($G1605,$F1605)))),"Check Date")</f>
        <v/>
      </c>
      <c r="I1605" s="12" t="str">
        <f aca="true">IF($H1605="","",IF(ISNUMBER($H1605),$H1605-TODAY(),""))</f>
        <v/>
      </c>
      <c r="J1605" s="4" t="str">
        <f aca="true">IF($D1605="Manual Review","Manual Review",IF($G1605="","No Data",IF(NOT(ISNUMBER($H1605)),"N/A",IF($H1605&lt;TODAY(),"Overdue",IF($H1605&lt;=TODAY()+30,"Due within 1 Month",IF($H1605&lt;=TODAY()+60,"Due within 2 Months","OK"))))))</f>
        <v>No Data</v>
      </c>
      <c r="K1605" s="13"/>
    </row>
    <row r="1606" customFormat="false" ht="15" hidden="false" customHeight="false" outlineLevel="0" collapsed="false">
      <c r="A1606" s="9" t="str">
        <f aca="false">Vessels!B19</f>
        <v>Vessel 15</v>
      </c>
      <c r="B1606" s="9" t="s">
        <v>42</v>
      </c>
      <c r="C1606" s="7" t="s">
        <v>74</v>
      </c>
      <c r="D1606" s="9" t="s">
        <v>59</v>
      </c>
      <c r="E1606" s="9" t="s">
        <v>58</v>
      </c>
      <c r="F1606" s="5"/>
      <c r="G1606" s="10"/>
      <c r="H1606" s="11" t="str">
        <f aca="false">IFERROR(IF($D1606="Manual Review","",IF($G1606="","",IF($D1606="Direct Expiry",$G1606,EDATE($G1606,$F1606)))),"Check Date")</f>
        <v/>
      </c>
      <c r="I1606" s="12" t="str">
        <f aca="true">IF($H1606="","",IF(ISNUMBER($H1606),$H1606-TODAY(),""))</f>
        <v/>
      </c>
      <c r="J1606" s="4" t="str">
        <f aca="true">IF($D1606="Manual Review","Manual Review",IF($G1606="","No Data",IF(NOT(ISNUMBER($H1606)),"N/A",IF($H1606&lt;TODAY(),"Overdue",IF($H1606&lt;=TODAY()+30,"Due within 1 Month",IF($H1606&lt;=TODAY()+60,"Due within 2 Months","OK"))))))</f>
        <v>No Data</v>
      </c>
      <c r="K1606" s="13"/>
    </row>
    <row r="1607" customFormat="false" ht="15" hidden="false" customHeight="false" outlineLevel="0" collapsed="false">
      <c r="A1607" s="9" t="str">
        <f aca="false">Vessels!B19</f>
        <v>Vessel 15</v>
      </c>
      <c r="B1607" s="9" t="s">
        <v>42</v>
      </c>
      <c r="C1607" s="7" t="s">
        <v>75</v>
      </c>
      <c r="D1607" s="9" t="s">
        <v>45</v>
      </c>
      <c r="E1607" s="9" t="s">
        <v>44</v>
      </c>
      <c r="F1607" s="5" t="n">
        <v>12</v>
      </c>
      <c r="G1607" s="10"/>
      <c r="H1607" s="11" t="str">
        <f aca="false">IFERROR(IF($D1607="Manual Review","",IF($G1607="","",IF($D1607="Direct Expiry",$G1607,EDATE($G1607,$F1607)))),"Check Date")</f>
        <v/>
      </c>
      <c r="I1607" s="12" t="str">
        <f aca="true">IF($H1607="","",IF(ISNUMBER($H1607),$H1607-TODAY(),""))</f>
        <v/>
      </c>
      <c r="J1607" s="4" t="str">
        <f aca="true">IF($D1607="Manual Review","Manual Review",IF($G1607="","No Data",IF(NOT(ISNUMBER($H1607)),"N/A",IF($H1607&lt;TODAY(),"Overdue",IF($H1607&lt;=TODAY()+30,"Due within 1 Month",IF($H1607&lt;=TODAY()+60,"Due within 2 Months","OK"))))))</f>
        <v>No Data</v>
      </c>
      <c r="K1607" s="13"/>
    </row>
    <row r="1608" customFormat="false" ht="15" hidden="false" customHeight="false" outlineLevel="0" collapsed="false">
      <c r="A1608" s="9" t="str">
        <f aca="false">Vessels!B19</f>
        <v>Vessel 15</v>
      </c>
      <c r="B1608" s="9" t="s">
        <v>42</v>
      </c>
      <c r="C1608" s="7" t="s">
        <v>76</v>
      </c>
      <c r="D1608" s="9" t="s">
        <v>59</v>
      </c>
      <c r="E1608" s="9" t="s">
        <v>58</v>
      </c>
      <c r="F1608" s="5"/>
      <c r="G1608" s="10"/>
      <c r="H1608" s="11" t="str">
        <f aca="false">IFERROR(IF($D1608="Manual Review","",IF($G1608="","",IF($D1608="Direct Expiry",$G1608,EDATE($G1608,$F1608)))),"Check Date")</f>
        <v/>
      </c>
      <c r="I1608" s="12" t="str">
        <f aca="true">IF($H1608="","",IF(ISNUMBER($H1608),$H1608-TODAY(),""))</f>
        <v/>
      </c>
      <c r="J1608" s="4" t="str">
        <f aca="true">IF($D1608="Manual Review","Manual Review",IF($G1608="","No Data",IF(NOT(ISNUMBER($H1608)),"N/A",IF($H1608&lt;TODAY(),"Overdue",IF($H1608&lt;=TODAY()+30,"Due within 1 Month",IF($H1608&lt;=TODAY()+60,"Due within 2 Months","OK"))))))</f>
        <v>No Data</v>
      </c>
      <c r="K1608" s="13"/>
    </row>
    <row r="1609" customFormat="false" ht="15" hidden="false" customHeight="false" outlineLevel="0" collapsed="false">
      <c r="A1609" s="9" t="str">
        <f aca="false">Vessels!B19</f>
        <v>Vessel 15</v>
      </c>
      <c r="B1609" s="9" t="s">
        <v>42</v>
      </c>
      <c r="C1609" s="7" t="s">
        <v>77</v>
      </c>
      <c r="D1609" s="9" t="s">
        <v>59</v>
      </c>
      <c r="E1609" s="9" t="s">
        <v>58</v>
      </c>
      <c r="F1609" s="5"/>
      <c r="G1609" s="10"/>
      <c r="H1609" s="11" t="str">
        <f aca="false">IFERROR(IF($D1609="Manual Review","",IF($G1609="","",IF($D1609="Direct Expiry",$G1609,EDATE($G1609,$F1609)))),"Check Date")</f>
        <v/>
      </c>
      <c r="I1609" s="12" t="str">
        <f aca="true">IF($H1609="","",IF(ISNUMBER($H1609),$H1609-TODAY(),""))</f>
        <v/>
      </c>
      <c r="J1609" s="4" t="str">
        <f aca="true">IF($D1609="Manual Review","Manual Review",IF($G1609="","No Data",IF(NOT(ISNUMBER($H1609)),"N/A",IF($H1609&lt;TODAY(),"Overdue",IF($H1609&lt;=TODAY()+30,"Due within 1 Month",IF($H1609&lt;=TODAY()+60,"Due within 2 Months","OK"))))))</f>
        <v>No Data</v>
      </c>
      <c r="K1609" s="13"/>
    </row>
    <row r="1610" customFormat="false" ht="15" hidden="false" customHeight="false" outlineLevel="0" collapsed="false">
      <c r="A1610" s="9" t="str">
        <f aca="false">Vessels!B19</f>
        <v>Vessel 15</v>
      </c>
      <c r="B1610" s="9" t="s">
        <v>42</v>
      </c>
      <c r="C1610" s="7" t="s">
        <v>78</v>
      </c>
      <c r="D1610" s="9" t="s">
        <v>59</v>
      </c>
      <c r="E1610" s="9" t="s">
        <v>58</v>
      </c>
      <c r="F1610" s="5"/>
      <c r="G1610" s="10"/>
      <c r="H1610" s="11" t="str">
        <f aca="false">IFERROR(IF($D1610="Manual Review","",IF($G1610="","",IF($D1610="Direct Expiry",$G1610,EDATE($G1610,$F1610)))),"Check Date")</f>
        <v/>
      </c>
      <c r="I1610" s="12" t="str">
        <f aca="true">IF($H1610="","",IF(ISNUMBER($H1610),$H1610-TODAY(),""))</f>
        <v/>
      </c>
      <c r="J1610" s="4" t="str">
        <f aca="true">IF($D1610="Manual Review","Manual Review",IF($G1610="","No Data",IF(NOT(ISNUMBER($H1610)),"N/A",IF($H1610&lt;TODAY(),"Overdue",IF($H1610&lt;=TODAY()+30,"Due within 1 Month",IF($H1610&lt;=TODAY()+60,"Due within 2 Months","OK"))))))</f>
        <v>No Data</v>
      </c>
      <c r="K1610" s="13"/>
    </row>
    <row r="1611" customFormat="false" ht="15" hidden="false" customHeight="false" outlineLevel="0" collapsed="false">
      <c r="A1611" s="9" t="str">
        <f aca="false">Vessels!B19</f>
        <v>Vessel 15</v>
      </c>
      <c r="B1611" s="9" t="s">
        <v>42</v>
      </c>
      <c r="C1611" s="7" t="s">
        <v>79</v>
      </c>
      <c r="D1611" s="9" t="s">
        <v>45</v>
      </c>
      <c r="E1611" s="9" t="s">
        <v>44</v>
      </c>
      <c r="F1611" s="5" t="n">
        <v>12</v>
      </c>
      <c r="G1611" s="10"/>
      <c r="H1611" s="11" t="str">
        <f aca="false">IFERROR(IF($D1611="Manual Review","",IF($G1611="","",IF($D1611="Direct Expiry",$G1611,EDATE($G1611,$F1611)))),"Check Date")</f>
        <v/>
      </c>
      <c r="I1611" s="12" t="str">
        <f aca="true">IF($H1611="","",IF(ISNUMBER($H1611),$H1611-TODAY(),""))</f>
        <v/>
      </c>
      <c r="J1611" s="4" t="str">
        <f aca="true">IF($D1611="Manual Review","Manual Review",IF($G1611="","No Data",IF(NOT(ISNUMBER($H1611)),"N/A",IF($H1611&lt;TODAY(),"Overdue",IF($H1611&lt;=TODAY()+30,"Due within 1 Month",IF($H1611&lt;=TODAY()+60,"Due within 2 Months","OK"))))))</f>
        <v>No Data</v>
      </c>
      <c r="K1611" s="13"/>
    </row>
    <row r="1612" customFormat="false" ht="15" hidden="false" customHeight="false" outlineLevel="0" collapsed="false">
      <c r="A1612" s="9" t="str">
        <f aca="false">Vessels!B19</f>
        <v>Vessel 15</v>
      </c>
      <c r="B1612" s="9" t="s">
        <v>42</v>
      </c>
      <c r="C1612" s="7" t="s">
        <v>80</v>
      </c>
      <c r="D1612" s="9" t="s">
        <v>45</v>
      </c>
      <c r="E1612" s="9" t="s">
        <v>81</v>
      </c>
      <c r="F1612" s="5" t="n">
        <v>36</v>
      </c>
      <c r="G1612" s="10"/>
      <c r="H1612" s="11" t="str">
        <f aca="false">IFERROR(IF($D1612="Manual Review","",IF($G1612="","",IF($D1612="Direct Expiry",$G1612,EDATE($G1612,$F1612)))),"Check Date")</f>
        <v/>
      </c>
      <c r="I1612" s="12" t="str">
        <f aca="true">IF($H1612="","",IF(ISNUMBER($H1612),$H1612-TODAY(),""))</f>
        <v/>
      </c>
      <c r="J1612" s="4" t="str">
        <f aca="true">IF($D1612="Manual Review","Manual Review",IF($G1612="","No Data",IF(NOT(ISNUMBER($H1612)),"N/A",IF($H1612&lt;TODAY(),"Overdue",IF($H1612&lt;=TODAY()+30,"Due within 1 Month",IF($H1612&lt;=TODAY()+60,"Due within 2 Months","OK"))))))</f>
        <v>No Data</v>
      </c>
      <c r="K1612" s="13"/>
    </row>
    <row r="1613" customFormat="false" ht="15" hidden="false" customHeight="false" outlineLevel="0" collapsed="false">
      <c r="A1613" s="9" t="str">
        <f aca="false">Vessels!B19</f>
        <v>Vessel 15</v>
      </c>
      <c r="B1613" s="9" t="s">
        <v>42</v>
      </c>
      <c r="C1613" s="7" t="s">
        <v>80</v>
      </c>
      <c r="D1613" s="9" t="s">
        <v>45</v>
      </c>
      <c r="E1613" s="9" t="s">
        <v>82</v>
      </c>
      <c r="F1613" s="5" t="n">
        <v>24</v>
      </c>
      <c r="G1613" s="10"/>
      <c r="H1613" s="11" t="str">
        <f aca="false">IFERROR(IF($D1613="Manual Review","",IF($G1613="","",IF($D1613="Direct Expiry",$G1613,EDATE($G1613,$F1613)))),"Check Date")</f>
        <v/>
      </c>
      <c r="I1613" s="12" t="str">
        <f aca="true">IF($H1613="","",IF(ISNUMBER($H1613),$H1613-TODAY(),""))</f>
        <v/>
      </c>
      <c r="J1613" s="4" t="str">
        <f aca="true">IF($D1613="Manual Review","Manual Review",IF($G1613="","No Data",IF(NOT(ISNUMBER($H1613)),"N/A",IF($H1613&lt;TODAY(),"Overdue",IF($H1613&lt;=TODAY()+30,"Due within 1 Month",IF($H1613&lt;=TODAY()+60,"Due within 2 Months","OK"))))))</f>
        <v>No Data</v>
      </c>
      <c r="K1613" s="13"/>
    </row>
    <row r="1614" customFormat="false" ht="15" hidden="false" customHeight="false" outlineLevel="0" collapsed="false">
      <c r="A1614" s="9" t="str">
        <f aca="false">Vessels!B19</f>
        <v>Vessel 15</v>
      </c>
      <c r="B1614" s="9" t="s">
        <v>42</v>
      </c>
      <c r="C1614" s="7" t="s">
        <v>83</v>
      </c>
      <c r="D1614" s="9" t="s">
        <v>45</v>
      </c>
      <c r="E1614" s="9" t="s">
        <v>44</v>
      </c>
      <c r="F1614" s="5" t="n">
        <v>12</v>
      </c>
      <c r="G1614" s="10"/>
      <c r="H1614" s="11" t="str">
        <f aca="false">IFERROR(IF($D1614="Manual Review","",IF($G1614="","",IF($D1614="Direct Expiry",$G1614,EDATE($G1614,$F1614)))),"Check Date")</f>
        <v/>
      </c>
      <c r="I1614" s="12" t="str">
        <f aca="true">IF($H1614="","",IF(ISNUMBER($H1614),$H1614-TODAY(),""))</f>
        <v/>
      </c>
      <c r="J1614" s="4" t="str">
        <f aca="true">IF($D1614="Manual Review","Manual Review",IF($G1614="","No Data",IF(NOT(ISNUMBER($H1614)),"N/A",IF($H1614&lt;TODAY(),"Overdue",IF($H1614&lt;=TODAY()+30,"Due within 1 Month",IF($H1614&lt;=TODAY()+60,"Due within 2 Months","OK"))))))</f>
        <v>No Data</v>
      </c>
      <c r="K1614" s="13"/>
    </row>
    <row r="1615" customFormat="false" ht="15" hidden="false" customHeight="false" outlineLevel="0" collapsed="false">
      <c r="A1615" s="9" t="str">
        <f aca="false">Vessels!B19</f>
        <v>Vessel 15</v>
      </c>
      <c r="B1615" s="9" t="s">
        <v>42</v>
      </c>
      <c r="C1615" s="7" t="s">
        <v>83</v>
      </c>
      <c r="D1615" s="9" t="s">
        <v>45</v>
      </c>
      <c r="E1615" s="9" t="s">
        <v>84</v>
      </c>
      <c r="F1615" s="5" t="n">
        <v>60</v>
      </c>
      <c r="G1615" s="10"/>
      <c r="H1615" s="11" t="str">
        <f aca="false">IFERROR(IF($D1615="Manual Review","",IF($G1615="","",IF($D1615="Direct Expiry",$G1615,EDATE($G1615,$F1615)))),"Check Date")</f>
        <v/>
      </c>
      <c r="I1615" s="12" t="str">
        <f aca="true">IF($H1615="","",IF(ISNUMBER($H1615),$H1615-TODAY(),""))</f>
        <v/>
      </c>
      <c r="J1615" s="4" t="str">
        <f aca="true">IF($D1615="Manual Review","Manual Review",IF($G1615="","No Data",IF(NOT(ISNUMBER($H1615)),"N/A",IF($H1615&lt;TODAY(),"Overdue",IF($H1615&lt;=TODAY()+30,"Due within 1 Month",IF($H1615&lt;=TODAY()+60,"Due within 2 Months","OK"))))))</f>
        <v>No Data</v>
      </c>
      <c r="K1615" s="13"/>
    </row>
    <row r="1616" customFormat="false" ht="15" hidden="false" customHeight="false" outlineLevel="0" collapsed="false">
      <c r="A1616" s="9" t="str">
        <f aca="false">Vessels!B19</f>
        <v>Vessel 15</v>
      </c>
      <c r="B1616" s="9" t="s">
        <v>42</v>
      </c>
      <c r="C1616" s="7" t="s">
        <v>85</v>
      </c>
      <c r="D1616" s="9" t="s">
        <v>45</v>
      </c>
      <c r="E1616" s="9" t="s">
        <v>44</v>
      </c>
      <c r="F1616" s="5" t="n">
        <v>12</v>
      </c>
      <c r="G1616" s="10"/>
      <c r="H1616" s="11" t="str">
        <f aca="false">IFERROR(IF($D1616="Manual Review","",IF($G1616="","",IF($D1616="Direct Expiry",$G1616,EDATE($G1616,$F1616)))),"Check Date")</f>
        <v/>
      </c>
      <c r="I1616" s="12" t="str">
        <f aca="true">IF($H1616="","",IF(ISNUMBER($H1616),$H1616-TODAY(),""))</f>
        <v/>
      </c>
      <c r="J1616" s="4" t="str">
        <f aca="true">IF($D1616="Manual Review","Manual Review",IF($G1616="","No Data",IF(NOT(ISNUMBER($H1616)),"N/A",IF($H1616&lt;TODAY(),"Overdue",IF($H1616&lt;=TODAY()+30,"Due within 1 Month",IF($H1616&lt;=TODAY()+60,"Due within 2 Months","OK"))))))</f>
        <v>No Data</v>
      </c>
      <c r="K1616" s="13"/>
    </row>
    <row r="1617" customFormat="false" ht="15" hidden="false" customHeight="false" outlineLevel="0" collapsed="false">
      <c r="A1617" s="9" t="str">
        <f aca="false">Vessels!B19</f>
        <v>Vessel 15</v>
      </c>
      <c r="B1617" s="9" t="s">
        <v>42</v>
      </c>
      <c r="C1617" s="7" t="s">
        <v>85</v>
      </c>
      <c r="D1617" s="9" t="s">
        <v>45</v>
      </c>
      <c r="E1617" s="9" t="s">
        <v>84</v>
      </c>
      <c r="F1617" s="5" t="n">
        <v>60</v>
      </c>
      <c r="G1617" s="10"/>
      <c r="H1617" s="11" t="str">
        <f aca="false">IFERROR(IF($D1617="Manual Review","",IF($G1617="","",IF($D1617="Direct Expiry",$G1617,EDATE($G1617,$F1617)))),"Check Date")</f>
        <v/>
      </c>
      <c r="I1617" s="12" t="str">
        <f aca="true">IF($H1617="","",IF(ISNUMBER($H1617),$H1617-TODAY(),""))</f>
        <v/>
      </c>
      <c r="J1617" s="4" t="str">
        <f aca="true">IF($D1617="Manual Review","Manual Review",IF($G1617="","No Data",IF(NOT(ISNUMBER($H1617)),"N/A",IF($H1617&lt;TODAY(),"Overdue",IF($H1617&lt;=TODAY()+30,"Due within 1 Month",IF($H1617&lt;=TODAY()+60,"Due within 2 Months","OK"))))))</f>
        <v>No Data</v>
      </c>
      <c r="K1617" s="13"/>
    </row>
    <row r="1618" customFormat="false" ht="15" hidden="false" customHeight="false" outlineLevel="0" collapsed="false">
      <c r="A1618" s="9" t="str">
        <f aca="false">Vessels!B19</f>
        <v>Vessel 15</v>
      </c>
      <c r="B1618" s="9" t="s">
        <v>42</v>
      </c>
      <c r="C1618" s="7" t="s">
        <v>86</v>
      </c>
      <c r="D1618" s="9" t="s">
        <v>45</v>
      </c>
      <c r="E1618" s="9" t="s">
        <v>44</v>
      </c>
      <c r="F1618" s="5" t="n">
        <v>12</v>
      </c>
      <c r="G1618" s="10"/>
      <c r="H1618" s="11" t="str">
        <f aca="false">IFERROR(IF($D1618="Manual Review","",IF($G1618="","",IF($D1618="Direct Expiry",$G1618,EDATE($G1618,$F1618)))),"Check Date")</f>
        <v/>
      </c>
      <c r="I1618" s="12" t="str">
        <f aca="true">IF($H1618="","",IF(ISNUMBER($H1618),$H1618-TODAY(),""))</f>
        <v/>
      </c>
      <c r="J1618" s="4" t="str">
        <f aca="true">IF($D1618="Manual Review","Manual Review",IF($G1618="","No Data",IF(NOT(ISNUMBER($H1618)),"N/A",IF($H1618&lt;TODAY(),"Overdue",IF($H1618&lt;=TODAY()+30,"Due within 1 Month",IF($H1618&lt;=TODAY()+60,"Due within 2 Months","OK"))))))</f>
        <v>No Data</v>
      </c>
      <c r="K1618" s="13"/>
    </row>
    <row r="1619" customFormat="false" ht="15" hidden="false" customHeight="false" outlineLevel="0" collapsed="false">
      <c r="A1619" s="9" t="str">
        <f aca="false">Vessels!B19</f>
        <v>Vessel 15</v>
      </c>
      <c r="B1619" s="9" t="s">
        <v>42</v>
      </c>
      <c r="C1619" s="7" t="s">
        <v>87</v>
      </c>
      <c r="D1619" s="9" t="s">
        <v>45</v>
      </c>
      <c r="E1619" s="9" t="s">
        <v>44</v>
      </c>
      <c r="F1619" s="5" t="n">
        <v>12</v>
      </c>
      <c r="G1619" s="10"/>
      <c r="H1619" s="11" t="str">
        <f aca="false">IFERROR(IF($D1619="Manual Review","",IF($G1619="","",IF($D1619="Direct Expiry",$G1619,EDATE($G1619,$F1619)))),"Check Date")</f>
        <v/>
      </c>
      <c r="I1619" s="12" t="str">
        <f aca="true">IF($H1619="","",IF(ISNUMBER($H1619),$H1619-TODAY(),""))</f>
        <v/>
      </c>
      <c r="J1619" s="4" t="str">
        <f aca="true">IF($D1619="Manual Review","Manual Review",IF($G1619="","No Data",IF(NOT(ISNUMBER($H1619)),"N/A",IF($H1619&lt;TODAY(),"Overdue",IF($H1619&lt;=TODAY()+30,"Due within 1 Month",IF($H1619&lt;=TODAY()+60,"Due within 2 Months","OK"))))))</f>
        <v>No Data</v>
      </c>
      <c r="K1619" s="13"/>
    </row>
    <row r="1620" customFormat="false" ht="15" hidden="false" customHeight="false" outlineLevel="0" collapsed="false">
      <c r="A1620" s="9" t="str">
        <f aca="false">Vessels!B19</f>
        <v>Vessel 15</v>
      </c>
      <c r="B1620" s="9" t="s">
        <v>88</v>
      </c>
      <c r="C1620" s="7" t="s">
        <v>89</v>
      </c>
      <c r="D1620" s="9" t="s">
        <v>45</v>
      </c>
      <c r="E1620" s="9" t="s">
        <v>90</v>
      </c>
      <c r="F1620" s="5" t="n">
        <v>36</v>
      </c>
      <c r="G1620" s="10"/>
      <c r="H1620" s="11" t="str">
        <f aca="false">IFERROR(IF($D1620="Manual Review","",IF($G1620="","",IF($D1620="Direct Expiry",$G1620,EDATE($G1620,$F1620)))),"Check Date")</f>
        <v/>
      </c>
      <c r="I1620" s="12" t="str">
        <f aca="true">IF($H1620="","",IF(ISNUMBER($H1620),$H1620-TODAY(),""))</f>
        <v/>
      </c>
      <c r="J1620" s="4" t="str">
        <f aca="true">IF($D1620="Manual Review","Manual Review",IF($G1620="","No Data",IF(NOT(ISNUMBER($H1620)),"N/A",IF($H1620&lt;TODAY(),"Overdue",IF($H1620&lt;=TODAY()+30,"Due within 1 Month",IF($H1620&lt;=TODAY()+60,"Due within 2 Months","OK"))))))</f>
        <v>No Data</v>
      </c>
      <c r="K1620" s="13"/>
    </row>
    <row r="1621" customFormat="false" ht="15" hidden="false" customHeight="false" outlineLevel="0" collapsed="false">
      <c r="A1621" s="9" t="str">
        <f aca="false">Vessels!B19</f>
        <v>Vessel 15</v>
      </c>
      <c r="B1621" s="9" t="s">
        <v>88</v>
      </c>
      <c r="C1621" s="7" t="s">
        <v>91</v>
      </c>
      <c r="D1621" s="9" t="s">
        <v>45</v>
      </c>
      <c r="E1621" s="9" t="s">
        <v>44</v>
      </c>
      <c r="F1621" s="5" t="n">
        <v>12</v>
      </c>
      <c r="G1621" s="10"/>
      <c r="H1621" s="11" t="str">
        <f aca="false">IFERROR(IF($D1621="Manual Review","",IF($G1621="","",IF($D1621="Direct Expiry",$G1621,EDATE($G1621,$F1621)))),"Check Date")</f>
        <v/>
      </c>
      <c r="I1621" s="12" t="str">
        <f aca="true">IF($H1621="","",IF(ISNUMBER($H1621),$H1621-TODAY(),""))</f>
        <v/>
      </c>
      <c r="J1621" s="4" t="str">
        <f aca="true">IF($D1621="Manual Review","Manual Review",IF($G1621="","No Data",IF(NOT(ISNUMBER($H1621)),"N/A",IF($H1621&lt;TODAY(),"Overdue",IF($H1621&lt;=TODAY()+30,"Due within 1 Month",IF($H1621&lt;=TODAY()+60,"Due within 2 Months","OK"))))))</f>
        <v>No Data</v>
      </c>
      <c r="K1621" s="13"/>
    </row>
    <row r="1622" customFormat="false" ht="15" hidden="false" customHeight="false" outlineLevel="0" collapsed="false">
      <c r="A1622" s="9" t="str">
        <f aca="false">Vessels!B19</f>
        <v>Vessel 15</v>
      </c>
      <c r="B1622" s="9" t="s">
        <v>88</v>
      </c>
      <c r="C1622" s="7" t="s">
        <v>91</v>
      </c>
      <c r="D1622" s="9" t="s">
        <v>45</v>
      </c>
      <c r="E1622" s="9" t="s">
        <v>92</v>
      </c>
      <c r="F1622" s="5" t="n">
        <v>120</v>
      </c>
      <c r="G1622" s="10"/>
      <c r="H1622" s="11" t="str">
        <f aca="false">IFERROR(IF($D1622="Manual Review","",IF($G1622="","",IF($D1622="Direct Expiry",$G1622,EDATE($G1622,$F1622)))),"Check Date")</f>
        <v/>
      </c>
      <c r="I1622" s="12" t="str">
        <f aca="true">IF($H1622="","",IF(ISNUMBER($H1622),$H1622-TODAY(),""))</f>
        <v/>
      </c>
      <c r="J1622" s="4" t="str">
        <f aca="true">IF($D1622="Manual Review","Manual Review",IF($G1622="","No Data",IF(NOT(ISNUMBER($H1622)),"N/A",IF($H1622&lt;TODAY(),"Overdue",IF($H1622&lt;=TODAY()+30,"Due within 1 Month",IF($H1622&lt;=TODAY()+60,"Due within 2 Months","OK"))))))</f>
        <v>No Data</v>
      </c>
      <c r="K1622" s="13"/>
    </row>
    <row r="1623" customFormat="false" ht="15" hidden="false" customHeight="false" outlineLevel="0" collapsed="false">
      <c r="A1623" s="9" t="str">
        <f aca="false">Vessels!B19</f>
        <v>Vessel 15</v>
      </c>
      <c r="B1623" s="9" t="s">
        <v>88</v>
      </c>
      <c r="C1623" s="7" t="s">
        <v>93</v>
      </c>
      <c r="D1623" s="9" t="s">
        <v>45</v>
      </c>
      <c r="E1623" s="9" t="s">
        <v>44</v>
      </c>
      <c r="F1623" s="5" t="n">
        <v>12</v>
      </c>
      <c r="G1623" s="10"/>
      <c r="H1623" s="11" t="str">
        <f aca="false">IFERROR(IF($D1623="Manual Review","",IF($G1623="","",IF($D1623="Direct Expiry",$G1623,EDATE($G1623,$F1623)))),"Check Date")</f>
        <v/>
      </c>
      <c r="I1623" s="12" t="str">
        <f aca="true">IF($H1623="","",IF(ISNUMBER($H1623),$H1623-TODAY(),""))</f>
        <v/>
      </c>
      <c r="J1623" s="4" t="str">
        <f aca="true">IF($D1623="Manual Review","Manual Review",IF($G1623="","No Data",IF(NOT(ISNUMBER($H1623)),"N/A",IF($H1623&lt;TODAY(),"Overdue",IF($H1623&lt;=TODAY()+30,"Due within 1 Month",IF($H1623&lt;=TODAY()+60,"Due within 2 Months","OK"))))))</f>
        <v>No Data</v>
      </c>
      <c r="K1623" s="13"/>
    </row>
    <row r="1624" customFormat="false" ht="15" hidden="false" customHeight="false" outlineLevel="0" collapsed="false">
      <c r="A1624" s="9" t="str">
        <f aca="false">Vessels!B19</f>
        <v>Vessel 15</v>
      </c>
      <c r="B1624" s="9" t="s">
        <v>88</v>
      </c>
      <c r="C1624" s="7" t="s">
        <v>93</v>
      </c>
      <c r="D1624" s="9" t="s">
        <v>45</v>
      </c>
      <c r="E1624" s="9" t="s">
        <v>92</v>
      </c>
      <c r="F1624" s="5" t="n">
        <v>120</v>
      </c>
      <c r="G1624" s="10"/>
      <c r="H1624" s="11" t="str">
        <f aca="false">IFERROR(IF($D1624="Manual Review","",IF($G1624="","",IF($D1624="Direct Expiry",$G1624,EDATE($G1624,$F1624)))),"Check Date")</f>
        <v/>
      </c>
      <c r="I1624" s="12" t="str">
        <f aca="true">IF($H1624="","",IF(ISNUMBER($H1624),$H1624-TODAY(),""))</f>
        <v/>
      </c>
      <c r="J1624" s="4" t="str">
        <f aca="true">IF($D1624="Manual Review","Manual Review",IF($G1624="","No Data",IF(NOT(ISNUMBER($H1624)),"N/A",IF($H1624&lt;TODAY(),"Overdue",IF($H1624&lt;=TODAY()+30,"Due within 1 Month",IF($H1624&lt;=TODAY()+60,"Due within 2 Months","OK"))))))</f>
        <v>No Data</v>
      </c>
      <c r="K1624" s="13"/>
    </row>
    <row r="1625" customFormat="false" ht="15" hidden="false" customHeight="false" outlineLevel="0" collapsed="false">
      <c r="A1625" s="9" t="str">
        <f aca="false">Vessels!B19</f>
        <v>Vessel 15</v>
      </c>
      <c r="B1625" s="9" t="s">
        <v>88</v>
      </c>
      <c r="C1625" s="7" t="s">
        <v>94</v>
      </c>
      <c r="D1625" s="9" t="s">
        <v>45</v>
      </c>
      <c r="E1625" s="9" t="s">
        <v>44</v>
      </c>
      <c r="F1625" s="5" t="n">
        <v>12</v>
      </c>
      <c r="G1625" s="10"/>
      <c r="H1625" s="11" t="str">
        <f aca="false">IFERROR(IF($D1625="Manual Review","",IF($G1625="","",IF($D1625="Direct Expiry",$G1625,EDATE($G1625,$F1625)))),"Check Date")</f>
        <v/>
      </c>
      <c r="I1625" s="12" t="str">
        <f aca="true">IF($H1625="","",IF(ISNUMBER($H1625),$H1625-TODAY(),""))</f>
        <v/>
      </c>
      <c r="J1625" s="4" t="str">
        <f aca="true">IF($D1625="Manual Review","Manual Review",IF($G1625="","No Data",IF(NOT(ISNUMBER($H1625)),"N/A",IF($H1625&lt;TODAY(),"Overdue",IF($H1625&lt;=TODAY()+30,"Due within 1 Month",IF($H1625&lt;=TODAY()+60,"Due within 2 Months","OK"))))))</f>
        <v>No Data</v>
      </c>
      <c r="K1625" s="13"/>
    </row>
    <row r="1626" customFormat="false" ht="15" hidden="false" customHeight="false" outlineLevel="0" collapsed="false">
      <c r="A1626" s="9" t="str">
        <f aca="false">Vessels!B19</f>
        <v>Vessel 15</v>
      </c>
      <c r="B1626" s="9" t="s">
        <v>88</v>
      </c>
      <c r="C1626" s="7" t="s">
        <v>94</v>
      </c>
      <c r="D1626" s="9" t="s">
        <v>45</v>
      </c>
      <c r="E1626" s="9" t="s">
        <v>92</v>
      </c>
      <c r="F1626" s="5" t="n">
        <v>120</v>
      </c>
      <c r="G1626" s="10"/>
      <c r="H1626" s="11" t="str">
        <f aca="false">IFERROR(IF($D1626="Manual Review","",IF($G1626="","",IF($D1626="Direct Expiry",$G1626,EDATE($G1626,$F1626)))),"Check Date")</f>
        <v/>
      </c>
      <c r="I1626" s="12" t="str">
        <f aca="true">IF($H1626="","",IF(ISNUMBER($H1626),$H1626-TODAY(),""))</f>
        <v/>
      </c>
      <c r="J1626" s="4" t="str">
        <f aca="true">IF($D1626="Manual Review","Manual Review",IF($G1626="","No Data",IF(NOT(ISNUMBER($H1626)),"N/A",IF($H1626&lt;TODAY(),"Overdue",IF($H1626&lt;=TODAY()+30,"Due within 1 Month",IF($H1626&lt;=TODAY()+60,"Due within 2 Months","OK"))))))</f>
        <v>No Data</v>
      </c>
      <c r="K1626" s="13"/>
    </row>
    <row r="1627" customFormat="false" ht="15" hidden="false" customHeight="false" outlineLevel="0" collapsed="false">
      <c r="A1627" s="9" t="str">
        <f aca="false">Vessels!B19</f>
        <v>Vessel 15</v>
      </c>
      <c r="B1627" s="9" t="s">
        <v>88</v>
      </c>
      <c r="C1627" s="7" t="s">
        <v>95</v>
      </c>
      <c r="D1627" s="9" t="s">
        <v>45</v>
      </c>
      <c r="E1627" s="9" t="s">
        <v>44</v>
      </c>
      <c r="F1627" s="5" t="n">
        <v>12</v>
      </c>
      <c r="G1627" s="10"/>
      <c r="H1627" s="11" t="str">
        <f aca="false">IFERROR(IF($D1627="Manual Review","",IF($G1627="","",IF($D1627="Direct Expiry",$G1627,EDATE($G1627,$F1627)))),"Check Date")</f>
        <v/>
      </c>
      <c r="I1627" s="12" t="str">
        <f aca="true">IF($H1627="","",IF(ISNUMBER($H1627),$H1627-TODAY(),""))</f>
        <v/>
      </c>
      <c r="J1627" s="4" t="str">
        <f aca="true">IF($D1627="Manual Review","Manual Review",IF($G1627="","No Data",IF(NOT(ISNUMBER($H1627)),"N/A",IF($H1627&lt;TODAY(),"Overdue",IF($H1627&lt;=TODAY()+30,"Due within 1 Month",IF($H1627&lt;=TODAY()+60,"Due within 2 Months","OK"))))))</f>
        <v>No Data</v>
      </c>
      <c r="K1627" s="13"/>
    </row>
    <row r="1628" customFormat="false" ht="15" hidden="false" customHeight="false" outlineLevel="0" collapsed="false">
      <c r="A1628" s="9" t="str">
        <f aca="false">Vessels!B19</f>
        <v>Vessel 15</v>
      </c>
      <c r="B1628" s="9" t="s">
        <v>88</v>
      </c>
      <c r="C1628" s="7" t="s">
        <v>95</v>
      </c>
      <c r="D1628" s="9" t="s">
        <v>45</v>
      </c>
      <c r="E1628" s="9" t="s">
        <v>92</v>
      </c>
      <c r="F1628" s="5" t="n">
        <v>120</v>
      </c>
      <c r="G1628" s="10"/>
      <c r="H1628" s="11" t="str">
        <f aca="false">IFERROR(IF($D1628="Manual Review","",IF($G1628="","",IF($D1628="Direct Expiry",$G1628,EDATE($G1628,$F1628)))),"Check Date")</f>
        <v/>
      </c>
      <c r="I1628" s="12" t="str">
        <f aca="true">IF($H1628="","",IF(ISNUMBER($H1628),$H1628-TODAY(),""))</f>
        <v/>
      </c>
      <c r="J1628" s="4" t="str">
        <f aca="true">IF($D1628="Manual Review","Manual Review",IF($G1628="","No Data",IF(NOT(ISNUMBER($H1628)),"N/A",IF($H1628&lt;TODAY(),"Overdue",IF($H1628&lt;=TODAY()+30,"Due within 1 Month",IF($H1628&lt;=TODAY()+60,"Due within 2 Months","OK"))))))</f>
        <v>No Data</v>
      </c>
      <c r="K1628" s="13"/>
    </row>
    <row r="1629" customFormat="false" ht="15" hidden="false" customHeight="false" outlineLevel="0" collapsed="false">
      <c r="A1629" s="9" t="str">
        <f aca="false">Vessels!B19</f>
        <v>Vessel 15</v>
      </c>
      <c r="B1629" s="9" t="s">
        <v>88</v>
      </c>
      <c r="C1629" s="7" t="s">
        <v>96</v>
      </c>
      <c r="D1629" s="9" t="s">
        <v>45</v>
      </c>
      <c r="E1629" s="9" t="s">
        <v>44</v>
      </c>
      <c r="F1629" s="5" t="n">
        <v>12</v>
      </c>
      <c r="G1629" s="10"/>
      <c r="H1629" s="11" t="str">
        <f aca="false">IFERROR(IF($D1629="Manual Review","",IF($G1629="","",IF($D1629="Direct Expiry",$G1629,EDATE($G1629,$F1629)))),"Check Date")</f>
        <v/>
      </c>
      <c r="I1629" s="12" t="str">
        <f aca="true">IF($H1629="","",IF(ISNUMBER($H1629),$H1629-TODAY(),""))</f>
        <v/>
      </c>
      <c r="J1629" s="4" t="str">
        <f aca="true">IF($D1629="Manual Review","Manual Review",IF($G1629="","No Data",IF(NOT(ISNUMBER($H1629)),"N/A",IF($H1629&lt;TODAY(),"Overdue",IF($H1629&lt;=TODAY()+30,"Due within 1 Month",IF($H1629&lt;=TODAY()+60,"Due within 2 Months","OK"))))))</f>
        <v>No Data</v>
      </c>
      <c r="K1629" s="13"/>
    </row>
    <row r="1630" customFormat="false" ht="15" hidden="false" customHeight="false" outlineLevel="0" collapsed="false">
      <c r="A1630" s="9" t="str">
        <f aca="false">Vessels!B19</f>
        <v>Vessel 15</v>
      </c>
      <c r="B1630" s="9" t="s">
        <v>88</v>
      </c>
      <c r="C1630" s="7" t="s">
        <v>96</v>
      </c>
      <c r="D1630" s="9" t="s">
        <v>45</v>
      </c>
      <c r="E1630" s="9" t="s">
        <v>97</v>
      </c>
      <c r="F1630" s="5" t="n">
        <v>120</v>
      </c>
      <c r="G1630" s="10"/>
      <c r="H1630" s="11" t="str">
        <f aca="false">IFERROR(IF($D1630="Manual Review","",IF($G1630="","",IF($D1630="Direct Expiry",$G1630,EDATE($G1630,$F1630)))),"Check Date")</f>
        <v/>
      </c>
      <c r="I1630" s="12" t="str">
        <f aca="true">IF($H1630="","",IF(ISNUMBER($H1630),$H1630-TODAY(),""))</f>
        <v/>
      </c>
      <c r="J1630" s="4" t="str">
        <f aca="true">IF($D1630="Manual Review","Manual Review",IF($G1630="","No Data",IF(NOT(ISNUMBER($H1630)),"N/A",IF($H1630&lt;TODAY(),"Overdue",IF($H1630&lt;=TODAY()+30,"Due within 1 Month",IF($H1630&lt;=TODAY()+60,"Due within 2 Months","OK"))))))</f>
        <v>No Data</v>
      </c>
      <c r="K1630" s="13"/>
    </row>
    <row r="1631" customFormat="false" ht="15" hidden="false" customHeight="false" outlineLevel="0" collapsed="false">
      <c r="A1631" s="9" t="str">
        <f aca="false">Vessels!B19</f>
        <v>Vessel 15</v>
      </c>
      <c r="B1631" s="9" t="s">
        <v>88</v>
      </c>
      <c r="C1631" s="7" t="s">
        <v>98</v>
      </c>
      <c r="D1631" s="9" t="s">
        <v>45</v>
      </c>
      <c r="E1631" s="9" t="s">
        <v>44</v>
      </c>
      <c r="F1631" s="5" t="n">
        <v>12</v>
      </c>
      <c r="G1631" s="10"/>
      <c r="H1631" s="11" t="str">
        <f aca="false">IFERROR(IF($D1631="Manual Review","",IF($G1631="","",IF($D1631="Direct Expiry",$G1631,EDATE($G1631,$F1631)))),"Check Date")</f>
        <v/>
      </c>
      <c r="I1631" s="12" t="str">
        <f aca="true">IF($H1631="","",IF(ISNUMBER($H1631),$H1631-TODAY(),""))</f>
        <v/>
      </c>
      <c r="J1631" s="4" t="str">
        <f aca="true">IF($D1631="Manual Review","Manual Review",IF($G1631="","No Data",IF(NOT(ISNUMBER($H1631)),"N/A",IF($H1631&lt;TODAY(),"Overdue",IF($H1631&lt;=TODAY()+30,"Due within 1 Month",IF($H1631&lt;=TODAY()+60,"Due within 2 Months","OK"))))))</f>
        <v>No Data</v>
      </c>
      <c r="K1631" s="13"/>
    </row>
    <row r="1632" customFormat="false" ht="15" hidden="false" customHeight="false" outlineLevel="0" collapsed="false">
      <c r="A1632" s="9" t="str">
        <f aca="false">Vessels!B19</f>
        <v>Vessel 15</v>
      </c>
      <c r="B1632" s="9" t="s">
        <v>88</v>
      </c>
      <c r="C1632" s="7" t="s">
        <v>98</v>
      </c>
      <c r="D1632" s="9" t="s">
        <v>45</v>
      </c>
      <c r="E1632" s="9" t="s">
        <v>99</v>
      </c>
      <c r="F1632" s="5" t="n">
        <v>60</v>
      </c>
      <c r="G1632" s="10"/>
      <c r="H1632" s="11" t="str">
        <f aca="false">IFERROR(IF($D1632="Manual Review","",IF($G1632="","",IF($D1632="Direct Expiry",$G1632,EDATE($G1632,$F1632)))),"Check Date")</f>
        <v/>
      </c>
      <c r="I1632" s="12" t="str">
        <f aca="true">IF($H1632="","",IF(ISNUMBER($H1632),$H1632-TODAY(),""))</f>
        <v/>
      </c>
      <c r="J1632" s="4" t="str">
        <f aca="true">IF($D1632="Manual Review","Manual Review",IF($G1632="","No Data",IF(NOT(ISNUMBER($H1632)),"N/A",IF($H1632&lt;TODAY(),"Overdue",IF($H1632&lt;=TODAY()+30,"Due within 1 Month",IF($H1632&lt;=TODAY()+60,"Due within 2 Months","OK"))))))</f>
        <v>No Data</v>
      </c>
      <c r="K1632" s="13"/>
    </row>
    <row r="1633" customFormat="false" ht="15" hidden="false" customHeight="false" outlineLevel="0" collapsed="false">
      <c r="A1633" s="9" t="str">
        <f aca="false">Vessels!B19</f>
        <v>Vessel 15</v>
      </c>
      <c r="B1633" s="9" t="s">
        <v>88</v>
      </c>
      <c r="C1633" s="7" t="s">
        <v>100</v>
      </c>
      <c r="D1633" s="9" t="s">
        <v>45</v>
      </c>
      <c r="E1633" s="9" t="s">
        <v>44</v>
      </c>
      <c r="F1633" s="5" t="n">
        <v>12</v>
      </c>
      <c r="G1633" s="10"/>
      <c r="H1633" s="11" t="str">
        <f aca="false">IFERROR(IF($D1633="Manual Review","",IF($G1633="","",IF($D1633="Direct Expiry",$G1633,EDATE($G1633,$F1633)))),"Check Date")</f>
        <v/>
      </c>
      <c r="I1633" s="12" t="str">
        <f aca="true">IF($H1633="","",IF(ISNUMBER($H1633),$H1633-TODAY(),""))</f>
        <v/>
      </c>
      <c r="J1633" s="4" t="str">
        <f aca="true">IF($D1633="Manual Review","Manual Review",IF($G1633="","No Data",IF(NOT(ISNUMBER($H1633)),"N/A",IF($H1633&lt;TODAY(),"Overdue",IF($H1633&lt;=TODAY()+30,"Due within 1 Month",IF($H1633&lt;=TODAY()+60,"Due within 2 Months","OK"))))))</f>
        <v>No Data</v>
      </c>
      <c r="K1633" s="13"/>
    </row>
    <row r="1634" customFormat="false" ht="15" hidden="false" customHeight="false" outlineLevel="0" collapsed="false">
      <c r="A1634" s="9" t="str">
        <f aca="false">Vessels!B19</f>
        <v>Vessel 15</v>
      </c>
      <c r="B1634" s="9" t="s">
        <v>88</v>
      </c>
      <c r="C1634" s="7" t="s">
        <v>100</v>
      </c>
      <c r="D1634" s="9" t="s">
        <v>45</v>
      </c>
      <c r="E1634" s="9" t="s">
        <v>99</v>
      </c>
      <c r="F1634" s="5" t="n">
        <v>60</v>
      </c>
      <c r="G1634" s="10"/>
      <c r="H1634" s="11" t="str">
        <f aca="false">IFERROR(IF($D1634="Manual Review","",IF($G1634="","",IF($D1634="Direct Expiry",$G1634,EDATE($G1634,$F1634)))),"Check Date")</f>
        <v/>
      </c>
      <c r="I1634" s="12" t="str">
        <f aca="true">IF($H1634="","",IF(ISNUMBER($H1634),$H1634-TODAY(),""))</f>
        <v/>
      </c>
      <c r="J1634" s="4" t="str">
        <f aca="true">IF($D1634="Manual Review","Manual Review",IF($G1634="","No Data",IF(NOT(ISNUMBER($H1634)),"N/A",IF($H1634&lt;TODAY(),"Overdue",IF($H1634&lt;=TODAY()+30,"Due within 1 Month",IF($H1634&lt;=TODAY()+60,"Due within 2 Months","OK"))))))</f>
        <v>No Data</v>
      </c>
      <c r="K1634" s="13"/>
    </row>
    <row r="1635" customFormat="false" ht="15" hidden="false" customHeight="false" outlineLevel="0" collapsed="false">
      <c r="A1635" s="9" t="str">
        <f aca="false">Vessels!B19</f>
        <v>Vessel 15</v>
      </c>
      <c r="B1635" s="9" t="s">
        <v>88</v>
      </c>
      <c r="C1635" s="7" t="s">
        <v>101</v>
      </c>
      <c r="D1635" s="9" t="s">
        <v>45</v>
      </c>
      <c r="E1635" s="9" t="s">
        <v>44</v>
      </c>
      <c r="F1635" s="5" t="n">
        <v>12</v>
      </c>
      <c r="G1635" s="10"/>
      <c r="H1635" s="11" t="str">
        <f aca="false">IFERROR(IF($D1635="Manual Review","",IF($G1635="","",IF($D1635="Direct Expiry",$G1635,EDATE($G1635,$F1635)))),"Check Date")</f>
        <v/>
      </c>
      <c r="I1635" s="12" t="str">
        <f aca="true">IF($H1635="","",IF(ISNUMBER($H1635),$H1635-TODAY(),""))</f>
        <v/>
      </c>
      <c r="J1635" s="4" t="str">
        <f aca="true">IF($D1635="Manual Review","Manual Review",IF($G1635="","No Data",IF(NOT(ISNUMBER($H1635)),"N/A",IF($H1635&lt;TODAY(),"Overdue",IF($H1635&lt;=TODAY()+30,"Due within 1 Month",IF($H1635&lt;=TODAY()+60,"Due within 2 Months","OK"))))))</f>
        <v>No Data</v>
      </c>
      <c r="K1635" s="13"/>
    </row>
    <row r="1636" customFormat="false" ht="23.85" hidden="false" customHeight="false" outlineLevel="0" collapsed="false">
      <c r="A1636" s="9" t="str">
        <f aca="false">Vessels!B19</f>
        <v>Vessel 15</v>
      </c>
      <c r="B1636" s="9" t="s">
        <v>88</v>
      </c>
      <c r="C1636" s="7" t="s">
        <v>102</v>
      </c>
      <c r="D1636" s="9" t="s">
        <v>45</v>
      </c>
      <c r="E1636" s="9" t="s">
        <v>44</v>
      </c>
      <c r="F1636" s="5" t="n">
        <v>12</v>
      </c>
      <c r="G1636" s="10"/>
      <c r="H1636" s="11" t="str">
        <f aca="false">IFERROR(IF($D1636="Manual Review","",IF($G1636="","",IF($D1636="Direct Expiry",$G1636,EDATE($G1636,$F1636)))),"Check Date")</f>
        <v/>
      </c>
      <c r="I1636" s="12" t="str">
        <f aca="true">IF($H1636="","",IF(ISNUMBER($H1636),$H1636-TODAY(),""))</f>
        <v/>
      </c>
      <c r="J1636" s="4" t="str">
        <f aca="true">IF($D1636="Manual Review","Manual Review",IF($G1636="","No Data",IF(NOT(ISNUMBER($H1636)),"N/A",IF($H1636&lt;TODAY(),"Overdue",IF($H1636&lt;=TODAY()+30,"Due within 1 Month",IF($H1636&lt;=TODAY()+60,"Due within 2 Months","OK"))))))</f>
        <v>No Data</v>
      </c>
      <c r="K1636" s="13"/>
    </row>
    <row r="1637" customFormat="false" ht="23.85" hidden="false" customHeight="false" outlineLevel="0" collapsed="false">
      <c r="A1637" s="9" t="str">
        <f aca="false">Vessels!B19</f>
        <v>Vessel 15</v>
      </c>
      <c r="B1637" s="9" t="s">
        <v>88</v>
      </c>
      <c r="C1637" s="7" t="s">
        <v>102</v>
      </c>
      <c r="D1637" s="9" t="s">
        <v>45</v>
      </c>
      <c r="E1637" s="9" t="s">
        <v>97</v>
      </c>
      <c r="F1637" s="5" t="n">
        <v>120</v>
      </c>
      <c r="G1637" s="10"/>
      <c r="H1637" s="11" t="str">
        <f aca="false">IFERROR(IF($D1637="Manual Review","",IF($G1637="","",IF($D1637="Direct Expiry",$G1637,EDATE($G1637,$F1637)))),"Check Date")</f>
        <v/>
      </c>
      <c r="I1637" s="12" t="str">
        <f aca="true">IF($H1637="","",IF(ISNUMBER($H1637),$H1637-TODAY(),""))</f>
        <v/>
      </c>
      <c r="J1637" s="4" t="str">
        <f aca="true">IF($D1637="Manual Review","Manual Review",IF($G1637="","No Data",IF(NOT(ISNUMBER($H1637)),"N/A",IF($H1637&lt;TODAY(),"Overdue",IF($H1637&lt;=TODAY()+30,"Due within 1 Month",IF($H1637&lt;=TODAY()+60,"Due within 2 Months","OK"))))))</f>
        <v>No Data</v>
      </c>
      <c r="K1637" s="13"/>
    </row>
    <row r="1638" customFormat="false" ht="15" hidden="false" customHeight="false" outlineLevel="0" collapsed="false">
      <c r="A1638" s="9" t="str">
        <f aca="false">Vessels!B19</f>
        <v>Vessel 15</v>
      </c>
      <c r="B1638" s="9" t="s">
        <v>88</v>
      </c>
      <c r="C1638" s="7" t="s">
        <v>103</v>
      </c>
      <c r="D1638" s="9" t="s">
        <v>45</v>
      </c>
      <c r="E1638" s="9" t="s">
        <v>44</v>
      </c>
      <c r="F1638" s="5" t="n">
        <v>12</v>
      </c>
      <c r="G1638" s="10"/>
      <c r="H1638" s="11" t="str">
        <f aca="false">IFERROR(IF($D1638="Manual Review","",IF($G1638="","",IF($D1638="Direct Expiry",$G1638,EDATE($G1638,$F1638)))),"Check Date")</f>
        <v/>
      </c>
      <c r="I1638" s="12" t="str">
        <f aca="true">IF($H1638="","",IF(ISNUMBER($H1638),$H1638-TODAY(),""))</f>
        <v/>
      </c>
      <c r="J1638" s="4" t="str">
        <f aca="true">IF($D1638="Manual Review","Manual Review",IF($G1638="","No Data",IF(NOT(ISNUMBER($H1638)),"N/A",IF($H1638&lt;TODAY(),"Overdue",IF($H1638&lt;=TODAY()+30,"Due within 1 Month",IF($H1638&lt;=TODAY()+60,"Due within 2 Months","OK"))))))</f>
        <v>No Data</v>
      </c>
      <c r="K1638" s="13"/>
    </row>
    <row r="1639" customFormat="false" ht="15" hidden="false" customHeight="false" outlineLevel="0" collapsed="false">
      <c r="A1639" s="9" t="str">
        <f aca="false">Vessels!B19</f>
        <v>Vessel 15</v>
      </c>
      <c r="B1639" s="9" t="s">
        <v>88</v>
      </c>
      <c r="C1639" s="7" t="s">
        <v>103</v>
      </c>
      <c r="D1639" s="9" t="s">
        <v>45</v>
      </c>
      <c r="E1639" s="9" t="s">
        <v>97</v>
      </c>
      <c r="F1639" s="5" t="n">
        <v>120</v>
      </c>
      <c r="G1639" s="10"/>
      <c r="H1639" s="11" t="str">
        <f aca="false">IFERROR(IF($D1639="Manual Review","",IF($G1639="","",IF($D1639="Direct Expiry",$G1639,EDATE($G1639,$F1639)))),"Check Date")</f>
        <v/>
      </c>
      <c r="I1639" s="12" t="str">
        <f aca="true">IF($H1639="","",IF(ISNUMBER($H1639),$H1639-TODAY(),""))</f>
        <v/>
      </c>
      <c r="J1639" s="4" t="str">
        <f aca="true">IF($D1639="Manual Review","Manual Review",IF($G1639="","No Data",IF(NOT(ISNUMBER($H1639)),"N/A",IF($H1639&lt;TODAY(),"Overdue",IF($H1639&lt;=TODAY()+30,"Due within 1 Month",IF($H1639&lt;=TODAY()+60,"Due within 2 Months","OK"))))))</f>
        <v>No Data</v>
      </c>
      <c r="K1639" s="13"/>
    </row>
    <row r="1640" customFormat="false" ht="15" hidden="false" customHeight="false" outlineLevel="0" collapsed="false">
      <c r="A1640" s="9" t="str">
        <f aca="false">Vessels!B19</f>
        <v>Vessel 15</v>
      </c>
      <c r="B1640" s="9" t="s">
        <v>88</v>
      </c>
      <c r="C1640" s="7" t="s">
        <v>104</v>
      </c>
      <c r="D1640" s="9" t="s">
        <v>45</v>
      </c>
      <c r="E1640" s="9" t="s">
        <v>44</v>
      </c>
      <c r="F1640" s="5" t="n">
        <v>12</v>
      </c>
      <c r="G1640" s="10"/>
      <c r="H1640" s="11" t="str">
        <f aca="false">IFERROR(IF($D1640="Manual Review","",IF($G1640="","",IF($D1640="Direct Expiry",$G1640,EDATE($G1640,$F1640)))),"Check Date")</f>
        <v/>
      </c>
      <c r="I1640" s="12" t="str">
        <f aca="true">IF($H1640="","",IF(ISNUMBER($H1640),$H1640-TODAY(),""))</f>
        <v/>
      </c>
      <c r="J1640" s="4" t="str">
        <f aca="true">IF($D1640="Manual Review","Manual Review",IF($G1640="","No Data",IF(NOT(ISNUMBER($H1640)),"N/A",IF($H1640&lt;TODAY(),"Overdue",IF($H1640&lt;=TODAY()+30,"Due within 1 Month",IF($H1640&lt;=TODAY()+60,"Due within 2 Months","OK"))))))</f>
        <v>No Data</v>
      </c>
      <c r="K1640" s="13"/>
    </row>
    <row r="1641" customFormat="false" ht="15" hidden="false" customHeight="false" outlineLevel="0" collapsed="false">
      <c r="A1641" s="9" t="str">
        <f aca="false">Vessels!B19</f>
        <v>Vessel 15</v>
      </c>
      <c r="B1641" s="9" t="s">
        <v>88</v>
      </c>
      <c r="C1641" s="7" t="s">
        <v>105</v>
      </c>
      <c r="D1641" s="9" t="s">
        <v>45</v>
      </c>
      <c r="E1641" s="9" t="s">
        <v>44</v>
      </c>
      <c r="F1641" s="5" t="n">
        <v>12</v>
      </c>
      <c r="G1641" s="10"/>
      <c r="H1641" s="11" t="str">
        <f aca="false">IFERROR(IF($D1641="Manual Review","",IF($G1641="","",IF($D1641="Direct Expiry",$G1641,EDATE($G1641,$F1641)))),"Check Date")</f>
        <v/>
      </c>
      <c r="I1641" s="12" t="str">
        <f aca="true">IF($H1641="","",IF(ISNUMBER($H1641),$H1641-TODAY(),""))</f>
        <v/>
      </c>
      <c r="J1641" s="4" t="str">
        <f aca="true">IF($D1641="Manual Review","Manual Review",IF($G1641="","No Data",IF(NOT(ISNUMBER($H1641)),"N/A",IF($H1641&lt;TODAY(),"Overdue",IF($H1641&lt;=TODAY()+30,"Due within 1 Month",IF($H1641&lt;=TODAY()+60,"Due within 2 Months","OK"))))))</f>
        <v>No Data</v>
      </c>
      <c r="K1641" s="13"/>
    </row>
    <row r="1642" customFormat="false" ht="15" hidden="false" customHeight="false" outlineLevel="0" collapsed="false">
      <c r="A1642" s="9" t="str">
        <f aca="false">Vessels!B19</f>
        <v>Vessel 15</v>
      </c>
      <c r="B1642" s="9" t="s">
        <v>88</v>
      </c>
      <c r="C1642" s="7" t="s">
        <v>106</v>
      </c>
      <c r="D1642" s="9" t="s">
        <v>45</v>
      </c>
      <c r="E1642" s="9" t="s">
        <v>44</v>
      </c>
      <c r="F1642" s="5" t="n">
        <v>12</v>
      </c>
      <c r="G1642" s="10"/>
      <c r="H1642" s="11" t="str">
        <f aca="false">IFERROR(IF($D1642="Manual Review","",IF($G1642="","",IF($D1642="Direct Expiry",$G1642,EDATE($G1642,$F1642)))),"Check Date")</f>
        <v/>
      </c>
      <c r="I1642" s="12" t="str">
        <f aca="true">IF($H1642="","",IF(ISNUMBER($H1642),$H1642-TODAY(),""))</f>
        <v/>
      </c>
      <c r="J1642" s="4" t="str">
        <f aca="true">IF($D1642="Manual Review","Manual Review",IF($G1642="","No Data",IF(NOT(ISNUMBER($H1642)),"N/A",IF($H1642&lt;TODAY(),"Overdue",IF($H1642&lt;=TODAY()+30,"Due within 1 Month",IF($H1642&lt;=TODAY()+60,"Due within 2 Months","OK"))))))</f>
        <v>No Data</v>
      </c>
      <c r="K1642" s="13"/>
    </row>
    <row r="1643" customFormat="false" ht="15" hidden="false" customHeight="false" outlineLevel="0" collapsed="false">
      <c r="A1643" s="9" t="str">
        <f aca="false">Vessels!B19</f>
        <v>Vessel 15</v>
      </c>
      <c r="B1643" s="9" t="s">
        <v>88</v>
      </c>
      <c r="C1643" s="7" t="s">
        <v>107</v>
      </c>
      <c r="D1643" s="9" t="s">
        <v>45</v>
      </c>
      <c r="E1643" s="9" t="s">
        <v>44</v>
      </c>
      <c r="F1643" s="5" t="n">
        <v>12</v>
      </c>
      <c r="G1643" s="10"/>
      <c r="H1643" s="11" t="str">
        <f aca="false">IFERROR(IF($D1643="Manual Review","",IF($G1643="","",IF($D1643="Direct Expiry",$G1643,EDATE($G1643,$F1643)))),"Check Date")</f>
        <v/>
      </c>
      <c r="I1643" s="12" t="str">
        <f aca="true">IF($H1643="","",IF(ISNUMBER($H1643),$H1643-TODAY(),""))</f>
        <v/>
      </c>
      <c r="J1643" s="4" t="str">
        <f aca="true">IF($D1643="Manual Review","Manual Review",IF($G1643="","No Data",IF(NOT(ISNUMBER($H1643)),"N/A",IF($H1643&lt;TODAY(),"Overdue",IF($H1643&lt;=TODAY()+30,"Due within 1 Month",IF($H1643&lt;=TODAY()+60,"Due within 2 Months","OK"))))))</f>
        <v>No Data</v>
      </c>
      <c r="K1643" s="13"/>
    </row>
    <row r="1644" customFormat="false" ht="15" hidden="false" customHeight="false" outlineLevel="0" collapsed="false">
      <c r="A1644" s="9" t="str">
        <f aca="false">Vessels!B19</f>
        <v>Vessel 15</v>
      </c>
      <c r="B1644" s="9" t="s">
        <v>88</v>
      </c>
      <c r="C1644" s="7" t="s">
        <v>108</v>
      </c>
      <c r="D1644" s="9" t="s">
        <v>45</v>
      </c>
      <c r="E1644" s="9" t="s">
        <v>109</v>
      </c>
      <c r="F1644" s="5" t="n">
        <v>12</v>
      </c>
      <c r="G1644" s="10"/>
      <c r="H1644" s="11" t="str">
        <f aca="false">IFERROR(IF($D1644="Manual Review","",IF($G1644="","",IF($D1644="Direct Expiry",$G1644,EDATE($G1644,$F1644)))),"Check Date")</f>
        <v/>
      </c>
      <c r="I1644" s="12" t="str">
        <f aca="true">IF($H1644="","",IF(ISNUMBER($H1644),$H1644-TODAY(),""))</f>
        <v/>
      </c>
      <c r="J1644" s="4" t="str">
        <f aca="true">IF($D1644="Manual Review","Manual Review",IF($G1644="","No Data",IF(NOT(ISNUMBER($H1644)),"N/A",IF($H1644&lt;TODAY(),"Overdue",IF($H1644&lt;=TODAY()+30,"Due within 1 Month",IF($H1644&lt;=TODAY()+60,"Due within 2 Months","OK"))))))</f>
        <v>No Data</v>
      </c>
      <c r="K1644" s="13"/>
    </row>
    <row r="1645" customFormat="false" ht="15" hidden="false" customHeight="false" outlineLevel="0" collapsed="false">
      <c r="A1645" s="9" t="str">
        <f aca="false">Vessels!B19</f>
        <v>Vessel 15</v>
      </c>
      <c r="B1645" s="9" t="s">
        <v>88</v>
      </c>
      <c r="C1645" s="7" t="s">
        <v>108</v>
      </c>
      <c r="D1645" s="9" t="s">
        <v>45</v>
      </c>
      <c r="E1645" s="9" t="s">
        <v>110</v>
      </c>
      <c r="F1645" s="5" t="n">
        <v>60</v>
      </c>
      <c r="G1645" s="10"/>
      <c r="H1645" s="11" t="str">
        <f aca="false">IFERROR(IF($D1645="Manual Review","",IF($G1645="","",IF($D1645="Direct Expiry",$G1645,EDATE($G1645,$F1645)))),"Check Date")</f>
        <v/>
      </c>
      <c r="I1645" s="12" t="str">
        <f aca="true">IF($H1645="","",IF(ISNUMBER($H1645),$H1645-TODAY(),""))</f>
        <v/>
      </c>
      <c r="J1645" s="4" t="str">
        <f aca="true">IF($D1645="Manual Review","Manual Review",IF($G1645="","No Data",IF(NOT(ISNUMBER($H1645)),"N/A",IF($H1645&lt;TODAY(),"Overdue",IF($H1645&lt;=TODAY()+30,"Due within 1 Month",IF($H1645&lt;=TODAY()+60,"Due within 2 Months","OK"))))))</f>
        <v>No Data</v>
      </c>
      <c r="K1645" s="13"/>
    </row>
    <row r="1646" customFormat="false" ht="15" hidden="false" customHeight="false" outlineLevel="0" collapsed="false">
      <c r="A1646" s="9" t="str">
        <f aca="false">Vessels!B19</f>
        <v>Vessel 15</v>
      </c>
      <c r="B1646" s="9" t="s">
        <v>88</v>
      </c>
      <c r="C1646" s="7" t="s">
        <v>111</v>
      </c>
      <c r="D1646" s="9" t="s">
        <v>45</v>
      </c>
      <c r="E1646" s="9" t="s">
        <v>44</v>
      </c>
      <c r="F1646" s="5" t="n">
        <v>12</v>
      </c>
      <c r="G1646" s="10"/>
      <c r="H1646" s="11" t="str">
        <f aca="false">IFERROR(IF($D1646="Manual Review","",IF($G1646="","",IF($D1646="Direct Expiry",$G1646,EDATE($G1646,$F1646)))),"Check Date")</f>
        <v/>
      </c>
      <c r="I1646" s="12" t="str">
        <f aca="true">IF($H1646="","",IF(ISNUMBER($H1646),$H1646-TODAY(),""))</f>
        <v/>
      </c>
      <c r="J1646" s="4" t="str">
        <f aca="true">IF($D1646="Manual Review","Manual Review",IF($G1646="","No Data",IF(NOT(ISNUMBER($H1646)),"N/A",IF($H1646&lt;TODAY(),"Overdue",IF($H1646&lt;=TODAY()+30,"Due within 1 Month",IF($H1646&lt;=TODAY()+60,"Due within 2 Months","OK"))))))</f>
        <v>No Data</v>
      </c>
      <c r="K1646" s="13"/>
    </row>
    <row r="1647" customFormat="false" ht="15" hidden="false" customHeight="false" outlineLevel="0" collapsed="false">
      <c r="A1647" s="9" t="str">
        <f aca="false">Vessels!B19</f>
        <v>Vessel 15</v>
      </c>
      <c r="B1647" s="9" t="s">
        <v>88</v>
      </c>
      <c r="C1647" s="7" t="s">
        <v>112</v>
      </c>
      <c r="D1647" s="9" t="s">
        <v>45</v>
      </c>
      <c r="E1647" s="9" t="s">
        <v>44</v>
      </c>
      <c r="F1647" s="5" t="n">
        <v>12</v>
      </c>
      <c r="G1647" s="10"/>
      <c r="H1647" s="11" t="str">
        <f aca="false">IFERROR(IF($D1647="Manual Review","",IF($G1647="","",IF($D1647="Direct Expiry",$G1647,EDATE($G1647,$F1647)))),"Check Date")</f>
        <v/>
      </c>
      <c r="I1647" s="12" t="str">
        <f aca="true">IF($H1647="","",IF(ISNUMBER($H1647),$H1647-TODAY(),""))</f>
        <v/>
      </c>
      <c r="J1647" s="4" t="str">
        <f aca="true">IF($D1647="Manual Review","Manual Review",IF($G1647="","No Data",IF(NOT(ISNUMBER($H1647)),"N/A",IF($H1647&lt;TODAY(),"Overdue",IF($H1647&lt;=TODAY()+30,"Due within 1 Month",IF($H1647&lt;=TODAY()+60,"Due within 2 Months","OK"))))))</f>
        <v>No Data</v>
      </c>
      <c r="K1647" s="13"/>
    </row>
    <row r="1648" customFormat="false" ht="15" hidden="false" customHeight="false" outlineLevel="0" collapsed="false">
      <c r="A1648" s="9" t="str">
        <f aca="false">Vessels!B19</f>
        <v>Vessel 15</v>
      </c>
      <c r="B1648" s="9" t="s">
        <v>88</v>
      </c>
      <c r="C1648" s="7" t="s">
        <v>113</v>
      </c>
      <c r="D1648" s="9" t="s">
        <v>115</v>
      </c>
      <c r="E1648" s="9" t="s">
        <v>114</v>
      </c>
      <c r="F1648" s="5"/>
      <c r="G1648" s="10"/>
      <c r="H1648" s="11" t="str">
        <f aca="false">IFERROR(IF($D1648="Manual Review","",IF($G1648="","",IF($D1648="Direct Expiry",$G1648,EDATE($G1648,$F1648)))),"Check Date")</f>
        <v/>
      </c>
      <c r="I1648" s="12" t="str">
        <f aca="true">IF($H1648="","",IF(ISNUMBER($H1648),$H1648-TODAY(),""))</f>
        <v/>
      </c>
      <c r="J1648" s="4" t="str">
        <f aca="true">IF($D1648="Manual Review","Manual Review",IF($G1648="","No Data",IF(NOT(ISNUMBER($H1648)),"N/A",IF($H1648&lt;TODAY(),"Overdue",IF($H1648&lt;=TODAY()+30,"Due within 1 Month",IF($H1648&lt;=TODAY()+60,"Due within 2 Months","OK"))))))</f>
        <v>Manual Review</v>
      </c>
      <c r="K1648" s="13"/>
    </row>
    <row r="1649" customFormat="false" ht="15" hidden="false" customHeight="false" outlineLevel="0" collapsed="false">
      <c r="A1649" s="9" t="str">
        <f aca="false">Vessels!B19</f>
        <v>Vessel 15</v>
      </c>
      <c r="B1649" s="9" t="s">
        <v>88</v>
      </c>
      <c r="C1649" s="7" t="s">
        <v>116</v>
      </c>
      <c r="D1649" s="9" t="s">
        <v>115</v>
      </c>
      <c r="E1649" s="9" t="s">
        <v>114</v>
      </c>
      <c r="F1649" s="5"/>
      <c r="G1649" s="10"/>
      <c r="H1649" s="11" t="str">
        <f aca="false">IFERROR(IF($D1649="Manual Review","",IF($G1649="","",IF($D1649="Direct Expiry",$G1649,EDATE($G1649,$F1649)))),"Check Date")</f>
        <v/>
      </c>
      <c r="I1649" s="12" t="str">
        <f aca="true">IF($H1649="","",IF(ISNUMBER($H1649),$H1649-TODAY(),""))</f>
        <v/>
      </c>
      <c r="J1649" s="4" t="str">
        <f aca="true">IF($D1649="Manual Review","Manual Review",IF($G1649="","No Data",IF(NOT(ISNUMBER($H1649)),"N/A",IF($H1649&lt;TODAY(),"Overdue",IF($H1649&lt;=TODAY()+30,"Due within 1 Month",IF($H1649&lt;=TODAY()+60,"Due within 2 Months","OK"))))))</f>
        <v>Manual Review</v>
      </c>
      <c r="K1649" s="13"/>
    </row>
    <row r="1650" customFormat="false" ht="15" hidden="false" customHeight="false" outlineLevel="0" collapsed="false">
      <c r="A1650" s="9" t="str">
        <f aca="false">Vessels!B19</f>
        <v>Vessel 15</v>
      </c>
      <c r="B1650" s="9" t="s">
        <v>117</v>
      </c>
      <c r="C1650" s="7" t="s">
        <v>118</v>
      </c>
      <c r="D1650" s="9" t="s">
        <v>59</v>
      </c>
      <c r="E1650" s="9" t="s">
        <v>119</v>
      </c>
      <c r="F1650" s="5"/>
      <c r="G1650" s="10"/>
      <c r="H1650" s="11" t="str">
        <f aca="false">IFERROR(IF($D1650="Manual Review","",IF($G1650="","",IF($D1650="Direct Expiry",$G1650,EDATE($G1650,$F1650)))),"Check Date")</f>
        <v/>
      </c>
      <c r="I1650" s="12" t="str">
        <f aca="true">IF($H1650="","",IF(ISNUMBER($H1650),$H1650-TODAY(),""))</f>
        <v/>
      </c>
      <c r="J1650" s="4" t="str">
        <f aca="true">IF($D1650="Manual Review","Manual Review",IF($G1650="","No Data",IF(NOT(ISNUMBER($H1650)),"N/A",IF($H1650&lt;TODAY(),"Overdue",IF($H1650&lt;=TODAY()+30,"Due within 1 Month",IF($H1650&lt;=TODAY()+60,"Due within 2 Months","OK"))))))</f>
        <v>No Data</v>
      </c>
      <c r="K1650" s="13"/>
    </row>
    <row r="1651" customFormat="false" ht="15" hidden="false" customHeight="false" outlineLevel="0" collapsed="false">
      <c r="A1651" s="9" t="str">
        <f aca="false">Vessels!B19</f>
        <v>Vessel 15</v>
      </c>
      <c r="B1651" s="9" t="s">
        <v>117</v>
      </c>
      <c r="C1651" s="7" t="s">
        <v>120</v>
      </c>
      <c r="D1651" s="9" t="s">
        <v>45</v>
      </c>
      <c r="E1651" s="9" t="s">
        <v>44</v>
      </c>
      <c r="F1651" s="5" t="n">
        <v>12</v>
      </c>
      <c r="G1651" s="10"/>
      <c r="H1651" s="11" t="str">
        <f aca="false">IFERROR(IF($D1651="Manual Review","",IF($G1651="","",IF($D1651="Direct Expiry",$G1651,EDATE($G1651,$F1651)))),"Check Date")</f>
        <v/>
      </c>
      <c r="I1651" s="12" t="str">
        <f aca="true">IF($H1651="","",IF(ISNUMBER($H1651),$H1651-TODAY(),""))</f>
        <v/>
      </c>
      <c r="J1651" s="4" t="str">
        <f aca="true">IF($D1651="Manual Review","Manual Review",IF($G1651="","No Data",IF(NOT(ISNUMBER($H1651)),"N/A",IF($H1651&lt;TODAY(),"Overdue",IF($H1651&lt;=TODAY()+30,"Due within 1 Month",IF($H1651&lt;=TODAY()+60,"Due within 2 Months","OK"))))))</f>
        <v>No Data</v>
      </c>
      <c r="K1651" s="13"/>
    </row>
    <row r="1652" customFormat="false" ht="15" hidden="false" customHeight="false" outlineLevel="0" collapsed="false">
      <c r="A1652" s="9" t="str">
        <f aca="false">Vessels!B19</f>
        <v>Vessel 15</v>
      </c>
      <c r="B1652" s="9" t="s">
        <v>117</v>
      </c>
      <c r="C1652" s="7" t="s">
        <v>121</v>
      </c>
      <c r="D1652" s="9" t="s">
        <v>45</v>
      </c>
      <c r="E1652" s="9" t="s">
        <v>44</v>
      </c>
      <c r="F1652" s="5" t="n">
        <v>12</v>
      </c>
      <c r="G1652" s="10"/>
      <c r="H1652" s="11" t="str">
        <f aca="false">IFERROR(IF($D1652="Manual Review","",IF($G1652="","",IF($D1652="Direct Expiry",$G1652,EDATE($G1652,$F1652)))),"Check Date")</f>
        <v/>
      </c>
      <c r="I1652" s="12" t="str">
        <f aca="true">IF($H1652="","",IF(ISNUMBER($H1652),$H1652-TODAY(),""))</f>
        <v/>
      </c>
      <c r="J1652" s="4" t="str">
        <f aca="true">IF($D1652="Manual Review","Manual Review",IF($G1652="","No Data",IF(NOT(ISNUMBER($H1652)),"N/A",IF($H1652&lt;TODAY(),"Overdue",IF($H1652&lt;=TODAY()+30,"Due within 1 Month",IF($H1652&lt;=TODAY()+60,"Due within 2 Months","OK"))))))</f>
        <v>No Data</v>
      </c>
      <c r="K1652" s="13"/>
    </row>
    <row r="1653" customFormat="false" ht="15" hidden="false" customHeight="false" outlineLevel="0" collapsed="false">
      <c r="A1653" s="9" t="str">
        <f aca="false">Vessels!B19</f>
        <v>Vessel 15</v>
      </c>
      <c r="B1653" s="9" t="s">
        <v>117</v>
      </c>
      <c r="C1653" s="7" t="s">
        <v>122</v>
      </c>
      <c r="D1653" s="9" t="s">
        <v>45</v>
      </c>
      <c r="E1653" s="9" t="s">
        <v>123</v>
      </c>
      <c r="F1653" s="5" t="n">
        <v>24</v>
      </c>
      <c r="G1653" s="10"/>
      <c r="H1653" s="11" t="str">
        <f aca="false">IFERROR(IF($D1653="Manual Review","",IF($G1653="","",IF($D1653="Direct Expiry",$G1653,EDATE($G1653,$F1653)))),"Check Date")</f>
        <v/>
      </c>
      <c r="I1653" s="12" t="str">
        <f aca="true">IF($H1653="","",IF(ISNUMBER($H1653),$H1653-TODAY(),""))</f>
        <v/>
      </c>
      <c r="J1653" s="4" t="str">
        <f aca="true">IF($D1653="Manual Review","Manual Review",IF($G1653="","No Data",IF(NOT(ISNUMBER($H1653)),"N/A",IF($H1653&lt;TODAY(),"Overdue",IF($H1653&lt;=TODAY()+30,"Due within 1 Month",IF($H1653&lt;=TODAY()+60,"Due within 2 Months","OK"))))))</f>
        <v>No Data</v>
      </c>
      <c r="K1653" s="13"/>
    </row>
    <row r="1654" customFormat="false" ht="15" hidden="false" customHeight="false" outlineLevel="0" collapsed="false">
      <c r="A1654" s="9" t="str">
        <f aca="false">Vessels!B19</f>
        <v>Vessel 15</v>
      </c>
      <c r="B1654" s="9" t="s">
        <v>117</v>
      </c>
      <c r="C1654" s="7" t="s">
        <v>124</v>
      </c>
      <c r="D1654" s="9" t="s">
        <v>59</v>
      </c>
      <c r="E1654" s="9" t="s">
        <v>58</v>
      </c>
      <c r="F1654" s="5"/>
      <c r="G1654" s="10"/>
      <c r="H1654" s="11" t="str">
        <f aca="false">IFERROR(IF($D1654="Manual Review","",IF($G1654="","",IF($D1654="Direct Expiry",$G1654,EDATE($G1654,$F1654)))),"Check Date")</f>
        <v/>
      </c>
      <c r="I1654" s="12" t="str">
        <f aca="true">IF($H1654="","",IF(ISNUMBER($H1654),$H1654-TODAY(),""))</f>
        <v/>
      </c>
      <c r="J1654" s="4" t="str">
        <f aca="true">IF($D1654="Manual Review","Manual Review",IF($G1654="","No Data",IF(NOT(ISNUMBER($H1654)),"N/A",IF($H1654&lt;TODAY(),"Overdue",IF($H1654&lt;=TODAY()+30,"Due within 1 Month",IF($H1654&lt;=TODAY()+60,"Due within 2 Months","OK"))))))</f>
        <v>No Data</v>
      </c>
      <c r="K1654" s="13"/>
    </row>
    <row r="1655" customFormat="false" ht="15" hidden="false" customHeight="false" outlineLevel="0" collapsed="false">
      <c r="A1655" s="9" t="str">
        <f aca="false">Vessels!B19</f>
        <v>Vessel 15</v>
      </c>
      <c r="B1655" s="9" t="s">
        <v>117</v>
      </c>
      <c r="C1655" s="7" t="s">
        <v>125</v>
      </c>
      <c r="D1655" s="9" t="s">
        <v>59</v>
      </c>
      <c r="E1655" s="9" t="s">
        <v>58</v>
      </c>
      <c r="F1655" s="5"/>
      <c r="G1655" s="10"/>
      <c r="H1655" s="11" t="str">
        <f aca="false">IFERROR(IF($D1655="Manual Review","",IF($G1655="","",IF($D1655="Direct Expiry",$G1655,EDATE($G1655,$F1655)))),"Check Date")</f>
        <v/>
      </c>
      <c r="I1655" s="12" t="str">
        <f aca="true">IF($H1655="","",IF(ISNUMBER($H1655),$H1655-TODAY(),""))</f>
        <v/>
      </c>
      <c r="J1655" s="4" t="str">
        <f aca="true">IF($D1655="Manual Review","Manual Review",IF($G1655="","No Data",IF(NOT(ISNUMBER($H1655)),"N/A",IF($H1655&lt;TODAY(),"Overdue",IF($H1655&lt;=TODAY()+30,"Due within 1 Month",IF($H1655&lt;=TODAY()+60,"Due within 2 Months","OK"))))))</f>
        <v>No Data</v>
      </c>
      <c r="K1655" s="13"/>
    </row>
    <row r="1656" customFormat="false" ht="15" hidden="false" customHeight="false" outlineLevel="0" collapsed="false">
      <c r="A1656" s="9" t="str">
        <f aca="false">Vessels!B19</f>
        <v>Vessel 15</v>
      </c>
      <c r="B1656" s="9" t="s">
        <v>117</v>
      </c>
      <c r="C1656" s="7" t="s">
        <v>126</v>
      </c>
      <c r="D1656" s="9" t="s">
        <v>45</v>
      </c>
      <c r="E1656" s="9" t="s">
        <v>44</v>
      </c>
      <c r="F1656" s="5" t="n">
        <v>12</v>
      </c>
      <c r="G1656" s="10"/>
      <c r="H1656" s="11" t="str">
        <f aca="false">IFERROR(IF($D1656="Manual Review","",IF($G1656="","",IF($D1656="Direct Expiry",$G1656,EDATE($G1656,$F1656)))),"Check Date")</f>
        <v/>
      </c>
      <c r="I1656" s="12" t="str">
        <f aca="true">IF($H1656="","",IF(ISNUMBER($H1656),$H1656-TODAY(),""))</f>
        <v/>
      </c>
      <c r="J1656" s="4" t="str">
        <f aca="true">IF($D1656="Manual Review","Manual Review",IF($G1656="","No Data",IF(NOT(ISNUMBER($H1656)),"N/A",IF($H1656&lt;TODAY(),"Overdue",IF($H1656&lt;=TODAY()+30,"Due within 1 Month",IF($H1656&lt;=TODAY()+60,"Due within 2 Months","OK"))))))</f>
        <v>No Data</v>
      </c>
      <c r="K1656" s="13"/>
    </row>
    <row r="1657" customFormat="false" ht="15" hidden="false" customHeight="false" outlineLevel="0" collapsed="false">
      <c r="A1657" s="9" t="str">
        <f aca="false">Vessels!B19</f>
        <v>Vessel 15</v>
      </c>
      <c r="B1657" s="9" t="s">
        <v>117</v>
      </c>
      <c r="C1657" s="7" t="s">
        <v>127</v>
      </c>
      <c r="D1657" s="9" t="s">
        <v>59</v>
      </c>
      <c r="E1657" s="9" t="s">
        <v>58</v>
      </c>
      <c r="F1657" s="5"/>
      <c r="G1657" s="10"/>
      <c r="H1657" s="11" t="str">
        <f aca="false">IFERROR(IF($D1657="Manual Review","",IF($G1657="","",IF($D1657="Direct Expiry",$G1657,EDATE($G1657,$F1657)))),"Check Date")</f>
        <v/>
      </c>
      <c r="I1657" s="12" t="str">
        <f aca="true">IF($H1657="","",IF(ISNUMBER($H1657),$H1657-TODAY(),""))</f>
        <v/>
      </c>
      <c r="J1657" s="4" t="str">
        <f aca="true">IF($D1657="Manual Review","Manual Review",IF($G1657="","No Data",IF(NOT(ISNUMBER($H1657)),"N/A",IF($H1657&lt;TODAY(),"Overdue",IF($H1657&lt;=TODAY()+30,"Due within 1 Month",IF($H1657&lt;=TODAY()+60,"Due within 2 Months","OK"))))))</f>
        <v>No Data</v>
      </c>
      <c r="K1657" s="13"/>
    </row>
    <row r="1658" customFormat="false" ht="15" hidden="false" customHeight="false" outlineLevel="0" collapsed="false">
      <c r="A1658" s="9" t="str">
        <f aca="false">Vessels!B19</f>
        <v>Vessel 15</v>
      </c>
      <c r="B1658" s="9" t="s">
        <v>117</v>
      </c>
      <c r="C1658" s="7" t="s">
        <v>128</v>
      </c>
      <c r="D1658" s="9" t="s">
        <v>59</v>
      </c>
      <c r="E1658" s="9" t="s">
        <v>58</v>
      </c>
      <c r="F1658" s="5"/>
      <c r="G1658" s="10"/>
      <c r="H1658" s="11" t="str">
        <f aca="false">IFERROR(IF($D1658="Manual Review","",IF($G1658="","",IF($D1658="Direct Expiry",$G1658,EDATE($G1658,$F1658)))),"Check Date")</f>
        <v/>
      </c>
      <c r="I1658" s="12" t="str">
        <f aca="true">IF($H1658="","",IF(ISNUMBER($H1658),$H1658-TODAY(),""))</f>
        <v/>
      </c>
      <c r="J1658" s="4" t="str">
        <f aca="true">IF($D1658="Manual Review","Manual Review",IF($G1658="","No Data",IF(NOT(ISNUMBER($H1658)),"N/A",IF($H1658&lt;TODAY(),"Overdue",IF($H1658&lt;=TODAY()+30,"Due within 1 Month",IF($H1658&lt;=TODAY()+60,"Due within 2 Months","OK"))))))</f>
        <v>No Data</v>
      </c>
      <c r="K1658" s="13"/>
    </row>
    <row r="1659" customFormat="false" ht="15" hidden="false" customHeight="false" outlineLevel="0" collapsed="false">
      <c r="A1659" s="9" t="str">
        <f aca="false">Vessels!B19</f>
        <v>Vessel 15</v>
      </c>
      <c r="B1659" s="9" t="s">
        <v>117</v>
      </c>
      <c r="C1659" s="7" t="s">
        <v>129</v>
      </c>
      <c r="D1659" s="9" t="s">
        <v>59</v>
      </c>
      <c r="E1659" s="9" t="s">
        <v>58</v>
      </c>
      <c r="F1659" s="5"/>
      <c r="G1659" s="10"/>
      <c r="H1659" s="11" t="str">
        <f aca="false">IFERROR(IF($D1659="Manual Review","",IF($G1659="","",IF($D1659="Direct Expiry",$G1659,EDATE($G1659,$F1659)))),"Check Date")</f>
        <v/>
      </c>
      <c r="I1659" s="12" t="str">
        <f aca="true">IF($H1659="","",IF(ISNUMBER($H1659),$H1659-TODAY(),""))</f>
        <v/>
      </c>
      <c r="J1659" s="4" t="str">
        <f aca="true">IF($D1659="Manual Review","Manual Review",IF($G1659="","No Data",IF(NOT(ISNUMBER($H1659)),"N/A",IF($H1659&lt;TODAY(),"Overdue",IF($H1659&lt;=TODAY()+30,"Due within 1 Month",IF($H1659&lt;=TODAY()+60,"Due within 2 Months","OK"))))))</f>
        <v>No Data</v>
      </c>
      <c r="K1659" s="13"/>
    </row>
    <row r="1660" customFormat="false" ht="15" hidden="false" customHeight="false" outlineLevel="0" collapsed="false">
      <c r="A1660" s="9" t="str">
        <f aca="false">Vessels!B19</f>
        <v>Vessel 15</v>
      </c>
      <c r="B1660" s="9" t="s">
        <v>117</v>
      </c>
      <c r="C1660" s="7" t="s">
        <v>130</v>
      </c>
      <c r="D1660" s="9" t="s">
        <v>45</v>
      </c>
      <c r="E1660" s="9" t="s">
        <v>44</v>
      </c>
      <c r="F1660" s="5" t="n">
        <v>12</v>
      </c>
      <c r="G1660" s="10"/>
      <c r="H1660" s="11" t="str">
        <f aca="false">IFERROR(IF($D1660="Manual Review","",IF($G1660="","",IF($D1660="Direct Expiry",$G1660,EDATE($G1660,$F1660)))),"Check Date")</f>
        <v/>
      </c>
      <c r="I1660" s="12" t="str">
        <f aca="true">IF($H1660="","",IF(ISNUMBER($H1660),$H1660-TODAY(),""))</f>
        <v/>
      </c>
      <c r="J1660" s="4" t="str">
        <f aca="true">IF($D1660="Manual Review","Manual Review",IF($G1660="","No Data",IF(NOT(ISNUMBER($H1660)),"N/A",IF($H1660&lt;TODAY(),"Overdue",IF($H1660&lt;=TODAY()+30,"Due within 1 Month",IF($H1660&lt;=TODAY()+60,"Due within 2 Months","OK"))))))</f>
        <v>No Data</v>
      </c>
      <c r="K1660" s="13"/>
    </row>
    <row r="1661" customFormat="false" ht="15" hidden="false" customHeight="false" outlineLevel="0" collapsed="false">
      <c r="A1661" s="9" t="str">
        <f aca="false">Vessels!B19</f>
        <v>Vessel 15</v>
      </c>
      <c r="B1661" s="9" t="s">
        <v>117</v>
      </c>
      <c r="C1661" s="7" t="s">
        <v>131</v>
      </c>
      <c r="D1661" s="9" t="s">
        <v>45</v>
      </c>
      <c r="E1661" s="9" t="s">
        <v>44</v>
      </c>
      <c r="F1661" s="5" t="n">
        <v>12</v>
      </c>
      <c r="G1661" s="10"/>
      <c r="H1661" s="11" t="str">
        <f aca="false">IFERROR(IF($D1661="Manual Review","",IF($G1661="","",IF($D1661="Direct Expiry",$G1661,EDATE($G1661,$F1661)))),"Check Date")</f>
        <v/>
      </c>
      <c r="I1661" s="12" t="str">
        <f aca="true">IF($H1661="","",IF(ISNUMBER($H1661),$H1661-TODAY(),""))</f>
        <v/>
      </c>
      <c r="J1661" s="4" t="str">
        <f aca="true">IF($D1661="Manual Review","Manual Review",IF($G1661="","No Data",IF(NOT(ISNUMBER($H1661)),"N/A",IF($H1661&lt;TODAY(),"Overdue",IF($H1661&lt;=TODAY()+30,"Due within 1 Month",IF($H1661&lt;=TODAY()+60,"Due within 2 Months","OK"))))))</f>
        <v>No Data</v>
      </c>
      <c r="K1661" s="13"/>
    </row>
    <row r="1662" customFormat="false" ht="15" hidden="false" customHeight="false" outlineLevel="0" collapsed="false">
      <c r="A1662" s="9" t="str">
        <f aca="false">Vessels!B19</f>
        <v>Vessel 15</v>
      </c>
      <c r="B1662" s="9" t="s">
        <v>117</v>
      </c>
      <c r="C1662" s="7" t="s">
        <v>132</v>
      </c>
      <c r="D1662" s="9" t="s">
        <v>45</v>
      </c>
      <c r="E1662" s="9" t="s">
        <v>44</v>
      </c>
      <c r="F1662" s="5" t="n">
        <v>12</v>
      </c>
      <c r="G1662" s="10"/>
      <c r="H1662" s="11" t="str">
        <f aca="false">IFERROR(IF($D1662="Manual Review","",IF($G1662="","",IF($D1662="Direct Expiry",$G1662,EDATE($G1662,$F1662)))),"Check Date")</f>
        <v/>
      </c>
      <c r="I1662" s="12" t="str">
        <f aca="true">IF($H1662="","",IF(ISNUMBER($H1662),$H1662-TODAY(),""))</f>
        <v/>
      </c>
      <c r="J1662" s="4" t="str">
        <f aca="true">IF($D1662="Manual Review","Manual Review",IF($G1662="","No Data",IF(NOT(ISNUMBER($H1662)),"N/A",IF($H1662&lt;TODAY(),"Overdue",IF($H1662&lt;=TODAY()+30,"Due within 1 Month",IF($H1662&lt;=TODAY()+60,"Due within 2 Months","OK"))))))</f>
        <v>No Data</v>
      </c>
      <c r="K1662" s="13"/>
    </row>
    <row r="1663" customFormat="false" ht="15" hidden="false" customHeight="false" outlineLevel="0" collapsed="false">
      <c r="A1663" s="9" t="str">
        <f aca="false">Vessels!B19</f>
        <v>Vessel 15</v>
      </c>
      <c r="B1663" s="9" t="s">
        <v>117</v>
      </c>
      <c r="C1663" s="7" t="s">
        <v>133</v>
      </c>
      <c r="D1663" s="9" t="s">
        <v>45</v>
      </c>
      <c r="E1663" s="9" t="s">
        <v>44</v>
      </c>
      <c r="F1663" s="5" t="n">
        <v>12</v>
      </c>
      <c r="G1663" s="10"/>
      <c r="H1663" s="11" t="str">
        <f aca="false">IFERROR(IF($D1663="Manual Review","",IF($G1663="","",IF($D1663="Direct Expiry",$G1663,EDATE($G1663,$F1663)))),"Check Date")</f>
        <v/>
      </c>
      <c r="I1663" s="12" t="str">
        <f aca="true">IF($H1663="","",IF(ISNUMBER($H1663),$H1663-TODAY(),""))</f>
        <v/>
      </c>
      <c r="J1663" s="4" t="str">
        <f aca="true">IF($D1663="Manual Review","Manual Review",IF($G1663="","No Data",IF(NOT(ISNUMBER($H1663)),"N/A",IF($H1663&lt;TODAY(),"Overdue",IF($H1663&lt;=TODAY()+30,"Due within 1 Month",IF($H1663&lt;=TODAY()+60,"Due within 2 Months","OK"))))))</f>
        <v>No Data</v>
      </c>
      <c r="K1663" s="13"/>
    </row>
    <row r="1664" customFormat="false" ht="15" hidden="false" customHeight="false" outlineLevel="0" collapsed="false">
      <c r="A1664" s="9" t="str">
        <f aca="false">Vessels!B19</f>
        <v>Vessel 15</v>
      </c>
      <c r="B1664" s="9" t="s">
        <v>117</v>
      </c>
      <c r="C1664" s="7" t="s">
        <v>134</v>
      </c>
      <c r="D1664" s="9" t="s">
        <v>45</v>
      </c>
      <c r="E1664" s="9" t="s">
        <v>44</v>
      </c>
      <c r="F1664" s="5" t="n">
        <v>12</v>
      </c>
      <c r="G1664" s="10"/>
      <c r="H1664" s="11" t="str">
        <f aca="false">IFERROR(IF($D1664="Manual Review","",IF($G1664="","",IF($D1664="Direct Expiry",$G1664,EDATE($G1664,$F1664)))),"Check Date")</f>
        <v/>
      </c>
      <c r="I1664" s="12" t="str">
        <f aca="true">IF($H1664="","",IF(ISNUMBER($H1664),$H1664-TODAY(),""))</f>
        <v/>
      </c>
      <c r="J1664" s="4" t="str">
        <f aca="true">IF($D1664="Manual Review","Manual Review",IF($G1664="","No Data",IF(NOT(ISNUMBER($H1664)),"N/A",IF($H1664&lt;TODAY(),"Overdue",IF($H1664&lt;=TODAY()+30,"Due within 1 Month",IF($H1664&lt;=TODAY()+60,"Due within 2 Months","OK"))))))</f>
        <v>No Data</v>
      </c>
      <c r="K1664" s="13"/>
    </row>
    <row r="1665" customFormat="false" ht="15" hidden="false" customHeight="false" outlineLevel="0" collapsed="false">
      <c r="A1665" s="9" t="str">
        <f aca="false">Vessels!B19</f>
        <v>Vessel 15</v>
      </c>
      <c r="B1665" s="9" t="s">
        <v>117</v>
      </c>
      <c r="C1665" s="7" t="s">
        <v>135</v>
      </c>
      <c r="D1665" s="9" t="s">
        <v>45</v>
      </c>
      <c r="E1665" s="9" t="s">
        <v>44</v>
      </c>
      <c r="F1665" s="5" t="n">
        <v>12</v>
      </c>
      <c r="G1665" s="10"/>
      <c r="H1665" s="11" t="str">
        <f aca="false">IFERROR(IF($D1665="Manual Review","",IF($G1665="","",IF($D1665="Direct Expiry",$G1665,EDATE($G1665,$F1665)))),"Check Date")</f>
        <v/>
      </c>
      <c r="I1665" s="12" t="str">
        <f aca="true">IF($H1665="","",IF(ISNUMBER($H1665),$H1665-TODAY(),""))</f>
        <v/>
      </c>
      <c r="J1665" s="4" t="str">
        <f aca="true">IF($D1665="Manual Review","Manual Review",IF($G1665="","No Data",IF(NOT(ISNUMBER($H1665)),"N/A",IF($H1665&lt;TODAY(),"Overdue",IF($H1665&lt;=TODAY()+30,"Due within 1 Month",IF($H1665&lt;=TODAY()+60,"Due within 2 Months","OK"))))))</f>
        <v>No Data</v>
      </c>
      <c r="K1665" s="13"/>
    </row>
    <row r="1666" customFormat="false" ht="15" hidden="false" customHeight="false" outlineLevel="0" collapsed="false">
      <c r="A1666" s="9" t="str">
        <f aca="false">Vessels!B19</f>
        <v>Vessel 15</v>
      </c>
      <c r="B1666" s="9" t="s">
        <v>136</v>
      </c>
      <c r="C1666" s="7" t="s">
        <v>137</v>
      </c>
      <c r="D1666" s="9" t="s">
        <v>45</v>
      </c>
      <c r="E1666" s="9" t="s">
        <v>44</v>
      </c>
      <c r="F1666" s="5" t="n">
        <v>12</v>
      </c>
      <c r="G1666" s="10"/>
      <c r="H1666" s="11" t="str">
        <f aca="false">IFERROR(IF($D1666="Manual Review","",IF($G1666="","",IF($D1666="Direct Expiry",$G1666,EDATE($G1666,$F1666)))),"Check Date")</f>
        <v/>
      </c>
      <c r="I1666" s="12" t="str">
        <f aca="true">IF($H1666="","",IF(ISNUMBER($H1666),$H1666-TODAY(),""))</f>
        <v/>
      </c>
      <c r="J1666" s="4" t="str">
        <f aca="true">IF($D1666="Manual Review","Manual Review",IF($G1666="","No Data",IF(NOT(ISNUMBER($H1666)),"N/A",IF($H1666&lt;TODAY(),"Overdue",IF($H1666&lt;=TODAY()+30,"Due within 1 Month",IF($H1666&lt;=TODAY()+60,"Due within 2 Months","OK"))))))</f>
        <v>No Data</v>
      </c>
      <c r="K1666" s="13"/>
    </row>
    <row r="1667" customFormat="false" ht="15" hidden="false" customHeight="false" outlineLevel="0" collapsed="false">
      <c r="A1667" s="9" t="str">
        <f aca="false">Vessels!B19</f>
        <v>Vessel 15</v>
      </c>
      <c r="B1667" s="9" t="s">
        <v>136</v>
      </c>
      <c r="C1667" s="7" t="s">
        <v>138</v>
      </c>
      <c r="D1667" s="9" t="s">
        <v>45</v>
      </c>
      <c r="E1667" s="9" t="s">
        <v>44</v>
      </c>
      <c r="F1667" s="5" t="n">
        <v>12</v>
      </c>
      <c r="G1667" s="10"/>
      <c r="H1667" s="11" t="str">
        <f aca="false">IFERROR(IF($D1667="Manual Review","",IF($G1667="","",IF($D1667="Direct Expiry",$G1667,EDATE($G1667,$F1667)))),"Check Date")</f>
        <v/>
      </c>
      <c r="I1667" s="12" t="str">
        <f aca="true">IF($H1667="","",IF(ISNUMBER($H1667),$H1667-TODAY(),""))</f>
        <v/>
      </c>
      <c r="J1667" s="4" t="str">
        <f aca="true">IF($D1667="Manual Review","Manual Review",IF($G1667="","No Data",IF(NOT(ISNUMBER($H1667)),"N/A",IF($H1667&lt;TODAY(),"Overdue",IF($H1667&lt;=TODAY()+30,"Due within 1 Month",IF($H1667&lt;=TODAY()+60,"Due within 2 Months","OK"))))))</f>
        <v>No Data</v>
      </c>
      <c r="K1667" s="13"/>
    </row>
    <row r="1668" customFormat="false" ht="15" hidden="false" customHeight="false" outlineLevel="0" collapsed="false">
      <c r="A1668" s="9" t="str">
        <f aca="false">Vessels!B19</f>
        <v>Vessel 15</v>
      </c>
      <c r="B1668" s="9" t="s">
        <v>136</v>
      </c>
      <c r="C1668" s="7" t="s">
        <v>139</v>
      </c>
      <c r="D1668" s="9" t="s">
        <v>45</v>
      </c>
      <c r="E1668" s="9" t="s">
        <v>140</v>
      </c>
      <c r="F1668" s="5" t="n">
        <v>12</v>
      </c>
      <c r="G1668" s="10"/>
      <c r="H1668" s="11" t="str">
        <f aca="false">IFERROR(IF($D1668="Manual Review","",IF($G1668="","",IF($D1668="Direct Expiry",$G1668,EDATE($G1668,$F1668)))),"Check Date")</f>
        <v/>
      </c>
      <c r="I1668" s="12" t="str">
        <f aca="true">IF($H1668="","",IF(ISNUMBER($H1668),$H1668-TODAY(),""))</f>
        <v/>
      </c>
      <c r="J1668" s="4" t="str">
        <f aca="true">IF($D1668="Manual Review","Manual Review",IF($G1668="","No Data",IF(NOT(ISNUMBER($H1668)),"N/A",IF($H1668&lt;TODAY(),"Overdue",IF($H1668&lt;=TODAY()+30,"Due within 1 Month",IF($H1668&lt;=TODAY()+60,"Due within 2 Months","OK"))))))</f>
        <v>No Data</v>
      </c>
      <c r="K1668" s="13"/>
    </row>
    <row r="1669" customFormat="false" ht="15" hidden="false" customHeight="false" outlineLevel="0" collapsed="false">
      <c r="A1669" s="9" t="str">
        <f aca="false">Vessels!B19</f>
        <v>Vessel 15</v>
      </c>
      <c r="B1669" s="9" t="s">
        <v>136</v>
      </c>
      <c r="C1669" s="7" t="s">
        <v>141</v>
      </c>
      <c r="D1669" s="9" t="s">
        <v>45</v>
      </c>
      <c r="E1669" s="9" t="s">
        <v>44</v>
      </c>
      <c r="F1669" s="5" t="n">
        <v>12</v>
      </c>
      <c r="G1669" s="10"/>
      <c r="H1669" s="11" t="str">
        <f aca="false">IFERROR(IF($D1669="Manual Review","",IF($G1669="","",IF($D1669="Direct Expiry",$G1669,EDATE($G1669,$F1669)))),"Check Date")</f>
        <v/>
      </c>
      <c r="I1669" s="12" t="str">
        <f aca="true">IF($H1669="","",IF(ISNUMBER($H1669),$H1669-TODAY(),""))</f>
        <v/>
      </c>
      <c r="J1669" s="4" t="str">
        <f aca="true">IF($D1669="Manual Review","Manual Review",IF($G1669="","No Data",IF(NOT(ISNUMBER($H1669)),"N/A",IF($H1669&lt;TODAY(),"Overdue",IF($H1669&lt;=TODAY()+30,"Due within 1 Month",IF($H1669&lt;=TODAY()+60,"Due within 2 Months","OK"))))))</f>
        <v>No Data</v>
      </c>
      <c r="K1669" s="13"/>
    </row>
    <row r="1670" customFormat="false" ht="15" hidden="false" customHeight="false" outlineLevel="0" collapsed="false">
      <c r="A1670" s="9" t="str">
        <f aca="false">Vessels!B19</f>
        <v>Vessel 15</v>
      </c>
      <c r="B1670" s="9" t="s">
        <v>136</v>
      </c>
      <c r="C1670" s="7" t="s">
        <v>142</v>
      </c>
      <c r="D1670" s="9" t="s">
        <v>115</v>
      </c>
      <c r="E1670" s="9" t="s">
        <v>143</v>
      </c>
      <c r="F1670" s="5"/>
      <c r="G1670" s="10"/>
      <c r="H1670" s="11" t="str">
        <f aca="false">IFERROR(IF($D1670="Manual Review","",IF($G1670="","",IF($D1670="Direct Expiry",$G1670,EDATE($G1670,$F1670)))),"Check Date")</f>
        <v/>
      </c>
      <c r="I1670" s="12" t="str">
        <f aca="true">IF($H1670="","",IF(ISNUMBER($H1670),$H1670-TODAY(),""))</f>
        <v/>
      </c>
      <c r="J1670" s="4" t="str">
        <f aca="true">IF($D1670="Manual Review","Manual Review",IF($G1670="","No Data",IF(NOT(ISNUMBER($H1670)),"N/A",IF($H1670&lt;TODAY(),"Overdue",IF($H1670&lt;=TODAY()+30,"Due within 1 Month",IF($H1670&lt;=TODAY()+60,"Due within 2 Months","OK"))))))</f>
        <v>Manual Review</v>
      </c>
      <c r="K1670" s="13"/>
    </row>
    <row r="1671" customFormat="false" ht="15" hidden="false" customHeight="false" outlineLevel="0" collapsed="false">
      <c r="A1671" s="9" t="str">
        <f aca="false">Vessels!B19</f>
        <v>Vessel 15</v>
      </c>
      <c r="B1671" s="9" t="s">
        <v>136</v>
      </c>
      <c r="C1671" s="7" t="s">
        <v>144</v>
      </c>
      <c r="D1671" s="9" t="s">
        <v>45</v>
      </c>
      <c r="E1671" s="9" t="s">
        <v>44</v>
      </c>
      <c r="F1671" s="5" t="n">
        <v>12</v>
      </c>
      <c r="G1671" s="10"/>
      <c r="H1671" s="11" t="str">
        <f aca="false">IFERROR(IF($D1671="Manual Review","",IF($G1671="","",IF($D1671="Direct Expiry",$G1671,EDATE($G1671,$F1671)))),"Check Date")</f>
        <v/>
      </c>
      <c r="I1671" s="12" t="str">
        <f aca="true">IF($H1671="","",IF(ISNUMBER($H1671),$H1671-TODAY(),""))</f>
        <v/>
      </c>
      <c r="J1671" s="4" t="str">
        <f aca="true">IF($D1671="Manual Review","Manual Review",IF($G1671="","No Data",IF(NOT(ISNUMBER($H1671)),"N/A",IF($H1671&lt;TODAY(),"Overdue",IF($H1671&lt;=TODAY()+30,"Due within 1 Month",IF($H1671&lt;=TODAY()+60,"Due within 2 Months","OK"))))))</f>
        <v>No Data</v>
      </c>
      <c r="K1671" s="13"/>
    </row>
    <row r="1672" customFormat="false" ht="15" hidden="false" customHeight="false" outlineLevel="0" collapsed="false">
      <c r="A1672" s="9" t="str">
        <f aca="false">Vessels!B19</f>
        <v>Vessel 15</v>
      </c>
      <c r="B1672" s="9" t="s">
        <v>136</v>
      </c>
      <c r="C1672" s="7" t="s">
        <v>145</v>
      </c>
      <c r="D1672" s="9" t="s">
        <v>45</v>
      </c>
      <c r="E1672" s="9" t="s">
        <v>44</v>
      </c>
      <c r="F1672" s="5" t="n">
        <v>12</v>
      </c>
      <c r="G1672" s="10"/>
      <c r="H1672" s="11" t="str">
        <f aca="false">IFERROR(IF($D1672="Manual Review","",IF($G1672="","",IF($D1672="Direct Expiry",$G1672,EDATE($G1672,$F1672)))),"Check Date")</f>
        <v/>
      </c>
      <c r="I1672" s="12" t="str">
        <f aca="true">IF($H1672="","",IF(ISNUMBER($H1672),$H1672-TODAY(),""))</f>
        <v/>
      </c>
      <c r="J1672" s="4" t="str">
        <f aca="true">IF($D1672="Manual Review","Manual Review",IF($G1672="","No Data",IF(NOT(ISNUMBER($H1672)),"N/A",IF($H1672&lt;TODAY(),"Overdue",IF($H1672&lt;=TODAY()+30,"Due within 1 Month",IF($H1672&lt;=TODAY()+60,"Due within 2 Months","OK"))))))</f>
        <v>No Data</v>
      </c>
      <c r="K1672" s="13"/>
    </row>
    <row r="1673" customFormat="false" ht="15" hidden="false" customHeight="false" outlineLevel="0" collapsed="false">
      <c r="A1673" s="9" t="str">
        <f aca="false">Vessels!B19</f>
        <v>Vessel 15</v>
      </c>
      <c r="B1673" s="9" t="s">
        <v>136</v>
      </c>
      <c r="C1673" s="7" t="s">
        <v>146</v>
      </c>
      <c r="D1673" s="9" t="s">
        <v>45</v>
      </c>
      <c r="E1673" s="9" t="s">
        <v>44</v>
      </c>
      <c r="F1673" s="5" t="n">
        <v>12</v>
      </c>
      <c r="G1673" s="10"/>
      <c r="H1673" s="11" t="str">
        <f aca="false">IFERROR(IF($D1673="Manual Review","",IF($G1673="","",IF($D1673="Direct Expiry",$G1673,EDATE($G1673,$F1673)))),"Check Date")</f>
        <v/>
      </c>
      <c r="I1673" s="12" t="str">
        <f aca="true">IF($H1673="","",IF(ISNUMBER($H1673),$H1673-TODAY(),""))</f>
        <v/>
      </c>
      <c r="J1673" s="4" t="str">
        <f aca="true">IF($D1673="Manual Review","Manual Review",IF($G1673="","No Data",IF(NOT(ISNUMBER($H1673)),"N/A",IF($H1673&lt;TODAY(),"Overdue",IF($H1673&lt;=TODAY()+30,"Due within 1 Month",IF($H1673&lt;=TODAY()+60,"Due within 2 Months","OK"))))))</f>
        <v>No Data</v>
      </c>
      <c r="K1673" s="13"/>
    </row>
    <row r="1674" customFormat="false" ht="15" hidden="false" customHeight="false" outlineLevel="0" collapsed="false">
      <c r="A1674" s="9" t="str">
        <f aca="false">Vessels!B19</f>
        <v>Vessel 15</v>
      </c>
      <c r="B1674" s="9" t="s">
        <v>136</v>
      </c>
      <c r="C1674" s="7" t="s">
        <v>147</v>
      </c>
      <c r="D1674" s="9" t="s">
        <v>45</v>
      </c>
      <c r="E1674" s="9" t="s">
        <v>44</v>
      </c>
      <c r="F1674" s="5" t="n">
        <v>12</v>
      </c>
      <c r="G1674" s="10"/>
      <c r="H1674" s="11" t="str">
        <f aca="false">IFERROR(IF($D1674="Manual Review","",IF($G1674="","",IF($D1674="Direct Expiry",$G1674,EDATE($G1674,$F1674)))),"Check Date")</f>
        <v/>
      </c>
      <c r="I1674" s="12" t="str">
        <f aca="true">IF($H1674="","",IF(ISNUMBER($H1674),$H1674-TODAY(),""))</f>
        <v/>
      </c>
      <c r="J1674" s="4" t="str">
        <f aca="true">IF($D1674="Manual Review","Manual Review",IF($G1674="","No Data",IF(NOT(ISNUMBER($H1674)),"N/A",IF($H1674&lt;TODAY(),"Overdue",IF($H1674&lt;=TODAY()+30,"Due within 1 Month",IF($H1674&lt;=TODAY()+60,"Due within 2 Months","OK"))))))</f>
        <v>No Data</v>
      </c>
      <c r="K1674" s="13"/>
    </row>
    <row r="1675" customFormat="false" ht="15" hidden="false" customHeight="false" outlineLevel="0" collapsed="false">
      <c r="A1675" s="9" t="str">
        <f aca="false">Vessels!B19</f>
        <v>Vessel 15</v>
      </c>
      <c r="B1675" s="9" t="s">
        <v>136</v>
      </c>
      <c r="C1675" s="7" t="s">
        <v>148</v>
      </c>
      <c r="D1675" s="9" t="s">
        <v>45</v>
      </c>
      <c r="E1675" s="9" t="s">
        <v>44</v>
      </c>
      <c r="F1675" s="5" t="n">
        <v>12</v>
      </c>
      <c r="G1675" s="10"/>
      <c r="H1675" s="11" t="str">
        <f aca="false">IFERROR(IF($D1675="Manual Review","",IF($G1675="","",IF($D1675="Direct Expiry",$G1675,EDATE($G1675,$F1675)))),"Check Date")</f>
        <v/>
      </c>
      <c r="I1675" s="12" t="str">
        <f aca="true">IF($H1675="","",IF(ISNUMBER($H1675),$H1675-TODAY(),""))</f>
        <v/>
      </c>
      <c r="J1675" s="4" t="str">
        <f aca="true">IF($D1675="Manual Review","Manual Review",IF($G1675="","No Data",IF(NOT(ISNUMBER($H1675)),"N/A",IF($H1675&lt;TODAY(),"Overdue",IF($H1675&lt;=TODAY()+30,"Due within 1 Month",IF($H1675&lt;=TODAY()+60,"Due within 2 Months","OK"))))))</f>
        <v>No Data</v>
      </c>
      <c r="K1675" s="13"/>
    </row>
    <row r="1676" customFormat="false" ht="15" hidden="false" customHeight="false" outlineLevel="0" collapsed="false">
      <c r="A1676" s="9" t="str">
        <f aca="false">Vessels!B19</f>
        <v>Vessel 15</v>
      </c>
      <c r="B1676" s="9" t="s">
        <v>136</v>
      </c>
      <c r="C1676" s="7" t="s">
        <v>149</v>
      </c>
      <c r="D1676" s="9" t="s">
        <v>45</v>
      </c>
      <c r="E1676" s="9" t="s">
        <v>44</v>
      </c>
      <c r="F1676" s="5" t="n">
        <v>12</v>
      </c>
      <c r="G1676" s="10"/>
      <c r="H1676" s="11" t="str">
        <f aca="false">IFERROR(IF($D1676="Manual Review","",IF($G1676="","",IF($D1676="Direct Expiry",$G1676,EDATE($G1676,$F1676)))),"Check Date")</f>
        <v/>
      </c>
      <c r="I1676" s="12" t="str">
        <f aca="true">IF($H1676="","",IF(ISNUMBER($H1676),$H1676-TODAY(),""))</f>
        <v/>
      </c>
      <c r="J1676" s="4" t="str">
        <f aca="true">IF($D1676="Manual Review","Manual Review",IF($G1676="","No Data",IF(NOT(ISNUMBER($H1676)),"N/A",IF($H1676&lt;TODAY(),"Overdue",IF($H1676&lt;=TODAY()+30,"Due within 1 Month",IF($H1676&lt;=TODAY()+60,"Due within 2 Months","OK"))))))</f>
        <v>No Data</v>
      </c>
      <c r="K1676" s="13"/>
    </row>
    <row r="1677" customFormat="false" ht="15" hidden="false" customHeight="false" outlineLevel="0" collapsed="false">
      <c r="A1677" s="9" t="str">
        <f aca="false">Vessels!B19</f>
        <v>Vessel 15</v>
      </c>
      <c r="B1677" s="9" t="s">
        <v>136</v>
      </c>
      <c r="C1677" s="7" t="s">
        <v>150</v>
      </c>
      <c r="D1677" s="9" t="s">
        <v>45</v>
      </c>
      <c r="E1677" s="9" t="s">
        <v>44</v>
      </c>
      <c r="F1677" s="5" t="n">
        <v>12</v>
      </c>
      <c r="G1677" s="10"/>
      <c r="H1677" s="11" t="str">
        <f aca="false">IFERROR(IF($D1677="Manual Review","",IF($G1677="","",IF($D1677="Direct Expiry",$G1677,EDATE($G1677,$F1677)))),"Check Date")</f>
        <v/>
      </c>
      <c r="I1677" s="12" t="str">
        <f aca="true">IF($H1677="","",IF(ISNUMBER($H1677),$H1677-TODAY(),""))</f>
        <v/>
      </c>
      <c r="J1677" s="4" t="str">
        <f aca="true">IF($D1677="Manual Review","Manual Review",IF($G1677="","No Data",IF(NOT(ISNUMBER($H1677)),"N/A",IF($H1677&lt;TODAY(),"Overdue",IF($H1677&lt;=TODAY()+30,"Due within 1 Month",IF($H1677&lt;=TODAY()+60,"Due within 2 Months","OK"))))))</f>
        <v>No Data</v>
      </c>
      <c r="K1677" s="13"/>
    </row>
    <row r="1678" customFormat="false" ht="15" hidden="false" customHeight="false" outlineLevel="0" collapsed="false">
      <c r="A1678" s="9" t="str">
        <f aca="false">Vessels!B19</f>
        <v>Vessel 15</v>
      </c>
      <c r="B1678" s="9" t="s">
        <v>136</v>
      </c>
      <c r="C1678" s="7" t="s">
        <v>151</v>
      </c>
      <c r="D1678" s="9" t="s">
        <v>45</v>
      </c>
      <c r="E1678" s="9" t="s">
        <v>44</v>
      </c>
      <c r="F1678" s="5" t="n">
        <v>12</v>
      </c>
      <c r="G1678" s="10"/>
      <c r="H1678" s="11" t="str">
        <f aca="false">IFERROR(IF($D1678="Manual Review","",IF($G1678="","",IF($D1678="Direct Expiry",$G1678,EDATE($G1678,$F1678)))),"Check Date")</f>
        <v/>
      </c>
      <c r="I1678" s="12" t="str">
        <f aca="true">IF($H1678="","",IF(ISNUMBER($H1678),$H1678-TODAY(),""))</f>
        <v/>
      </c>
      <c r="J1678" s="4" t="str">
        <f aca="true">IF($D1678="Manual Review","Manual Review",IF($G1678="","No Data",IF(NOT(ISNUMBER($H1678)),"N/A",IF($H1678&lt;TODAY(),"Overdue",IF($H1678&lt;=TODAY()+30,"Due within 1 Month",IF($H1678&lt;=TODAY()+60,"Due within 2 Months","OK"))))))</f>
        <v>No Data</v>
      </c>
      <c r="K1678" s="13"/>
    </row>
    <row r="1679" customFormat="false" ht="15" hidden="false" customHeight="false" outlineLevel="0" collapsed="false">
      <c r="A1679" s="9" t="str">
        <f aca="false">Vessels!B19</f>
        <v>Vessel 15</v>
      </c>
      <c r="B1679" s="9" t="s">
        <v>136</v>
      </c>
      <c r="C1679" s="7" t="s">
        <v>152</v>
      </c>
      <c r="D1679" s="9" t="s">
        <v>45</v>
      </c>
      <c r="E1679" s="9" t="s">
        <v>44</v>
      </c>
      <c r="F1679" s="5" t="n">
        <v>12</v>
      </c>
      <c r="G1679" s="10"/>
      <c r="H1679" s="11" t="str">
        <f aca="false">IFERROR(IF($D1679="Manual Review","",IF($G1679="","",IF($D1679="Direct Expiry",$G1679,EDATE($G1679,$F1679)))),"Check Date")</f>
        <v/>
      </c>
      <c r="I1679" s="12" t="str">
        <f aca="true">IF($H1679="","",IF(ISNUMBER($H1679),$H1679-TODAY(),""))</f>
        <v/>
      </c>
      <c r="J1679" s="4" t="str">
        <f aca="true">IF($D1679="Manual Review","Manual Review",IF($G1679="","No Data",IF(NOT(ISNUMBER($H1679)),"N/A",IF($H1679&lt;TODAY(),"Overdue",IF($H1679&lt;=TODAY()+30,"Due within 1 Month",IF($H1679&lt;=TODAY()+60,"Due within 2 Months","OK"))))))</f>
        <v>No Data</v>
      </c>
      <c r="K1679" s="13"/>
    </row>
    <row r="1680" customFormat="false" ht="15" hidden="false" customHeight="false" outlineLevel="0" collapsed="false">
      <c r="A1680" s="9" t="str">
        <f aca="false">Vessels!B19</f>
        <v>Vessel 15</v>
      </c>
      <c r="B1680" s="9" t="s">
        <v>136</v>
      </c>
      <c r="C1680" s="7" t="s">
        <v>153</v>
      </c>
      <c r="D1680" s="9" t="s">
        <v>45</v>
      </c>
      <c r="E1680" s="9" t="s">
        <v>44</v>
      </c>
      <c r="F1680" s="5" t="n">
        <v>12</v>
      </c>
      <c r="G1680" s="10"/>
      <c r="H1680" s="11" t="str">
        <f aca="false">IFERROR(IF($D1680="Manual Review","",IF($G1680="","",IF($D1680="Direct Expiry",$G1680,EDATE($G1680,$F1680)))),"Check Date")</f>
        <v/>
      </c>
      <c r="I1680" s="12" t="str">
        <f aca="true">IF($H1680="","",IF(ISNUMBER($H1680),$H1680-TODAY(),""))</f>
        <v/>
      </c>
      <c r="J1680" s="4" t="str">
        <f aca="true">IF($D1680="Manual Review","Manual Review",IF($G1680="","No Data",IF(NOT(ISNUMBER($H1680)),"N/A",IF($H1680&lt;TODAY(),"Overdue",IF($H1680&lt;=TODAY()+30,"Due within 1 Month",IF($H1680&lt;=TODAY()+60,"Due within 2 Months","OK"))))))</f>
        <v>No Data</v>
      </c>
      <c r="K1680" s="13"/>
    </row>
    <row r="1681" customFormat="false" ht="15" hidden="false" customHeight="false" outlineLevel="0" collapsed="false">
      <c r="A1681" s="9" t="str">
        <f aca="false">Vessels!B19</f>
        <v>Vessel 15</v>
      </c>
      <c r="B1681" s="9" t="s">
        <v>136</v>
      </c>
      <c r="C1681" s="7" t="s">
        <v>154</v>
      </c>
      <c r="D1681" s="9" t="s">
        <v>45</v>
      </c>
      <c r="E1681" s="9" t="s">
        <v>44</v>
      </c>
      <c r="F1681" s="5" t="n">
        <v>12</v>
      </c>
      <c r="G1681" s="10"/>
      <c r="H1681" s="11" t="str">
        <f aca="false">IFERROR(IF($D1681="Manual Review","",IF($G1681="","",IF($D1681="Direct Expiry",$G1681,EDATE($G1681,$F1681)))),"Check Date")</f>
        <v/>
      </c>
      <c r="I1681" s="12" t="str">
        <f aca="true">IF($H1681="","",IF(ISNUMBER($H1681),$H1681-TODAY(),""))</f>
        <v/>
      </c>
      <c r="J1681" s="4" t="str">
        <f aca="true">IF($D1681="Manual Review","Manual Review",IF($G1681="","No Data",IF(NOT(ISNUMBER($H1681)),"N/A",IF($H1681&lt;TODAY(),"Overdue",IF($H1681&lt;=TODAY()+30,"Due within 1 Month",IF($H1681&lt;=TODAY()+60,"Due within 2 Months","OK"))))))</f>
        <v>No Data</v>
      </c>
      <c r="K1681" s="13"/>
    </row>
    <row r="1682" customFormat="false" ht="15" hidden="false" customHeight="false" outlineLevel="0" collapsed="false">
      <c r="A1682" s="9" t="str">
        <f aca="false">Vessels!B19</f>
        <v>Vessel 15</v>
      </c>
      <c r="B1682" s="9" t="s">
        <v>136</v>
      </c>
      <c r="C1682" s="7" t="s">
        <v>155</v>
      </c>
      <c r="D1682" s="9" t="s">
        <v>45</v>
      </c>
      <c r="E1682" s="9" t="s">
        <v>44</v>
      </c>
      <c r="F1682" s="5" t="n">
        <v>12</v>
      </c>
      <c r="G1682" s="10"/>
      <c r="H1682" s="11" t="str">
        <f aca="false">IFERROR(IF($D1682="Manual Review","",IF($G1682="","",IF($D1682="Direct Expiry",$G1682,EDATE($G1682,$F1682)))),"Check Date")</f>
        <v/>
      </c>
      <c r="I1682" s="12" t="str">
        <f aca="true">IF($H1682="","",IF(ISNUMBER($H1682),$H1682-TODAY(),""))</f>
        <v/>
      </c>
      <c r="J1682" s="4" t="str">
        <f aca="true">IF($D1682="Manual Review","Manual Review",IF($G1682="","No Data",IF(NOT(ISNUMBER($H1682)),"N/A",IF($H1682&lt;TODAY(),"Overdue",IF($H1682&lt;=TODAY()+30,"Due within 1 Month",IF($H1682&lt;=TODAY()+60,"Due within 2 Months","OK"))))))</f>
        <v>No Data</v>
      </c>
      <c r="K1682" s="13"/>
    </row>
    <row r="1683" customFormat="false" ht="15" hidden="false" customHeight="false" outlineLevel="0" collapsed="false">
      <c r="A1683" s="9" t="str">
        <f aca="false">Vessels!B19</f>
        <v>Vessel 15</v>
      </c>
      <c r="B1683" s="9" t="s">
        <v>136</v>
      </c>
      <c r="C1683" s="7" t="s">
        <v>156</v>
      </c>
      <c r="D1683" s="9" t="s">
        <v>45</v>
      </c>
      <c r="E1683" s="9" t="s">
        <v>44</v>
      </c>
      <c r="F1683" s="5" t="n">
        <v>12</v>
      </c>
      <c r="G1683" s="10"/>
      <c r="H1683" s="11" t="str">
        <f aca="false">IFERROR(IF($D1683="Manual Review","",IF($G1683="","",IF($D1683="Direct Expiry",$G1683,EDATE($G1683,$F1683)))),"Check Date")</f>
        <v/>
      </c>
      <c r="I1683" s="12" t="str">
        <f aca="true">IF($H1683="","",IF(ISNUMBER($H1683),$H1683-TODAY(),""))</f>
        <v/>
      </c>
      <c r="J1683" s="4" t="str">
        <f aca="true">IF($D1683="Manual Review","Manual Review",IF($G1683="","No Data",IF(NOT(ISNUMBER($H1683)),"N/A",IF($H1683&lt;TODAY(),"Overdue",IF($H1683&lt;=TODAY()+30,"Due within 1 Month",IF($H1683&lt;=TODAY()+60,"Due within 2 Months","OK"))))))</f>
        <v>No Data</v>
      </c>
      <c r="K1683" s="13"/>
    </row>
    <row r="1684" customFormat="false" ht="15" hidden="false" customHeight="false" outlineLevel="0" collapsed="false">
      <c r="A1684" s="9" t="str">
        <f aca="false">Vessels!B19</f>
        <v>Vessel 15</v>
      </c>
      <c r="B1684" s="9" t="s">
        <v>136</v>
      </c>
      <c r="C1684" s="7" t="s">
        <v>157</v>
      </c>
      <c r="D1684" s="9" t="s">
        <v>45</v>
      </c>
      <c r="E1684" s="9" t="s">
        <v>44</v>
      </c>
      <c r="F1684" s="5" t="n">
        <v>12</v>
      </c>
      <c r="G1684" s="10"/>
      <c r="H1684" s="11" t="str">
        <f aca="false">IFERROR(IF($D1684="Manual Review","",IF($G1684="","",IF($D1684="Direct Expiry",$G1684,EDATE($G1684,$F1684)))),"Check Date")</f>
        <v/>
      </c>
      <c r="I1684" s="12" t="str">
        <f aca="true">IF($H1684="","",IF(ISNUMBER($H1684),$H1684-TODAY(),""))</f>
        <v/>
      </c>
      <c r="J1684" s="4" t="str">
        <f aca="true">IF($D1684="Manual Review","Manual Review",IF($G1684="","No Data",IF(NOT(ISNUMBER($H1684)),"N/A",IF($H1684&lt;TODAY(),"Overdue",IF($H1684&lt;=TODAY()+30,"Due within 1 Month",IF($H1684&lt;=TODAY()+60,"Due within 2 Months","OK"))))))</f>
        <v>No Data</v>
      </c>
      <c r="K1684" s="13"/>
    </row>
    <row r="1685" customFormat="false" ht="15" hidden="false" customHeight="false" outlineLevel="0" collapsed="false">
      <c r="A1685" s="9" t="str">
        <f aca="false">Vessels!B20</f>
        <v>Vessel 16</v>
      </c>
      <c r="B1685" s="9" t="s">
        <v>42</v>
      </c>
      <c r="C1685" s="7" t="s">
        <v>43</v>
      </c>
      <c r="D1685" s="9" t="s">
        <v>45</v>
      </c>
      <c r="E1685" s="9" t="s">
        <v>44</v>
      </c>
      <c r="F1685" s="5" t="n">
        <v>12</v>
      </c>
      <c r="G1685" s="10"/>
      <c r="H1685" s="11" t="str">
        <f aca="false">IFERROR(IF($D1685="Manual Review","",IF($G1685="","",IF($D1685="Direct Expiry",$G1685,EDATE($G1685,$F1685)))),"Check Date")</f>
        <v/>
      </c>
      <c r="I1685" s="12" t="str">
        <f aca="true">IF($H1685="","",IF(ISNUMBER($H1685),$H1685-TODAY(),""))</f>
        <v/>
      </c>
      <c r="J1685" s="4" t="str">
        <f aca="true">IF($D1685="Manual Review","Manual Review",IF($G1685="","No Data",IF(NOT(ISNUMBER($H1685)),"N/A",IF($H1685&lt;TODAY(),"Overdue",IF($H1685&lt;=TODAY()+30,"Due within 1 Month",IF($H1685&lt;=TODAY()+60,"Due within 2 Months","OK"))))))</f>
        <v>No Data</v>
      </c>
      <c r="K1685" s="13"/>
    </row>
    <row r="1686" customFormat="false" ht="15" hidden="false" customHeight="false" outlineLevel="0" collapsed="false">
      <c r="A1686" s="9" t="str">
        <f aca="false">Vessels!B20</f>
        <v>Vessel 16</v>
      </c>
      <c r="B1686" s="9" t="s">
        <v>42</v>
      </c>
      <c r="C1686" s="7" t="s">
        <v>43</v>
      </c>
      <c r="D1686" s="9" t="s">
        <v>45</v>
      </c>
      <c r="E1686" s="9" t="s">
        <v>46</v>
      </c>
      <c r="F1686" s="5" t="n">
        <v>60</v>
      </c>
      <c r="G1686" s="10"/>
      <c r="H1686" s="11" t="str">
        <f aca="false">IFERROR(IF($D1686="Manual Review","",IF($G1686="","",IF($D1686="Direct Expiry",$G1686,EDATE($G1686,$F1686)))),"Check Date")</f>
        <v/>
      </c>
      <c r="I1686" s="12" t="str">
        <f aca="true">IF($H1686="","",IF(ISNUMBER($H1686),$H1686-TODAY(),""))</f>
        <v/>
      </c>
      <c r="J1686" s="4" t="str">
        <f aca="true">IF($D1686="Manual Review","Manual Review",IF($G1686="","No Data",IF(NOT(ISNUMBER($H1686)),"N/A",IF($H1686&lt;TODAY(),"Overdue",IF($H1686&lt;=TODAY()+30,"Due within 1 Month",IF($H1686&lt;=TODAY()+60,"Due within 2 Months","OK"))))))</f>
        <v>No Data</v>
      </c>
      <c r="K1686" s="13"/>
    </row>
    <row r="1687" customFormat="false" ht="15" hidden="false" customHeight="false" outlineLevel="0" collapsed="false">
      <c r="A1687" s="9" t="str">
        <f aca="false">Vessels!B20</f>
        <v>Vessel 16</v>
      </c>
      <c r="B1687" s="9" t="s">
        <v>42</v>
      </c>
      <c r="C1687" s="7" t="s">
        <v>47</v>
      </c>
      <c r="D1687" s="9" t="s">
        <v>45</v>
      </c>
      <c r="E1687" s="9" t="s">
        <v>44</v>
      </c>
      <c r="F1687" s="5" t="n">
        <v>12</v>
      </c>
      <c r="G1687" s="10"/>
      <c r="H1687" s="11" t="str">
        <f aca="false">IFERROR(IF($D1687="Manual Review","",IF($G1687="","",IF($D1687="Direct Expiry",$G1687,EDATE($G1687,$F1687)))),"Check Date")</f>
        <v/>
      </c>
      <c r="I1687" s="12" t="str">
        <f aca="true">IF($H1687="","",IF(ISNUMBER($H1687),$H1687-TODAY(),""))</f>
        <v/>
      </c>
      <c r="J1687" s="4" t="str">
        <f aca="true">IF($D1687="Manual Review","Manual Review",IF($G1687="","No Data",IF(NOT(ISNUMBER($H1687)),"N/A",IF($H1687&lt;TODAY(),"Overdue",IF($H1687&lt;=TODAY()+30,"Due within 1 Month",IF($H1687&lt;=TODAY()+60,"Due within 2 Months","OK"))))))</f>
        <v>No Data</v>
      </c>
      <c r="K1687" s="13"/>
    </row>
    <row r="1688" customFormat="false" ht="15" hidden="false" customHeight="false" outlineLevel="0" collapsed="false">
      <c r="A1688" s="9" t="str">
        <f aca="false">Vessels!B20</f>
        <v>Vessel 16</v>
      </c>
      <c r="B1688" s="9" t="s">
        <v>42</v>
      </c>
      <c r="C1688" s="7" t="s">
        <v>47</v>
      </c>
      <c r="D1688" s="9" t="s">
        <v>45</v>
      </c>
      <c r="E1688" s="9" t="s">
        <v>46</v>
      </c>
      <c r="F1688" s="5" t="n">
        <v>60</v>
      </c>
      <c r="G1688" s="10"/>
      <c r="H1688" s="11" t="str">
        <f aca="false">IFERROR(IF($D1688="Manual Review","",IF($G1688="","",IF($D1688="Direct Expiry",$G1688,EDATE($G1688,$F1688)))),"Check Date")</f>
        <v/>
      </c>
      <c r="I1688" s="12" t="str">
        <f aca="true">IF($H1688="","",IF(ISNUMBER($H1688),$H1688-TODAY(),""))</f>
        <v/>
      </c>
      <c r="J1688" s="4" t="str">
        <f aca="true">IF($D1688="Manual Review","Manual Review",IF($G1688="","No Data",IF(NOT(ISNUMBER($H1688)),"N/A",IF($H1688&lt;TODAY(),"Overdue",IF($H1688&lt;=TODAY()+30,"Due within 1 Month",IF($H1688&lt;=TODAY()+60,"Due within 2 Months","OK"))))))</f>
        <v>No Data</v>
      </c>
      <c r="K1688" s="13"/>
    </row>
    <row r="1689" customFormat="false" ht="15" hidden="false" customHeight="false" outlineLevel="0" collapsed="false">
      <c r="A1689" s="9" t="str">
        <f aca="false">Vessels!B20</f>
        <v>Vessel 16</v>
      </c>
      <c r="B1689" s="9" t="s">
        <v>42</v>
      </c>
      <c r="C1689" s="7" t="s">
        <v>48</v>
      </c>
      <c r="D1689" s="9" t="s">
        <v>45</v>
      </c>
      <c r="E1689" s="9" t="s">
        <v>44</v>
      </c>
      <c r="F1689" s="5" t="n">
        <v>12</v>
      </c>
      <c r="G1689" s="10"/>
      <c r="H1689" s="11" t="str">
        <f aca="false">IFERROR(IF($D1689="Manual Review","",IF($G1689="","",IF($D1689="Direct Expiry",$G1689,EDATE($G1689,$F1689)))),"Check Date")</f>
        <v/>
      </c>
      <c r="I1689" s="12" t="str">
        <f aca="true">IF($H1689="","",IF(ISNUMBER($H1689),$H1689-TODAY(),""))</f>
        <v/>
      </c>
      <c r="J1689" s="4" t="str">
        <f aca="true">IF($D1689="Manual Review","Manual Review",IF($G1689="","No Data",IF(NOT(ISNUMBER($H1689)),"N/A",IF($H1689&lt;TODAY(),"Overdue",IF($H1689&lt;=TODAY()+30,"Due within 1 Month",IF($H1689&lt;=TODAY()+60,"Due within 2 Months","OK"))))))</f>
        <v>No Data</v>
      </c>
      <c r="K1689" s="13"/>
    </row>
    <row r="1690" customFormat="false" ht="15" hidden="false" customHeight="false" outlineLevel="0" collapsed="false">
      <c r="A1690" s="9" t="str">
        <f aca="false">Vessels!B20</f>
        <v>Vessel 16</v>
      </c>
      <c r="B1690" s="9" t="s">
        <v>42</v>
      </c>
      <c r="C1690" s="7" t="s">
        <v>48</v>
      </c>
      <c r="D1690" s="9" t="s">
        <v>45</v>
      </c>
      <c r="E1690" s="9" t="s">
        <v>49</v>
      </c>
      <c r="F1690" s="5" t="n">
        <v>60</v>
      </c>
      <c r="G1690" s="10"/>
      <c r="H1690" s="11" t="str">
        <f aca="false">IFERROR(IF($D1690="Manual Review","",IF($G1690="","",IF($D1690="Direct Expiry",$G1690,EDATE($G1690,$F1690)))),"Check Date")</f>
        <v/>
      </c>
      <c r="I1690" s="12" t="str">
        <f aca="true">IF($H1690="","",IF(ISNUMBER($H1690),$H1690-TODAY(),""))</f>
        <v/>
      </c>
      <c r="J1690" s="4" t="str">
        <f aca="true">IF($D1690="Manual Review","Manual Review",IF($G1690="","No Data",IF(NOT(ISNUMBER($H1690)),"N/A",IF($H1690&lt;TODAY(),"Overdue",IF($H1690&lt;=TODAY()+30,"Due within 1 Month",IF($H1690&lt;=TODAY()+60,"Due within 2 Months","OK"))))))</f>
        <v>No Data</v>
      </c>
      <c r="K1690" s="13"/>
    </row>
    <row r="1691" customFormat="false" ht="15" hidden="false" customHeight="false" outlineLevel="0" collapsed="false">
      <c r="A1691" s="9" t="str">
        <f aca="false">Vessels!B20</f>
        <v>Vessel 16</v>
      </c>
      <c r="B1691" s="9" t="s">
        <v>42</v>
      </c>
      <c r="C1691" s="7" t="s">
        <v>50</v>
      </c>
      <c r="D1691" s="9" t="s">
        <v>45</v>
      </c>
      <c r="E1691" s="9" t="s">
        <v>44</v>
      </c>
      <c r="F1691" s="5" t="n">
        <v>12</v>
      </c>
      <c r="G1691" s="10"/>
      <c r="H1691" s="11" t="str">
        <f aca="false">IFERROR(IF($D1691="Manual Review","",IF($G1691="","",IF($D1691="Direct Expiry",$G1691,EDATE($G1691,$F1691)))),"Check Date")</f>
        <v/>
      </c>
      <c r="I1691" s="12" t="str">
        <f aca="true">IF($H1691="","",IF(ISNUMBER($H1691),$H1691-TODAY(),""))</f>
        <v/>
      </c>
      <c r="J1691" s="4" t="str">
        <f aca="true">IF($D1691="Manual Review","Manual Review",IF($G1691="","No Data",IF(NOT(ISNUMBER($H1691)),"N/A",IF($H1691&lt;TODAY(),"Overdue",IF($H1691&lt;=TODAY()+30,"Due within 1 Month",IF($H1691&lt;=TODAY()+60,"Due within 2 Months","OK"))))))</f>
        <v>No Data</v>
      </c>
      <c r="K1691" s="13"/>
    </row>
    <row r="1692" customFormat="false" ht="15" hidden="false" customHeight="false" outlineLevel="0" collapsed="false">
      <c r="A1692" s="9" t="str">
        <f aca="false">Vessels!B20</f>
        <v>Vessel 16</v>
      </c>
      <c r="B1692" s="9" t="s">
        <v>42</v>
      </c>
      <c r="C1692" s="7" t="s">
        <v>50</v>
      </c>
      <c r="D1692" s="9" t="s">
        <v>45</v>
      </c>
      <c r="E1692" s="9" t="s">
        <v>49</v>
      </c>
      <c r="F1692" s="5" t="n">
        <v>60</v>
      </c>
      <c r="G1692" s="10"/>
      <c r="H1692" s="11" t="str">
        <f aca="false">IFERROR(IF($D1692="Manual Review","",IF($G1692="","",IF($D1692="Direct Expiry",$G1692,EDATE($G1692,$F1692)))),"Check Date")</f>
        <v/>
      </c>
      <c r="I1692" s="12" t="str">
        <f aca="true">IF($H1692="","",IF(ISNUMBER($H1692),$H1692-TODAY(),""))</f>
        <v/>
      </c>
      <c r="J1692" s="4" t="str">
        <f aca="true">IF($D1692="Manual Review","Manual Review",IF($G1692="","No Data",IF(NOT(ISNUMBER($H1692)),"N/A",IF($H1692&lt;TODAY(),"Overdue",IF($H1692&lt;=TODAY()+30,"Due within 1 Month",IF($H1692&lt;=TODAY()+60,"Due within 2 Months","OK"))))))</f>
        <v>No Data</v>
      </c>
      <c r="K1692" s="13"/>
    </row>
    <row r="1693" customFormat="false" ht="15" hidden="false" customHeight="false" outlineLevel="0" collapsed="false">
      <c r="A1693" s="9" t="str">
        <f aca="false">Vessels!B20</f>
        <v>Vessel 16</v>
      </c>
      <c r="B1693" s="9" t="s">
        <v>42</v>
      </c>
      <c r="C1693" s="7" t="s">
        <v>51</v>
      </c>
      <c r="D1693" s="9" t="s">
        <v>45</v>
      </c>
      <c r="E1693" s="9" t="s">
        <v>46</v>
      </c>
      <c r="F1693" s="5" t="n">
        <v>60</v>
      </c>
      <c r="G1693" s="10"/>
      <c r="H1693" s="11" t="str">
        <f aca="false">IFERROR(IF($D1693="Manual Review","",IF($G1693="","",IF($D1693="Direct Expiry",$G1693,EDATE($G1693,$F1693)))),"Check Date")</f>
        <v/>
      </c>
      <c r="I1693" s="12" t="str">
        <f aca="true">IF($H1693="","",IF(ISNUMBER($H1693),$H1693-TODAY(),""))</f>
        <v/>
      </c>
      <c r="J1693" s="4" t="str">
        <f aca="true">IF($D1693="Manual Review","Manual Review",IF($G1693="","No Data",IF(NOT(ISNUMBER($H1693)),"N/A",IF($H1693&lt;TODAY(),"Overdue",IF($H1693&lt;=TODAY()+30,"Due within 1 Month",IF($H1693&lt;=TODAY()+60,"Due within 2 Months","OK"))))))</f>
        <v>No Data</v>
      </c>
      <c r="K1693" s="13"/>
    </row>
    <row r="1694" customFormat="false" ht="15" hidden="false" customHeight="false" outlineLevel="0" collapsed="false">
      <c r="A1694" s="9" t="str">
        <f aca="false">Vessels!B20</f>
        <v>Vessel 16</v>
      </c>
      <c r="B1694" s="9" t="s">
        <v>42</v>
      </c>
      <c r="C1694" s="7" t="s">
        <v>52</v>
      </c>
      <c r="D1694" s="9" t="s">
        <v>45</v>
      </c>
      <c r="E1694" s="9" t="s">
        <v>46</v>
      </c>
      <c r="F1694" s="5" t="n">
        <v>60</v>
      </c>
      <c r="G1694" s="10"/>
      <c r="H1694" s="11" t="str">
        <f aca="false">IFERROR(IF($D1694="Manual Review","",IF($G1694="","",IF($D1694="Direct Expiry",$G1694,EDATE($G1694,$F1694)))),"Check Date")</f>
        <v/>
      </c>
      <c r="I1694" s="12" t="str">
        <f aca="true">IF($H1694="","",IF(ISNUMBER($H1694),$H1694-TODAY(),""))</f>
        <v/>
      </c>
      <c r="J1694" s="4" t="str">
        <f aca="true">IF($D1694="Manual Review","Manual Review",IF($G1694="","No Data",IF(NOT(ISNUMBER($H1694)),"N/A",IF($H1694&lt;TODAY(),"Overdue",IF($H1694&lt;=TODAY()+30,"Due within 1 Month",IF($H1694&lt;=TODAY()+60,"Due within 2 Months","OK"))))))</f>
        <v>No Data</v>
      </c>
      <c r="K1694" s="13"/>
    </row>
    <row r="1695" customFormat="false" ht="15" hidden="false" customHeight="false" outlineLevel="0" collapsed="false">
      <c r="A1695" s="9" t="str">
        <f aca="false">Vessels!B20</f>
        <v>Vessel 16</v>
      </c>
      <c r="B1695" s="9" t="s">
        <v>42</v>
      </c>
      <c r="C1695" s="7" t="s">
        <v>53</v>
      </c>
      <c r="D1695" s="9" t="s">
        <v>45</v>
      </c>
      <c r="E1695" s="9" t="s">
        <v>46</v>
      </c>
      <c r="F1695" s="5" t="n">
        <v>60</v>
      </c>
      <c r="G1695" s="10"/>
      <c r="H1695" s="11" t="str">
        <f aca="false">IFERROR(IF($D1695="Manual Review","",IF($G1695="","",IF($D1695="Direct Expiry",$G1695,EDATE($G1695,$F1695)))),"Check Date")</f>
        <v/>
      </c>
      <c r="I1695" s="12" t="str">
        <f aca="true">IF($H1695="","",IF(ISNUMBER($H1695),$H1695-TODAY(),""))</f>
        <v/>
      </c>
      <c r="J1695" s="4" t="str">
        <f aca="true">IF($D1695="Manual Review","Manual Review",IF($G1695="","No Data",IF(NOT(ISNUMBER($H1695)),"N/A",IF($H1695&lt;TODAY(),"Overdue",IF($H1695&lt;=TODAY()+30,"Due within 1 Month",IF($H1695&lt;=TODAY()+60,"Due within 2 Months","OK"))))))</f>
        <v>No Data</v>
      </c>
      <c r="K1695" s="13"/>
    </row>
    <row r="1696" customFormat="false" ht="15" hidden="false" customHeight="false" outlineLevel="0" collapsed="false">
      <c r="A1696" s="9" t="str">
        <f aca="false">Vessels!B20</f>
        <v>Vessel 16</v>
      </c>
      <c r="B1696" s="9" t="s">
        <v>42</v>
      </c>
      <c r="C1696" s="7" t="s">
        <v>54</v>
      </c>
      <c r="D1696" s="9" t="s">
        <v>45</v>
      </c>
      <c r="E1696" s="9" t="s">
        <v>46</v>
      </c>
      <c r="F1696" s="5" t="n">
        <v>60</v>
      </c>
      <c r="G1696" s="10"/>
      <c r="H1696" s="11" t="str">
        <f aca="false">IFERROR(IF($D1696="Manual Review","",IF($G1696="","",IF($D1696="Direct Expiry",$G1696,EDATE($G1696,$F1696)))),"Check Date")</f>
        <v/>
      </c>
      <c r="I1696" s="12" t="str">
        <f aca="true">IF($H1696="","",IF(ISNUMBER($H1696),$H1696-TODAY(),""))</f>
        <v/>
      </c>
      <c r="J1696" s="4" t="str">
        <f aca="true">IF($D1696="Manual Review","Manual Review",IF($G1696="","No Data",IF(NOT(ISNUMBER($H1696)),"N/A",IF($H1696&lt;TODAY(),"Overdue",IF($H1696&lt;=TODAY()+30,"Due within 1 Month",IF($H1696&lt;=TODAY()+60,"Due within 2 Months","OK"))))))</f>
        <v>No Data</v>
      </c>
      <c r="K1696" s="13"/>
    </row>
    <row r="1697" customFormat="false" ht="15" hidden="false" customHeight="false" outlineLevel="0" collapsed="false">
      <c r="A1697" s="9" t="str">
        <f aca="false">Vessels!B20</f>
        <v>Vessel 16</v>
      </c>
      <c r="B1697" s="9" t="s">
        <v>42</v>
      </c>
      <c r="C1697" s="7" t="s">
        <v>55</v>
      </c>
      <c r="D1697" s="9" t="s">
        <v>45</v>
      </c>
      <c r="E1697" s="9" t="s">
        <v>46</v>
      </c>
      <c r="F1697" s="5" t="n">
        <v>60</v>
      </c>
      <c r="G1697" s="10"/>
      <c r="H1697" s="11" t="str">
        <f aca="false">IFERROR(IF($D1697="Manual Review","",IF($G1697="","",IF($D1697="Direct Expiry",$G1697,EDATE($G1697,$F1697)))),"Check Date")</f>
        <v/>
      </c>
      <c r="I1697" s="12" t="str">
        <f aca="true">IF($H1697="","",IF(ISNUMBER($H1697),$H1697-TODAY(),""))</f>
        <v/>
      </c>
      <c r="J1697" s="4" t="str">
        <f aca="true">IF($D1697="Manual Review","Manual Review",IF($G1697="","No Data",IF(NOT(ISNUMBER($H1697)),"N/A",IF($H1697&lt;TODAY(),"Overdue",IF($H1697&lt;=TODAY()+30,"Due within 1 Month",IF($H1697&lt;=TODAY()+60,"Due within 2 Months","OK"))))))</f>
        <v>No Data</v>
      </c>
      <c r="K1697" s="13"/>
    </row>
    <row r="1698" customFormat="false" ht="15" hidden="false" customHeight="false" outlineLevel="0" collapsed="false">
      <c r="A1698" s="9" t="str">
        <f aca="false">Vessels!B20</f>
        <v>Vessel 16</v>
      </c>
      <c r="B1698" s="9" t="s">
        <v>42</v>
      </c>
      <c r="C1698" s="7" t="s">
        <v>56</v>
      </c>
      <c r="D1698" s="9" t="s">
        <v>45</v>
      </c>
      <c r="E1698" s="9" t="s">
        <v>46</v>
      </c>
      <c r="F1698" s="5" t="n">
        <v>60</v>
      </c>
      <c r="G1698" s="10"/>
      <c r="H1698" s="11" t="str">
        <f aca="false">IFERROR(IF($D1698="Manual Review","",IF($G1698="","",IF($D1698="Direct Expiry",$G1698,EDATE($G1698,$F1698)))),"Check Date")</f>
        <v/>
      </c>
      <c r="I1698" s="12" t="str">
        <f aca="true">IF($H1698="","",IF(ISNUMBER($H1698),$H1698-TODAY(),""))</f>
        <v/>
      </c>
      <c r="J1698" s="4" t="str">
        <f aca="true">IF($D1698="Manual Review","Manual Review",IF($G1698="","No Data",IF(NOT(ISNUMBER($H1698)),"N/A",IF($H1698&lt;TODAY(),"Overdue",IF($H1698&lt;=TODAY()+30,"Due within 1 Month",IF($H1698&lt;=TODAY()+60,"Due within 2 Months","OK"))))))</f>
        <v>No Data</v>
      </c>
      <c r="K1698" s="13"/>
    </row>
    <row r="1699" customFormat="false" ht="15" hidden="false" customHeight="false" outlineLevel="0" collapsed="false">
      <c r="A1699" s="9" t="str">
        <f aca="false">Vessels!B20</f>
        <v>Vessel 16</v>
      </c>
      <c r="B1699" s="9" t="s">
        <v>42</v>
      </c>
      <c r="C1699" s="7" t="s">
        <v>57</v>
      </c>
      <c r="D1699" s="9" t="s">
        <v>59</v>
      </c>
      <c r="E1699" s="9" t="s">
        <v>58</v>
      </c>
      <c r="F1699" s="5"/>
      <c r="G1699" s="10"/>
      <c r="H1699" s="11" t="str">
        <f aca="false">IFERROR(IF($D1699="Manual Review","",IF($G1699="","",IF($D1699="Direct Expiry",$G1699,EDATE($G1699,$F1699)))),"Check Date")</f>
        <v/>
      </c>
      <c r="I1699" s="12" t="str">
        <f aca="true">IF($H1699="","",IF(ISNUMBER($H1699),$H1699-TODAY(),""))</f>
        <v/>
      </c>
      <c r="J1699" s="4" t="str">
        <f aca="true">IF($D1699="Manual Review","Manual Review",IF($G1699="","No Data",IF(NOT(ISNUMBER($H1699)),"N/A",IF($H1699&lt;TODAY(),"Overdue",IF($H1699&lt;=TODAY()+30,"Due within 1 Month",IF($H1699&lt;=TODAY()+60,"Due within 2 Months","OK"))))))</f>
        <v>No Data</v>
      </c>
      <c r="K1699" s="13"/>
    </row>
    <row r="1700" customFormat="false" ht="15" hidden="false" customHeight="false" outlineLevel="0" collapsed="false">
      <c r="A1700" s="9" t="str">
        <f aca="false">Vessels!B20</f>
        <v>Vessel 16</v>
      </c>
      <c r="B1700" s="9" t="s">
        <v>42</v>
      </c>
      <c r="C1700" s="7" t="s">
        <v>60</v>
      </c>
      <c r="D1700" s="9" t="s">
        <v>45</v>
      </c>
      <c r="E1700" s="9" t="s">
        <v>44</v>
      </c>
      <c r="F1700" s="5" t="n">
        <v>12</v>
      </c>
      <c r="G1700" s="10"/>
      <c r="H1700" s="11" t="str">
        <f aca="false">IFERROR(IF($D1700="Manual Review","",IF($G1700="","",IF($D1700="Direct Expiry",$G1700,EDATE($G1700,$F1700)))),"Check Date")</f>
        <v/>
      </c>
      <c r="I1700" s="12" t="str">
        <f aca="true">IF($H1700="","",IF(ISNUMBER($H1700),$H1700-TODAY(),""))</f>
        <v/>
      </c>
      <c r="J1700" s="4" t="str">
        <f aca="true">IF($D1700="Manual Review","Manual Review",IF($G1700="","No Data",IF(NOT(ISNUMBER($H1700)),"N/A",IF($H1700&lt;TODAY(),"Overdue",IF($H1700&lt;=TODAY()+30,"Due within 1 Month",IF($H1700&lt;=TODAY()+60,"Due within 2 Months","OK"))))))</f>
        <v>No Data</v>
      </c>
      <c r="K1700" s="13"/>
    </row>
    <row r="1701" customFormat="false" ht="15" hidden="false" customHeight="false" outlineLevel="0" collapsed="false">
      <c r="A1701" s="9" t="str">
        <f aca="false">Vessels!B20</f>
        <v>Vessel 16</v>
      </c>
      <c r="B1701" s="9" t="s">
        <v>42</v>
      </c>
      <c r="C1701" s="7" t="s">
        <v>60</v>
      </c>
      <c r="D1701" s="9" t="s">
        <v>45</v>
      </c>
      <c r="E1701" s="9" t="s">
        <v>46</v>
      </c>
      <c r="F1701" s="5" t="n">
        <v>60</v>
      </c>
      <c r="G1701" s="10"/>
      <c r="H1701" s="11" t="str">
        <f aca="false">IFERROR(IF($D1701="Manual Review","",IF($G1701="","",IF($D1701="Direct Expiry",$G1701,EDATE($G1701,$F1701)))),"Check Date")</f>
        <v/>
      </c>
      <c r="I1701" s="12" t="str">
        <f aca="true">IF($H1701="","",IF(ISNUMBER($H1701),$H1701-TODAY(),""))</f>
        <v/>
      </c>
      <c r="J1701" s="4" t="str">
        <f aca="true">IF($D1701="Manual Review","Manual Review",IF($G1701="","No Data",IF(NOT(ISNUMBER($H1701)),"N/A",IF($H1701&lt;TODAY(),"Overdue",IF($H1701&lt;=TODAY()+30,"Due within 1 Month",IF($H1701&lt;=TODAY()+60,"Due within 2 Months","OK"))))))</f>
        <v>No Data</v>
      </c>
      <c r="K1701" s="13"/>
    </row>
    <row r="1702" customFormat="false" ht="15" hidden="false" customHeight="false" outlineLevel="0" collapsed="false">
      <c r="A1702" s="9" t="str">
        <f aca="false">Vessels!B20</f>
        <v>Vessel 16</v>
      </c>
      <c r="B1702" s="9" t="s">
        <v>42</v>
      </c>
      <c r="C1702" s="7" t="s">
        <v>61</v>
      </c>
      <c r="D1702" s="9" t="s">
        <v>45</v>
      </c>
      <c r="E1702" s="9" t="s">
        <v>44</v>
      </c>
      <c r="F1702" s="5" t="n">
        <v>12</v>
      </c>
      <c r="G1702" s="10"/>
      <c r="H1702" s="11" t="str">
        <f aca="false">IFERROR(IF($D1702="Manual Review","",IF($G1702="","",IF($D1702="Direct Expiry",$G1702,EDATE($G1702,$F1702)))),"Check Date")</f>
        <v/>
      </c>
      <c r="I1702" s="12" t="str">
        <f aca="true">IF($H1702="","",IF(ISNUMBER($H1702),$H1702-TODAY(),""))</f>
        <v/>
      </c>
      <c r="J1702" s="4" t="str">
        <f aca="true">IF($D1702="Manual Review","Manual Review",IF($G1702="","No Data",IF(NOT(ISNUMBER($H1702)),"N/A",IF($H1702&lt;TODAY(),"Overdue",IF($H1702&lt;=TODAY()+30,"Due within 1 Month",IF($H1702&lt;=TODAY()+60,"Due within 2 Months","OK"))))))</f>
        <v>No Data</v>
      </c>
      <c r="K1702" s="13"/>
    </row>
    <row r="1703" customFormat="false" ht="15" hidden="false" customHeight="false" outlineLevel="0" collapsed="false">
      <c r="A1703" s="9" t="str">
        <f aca="false">Vessels!B20</f>
        <v>Vessel 16</v>
      </c>
      <c r="B1703" s="9" t="s">
        <v>42</v>
      </c>
      <c r="C1703" s="7" t="s">
        <v>61</v>
      </c>
      <c r="D1703" s="9" t="s">
        <v>45</v>
      </c>
      <c r="E1703" s="9" t="s">
        <v>46</v>
      </c>
      <c r="F1703" s="5" t="n">
        <v>60</v>
      </c>
      <c r="G1703" s="10"/>
      <c r="H1703" s="11" t="str">
        <f aca="false">IFERROR(IF($D1703="Manual Review","",IF($G1703="","",IF($D1703="Direct Expiry",$G1703,EDATE($G1703,$F1703)))),"Check Date")</f>
        <v/>
      </c>
      <c r="I1703" s="12" t="str">
        <f aca="true">IF($H1703="","",IF(ISNUMBER($H1703),$H1703-TODAY(),""))</f>
        <v/>
      </c>
      <c r="J1703" s="4" t="str">
        <f aca="true">IF($D1703="Manual Review","Manual Review",IF($G1703="","No Data",IF(NOT(ISNUMBER($H1703)),"N/A",IF($H1703&lt;TODAY(),"Overdue",IF($H1703&lt;=TODAY()+30,"Due within 1 Month",IF($H1703&lt;=TODAY()+60,"Due within 2 Months","OK"))))))</f>
        <v>No Data</v>
      </c>
      <c r="K1703" s="13"/>
    </row>
    <row r="1704" customFormat="false" ht="15" hidden="false" customHeight="false" outlineLevel="0" collapsed="false">
      <c r="A1704" s="9" t="str">
        <f aca="false">Vessels!B20</f>
        <v>Vessel 16</v>
      </c>
      <c r="B1704" s="9" t="s">
        <v>42</v>
      </c>
      <c r="C1704" s="7" t="s">
        <v>62</v>
      </c>
      <c r="D1704" s="9" t="s">
        <v>45</v>
      </c>
      <c r="E1704" s="9" t="s">
        <v>44</v>
      </c>
      <c r="F1704" s="5" t="n">
        <v>12</v>
      </c>
      <c r="G1704" s="10"/>
      <c r="H1704" s="11" t="str">
        <f aca="false">IFERROR(IF($D1704="Manual Review","",IF($G1704="","",IF($D1704="Direct Expiry",$G1704,EDATE($G1704,$F1704)))),"Check Date")</f>
        <v/>
      </c>
      <c r="I1704" s="12" t="str">
        <f aca="true">IF($H1704="","",IF(ISNUMBER($H1704),$H1704-TODAY(),""))</f>
        <v/>
      </c>
      <c r="J1704" s="4" t="str">
        <f aca="true">IF($D1704="Manual Review","Manual Review",IF($G1704="","No Data",IF(NOT(ISNUMBER($H1704)),"N/A",IF($H1704&lt;TODAY(),"Overdue",IF($H1704&lt;=TODAY()+30,"Due within 1 Month",IF($H1704&lt;=TODAY()+60,"Due within 2 Months","OK"))))))</f>
        <v>No Data</v>
      </c>
      <c r="K1704" s="13"/>
    </row>
    <row r="1705" customFormat="false" ht="15" hidden="false" customHeight="false" outlineLevel="0" collapsed="false">
      <c r="A1705" s="9" t="str">
        <f aca="false">Vessels!B20</f>
        <v>Vessel 16</v>
      </c>
      <c r="B1705" s="9" t="s">
        <v>42</v>
      </c>
      <c r="C1705" s="7" t="s">
        <v>62</v>
      </c>
      <c r="D1705" s="9" t="s">
        <v>45</v>
      </c>
      <c r="E1705" s="9" t="s">
        <v>49</v>
      </c>
      <c r="F1705" s="5" t="n">
        <v>60</v>
      </c>
      <c r="G1705" s="10"/>
      <c r="H1705" s="11" t="str">
        <f aca="false">IFERROR(IF($D1705="Manual Review","",IF($G1705="","",IF($D1705="Direct Expiry",$G1705,EDATE($G1705,$F1705)))),"Check Date")</f>
        <v/>
      </c>
      <c r="I1705" s="12" t="str">
        <f aca="true">IF($H1705="","",IF(ISNUMBER($H1705),$H1705-TODAY(),""))</f>
        <v/>
      </c>
      <c r="J1705" s="4" t="str">
        <f aca="true">IF($D1705="Manual Review","Manual Review",IF($G1705="","No Data",IF(NOT(ISNUMBER($H1705)),"N/A",IF($H1705&lt;TODAY(),"Overdue",IF($H1705&lt;=TODAY()+30,"Due within 1 Month",IF($H1705&lt;=TODAY()+60,"Due within 2 Months","OK"))))))</f>
        <v>No Data</v>
      </c>
      <c r="K1705" s="13"/>
    </row>
    <row r="1706" customFormat="false" ht="15" hidden="false" customHeight="false" outlineLevel="0" collapsed="false">
      <c r="A1706" s="9" t="str">
        <f aca="false">Vessels!B20</f>
        <v>Vessel 16</v>
      </c>
      <c r="B1706" s="9" t="s">
        <v>42</v>
      </c>
      <c r="C1706" s="7" t="s">
        <v>63</v>
      </c>
      <c r="D1706" s="9" t="s">
        <v>45</v>
      </c>
      <c r="E1706" s="9" t="s">
        <v>44</v>
      </c>
      <c r="F1706" s="5" t="n">
        <v>12</v>
      </c>
      <c r="G1706" s="10"/>
      <c r="H1706" s="11" t="str">
        <f aca="false">IFERROR(IF($D1706="Manual Review","",IF($G1706="","",IF($D1706="Direct Expiry",$G1706,EDATE($G1706,$F1706)))),"Check Date")</f>
        <v/>
      </c>
      <c r="I1706" s="12" t="str">
        <f aca="true">IF($H1706="","",IF(ISNUMBER($H1706),$H1706-TODAY(),""))</f>
        <v/>
      </c>
      <c r="J1706" s="4" t="str">
        <f aca="true">IF($D1706="Manual Review","Manual Review",IF($G1706="","No Data",IF(NOT(ISNUMBER($H1706)),"N/A",IF($H1706&lt;TODAY(),"Overdue",IF($H1706&lt;=TODAY()+30,"Due within 1 Month",IF($H1706&lt;=TODAY()+60,"Due within 2 Months","OK"))))))</f>
        <v>No Data</v>
      </c>
      <c r="K1706" s="13"/>
    </row>
    <row r="1707" customFormat="false" ht="15" hidden="false" customHeight="false" outlineLevel="0" collapsed="false">
      <c r="A1707" s="9" t="str">
        <f aca="false">Vessels!B20</f>
        <v>Vessel 16</v>
      </c>
      <c r="B1707" s="9" t="s">
        <v>42</v>
      </c>
      <c r="C1707" s="7" t="s">
        <v>63</v>
      </c>
      <c r="D1707" s="9" t="s">
        <v>45</v>
      </c>
      <c r="E1707" s="9" t="s">
        <v>49</v>
      </c>
      <c r="F1707" s="5" t="n">
        <v>60</v>
      </c>
      <c r="G1707" s="10"/>
      <c r="H1707" s="11" t="str">
        <f aca="false">IFERROR(IF($D1707="Manual Review","",IF($G1707="","",IF($D1707="Direct Expiry",$G1707,EDATE($G1707,$F1707)))),"Check Date")</f>
        <v/>
      </c>
      <c r="I1707" s="12" t="str">
        <f aca="true">IF($H1707="","",IF(ISNUMBER($H1707),$H1707-TODAY(),""))</f>
        <v/>
      </c>
      <c r="J1707" s="4" t="str">
        <f aca="true">IF($D1707="Manual Review","Manual Review",IF($G1707="","No Data",IF(NOT(ISNUMBER($H1707)),"N/A",IF($H1707&lt;TODAY(),"Overdue",IF($H1707&lt;=TODAY()+30,"Due within 1 Month",IF($H1707&lt;=TODAY()+60,"Due within 2 Months","OK"))))))</f>
        <v>No Data</v>
      </c>
      <c r="K1707" s="13"/>
    </row>
    <row r="1708" customFormat="false" ht="15" hidden="false" customHeight="false" outlineLevel="0" collapsed="false">
      <c r="A1708" s="9" t="str">
        <f aca="false">Vessels!B20</f>
        <v>Vessel 16</v>
      </c>
      <c r="B1708" s="9" t="s">
        <v>42</v>
      </c>
      <c r="C1708" s="7" t="s">
        <v>64</v>
      </c>
      <c r="D1708" s="9" t="s">
        <v>45</v>
      </c>
      <c r="E1708" s="9" t="s">
        <v>46</v>
      </c>
      <c r="F1708" s="5" t="n">
        <v>60</v>
      </c>
      <c r="G1708" s="10"/>
      <c r="H1708" s="11" t="str">
        <f aca="false">IFERROR(IF($D1708="Manual Review","",IF($G1708="","",IF($D1708="Direct Expiry",$G1708,EDATE($G1708,$F1708)))),"Check Date")</f>
        <v/>
      </c>
      <c r="I1708" s="12" t="str">
        <f aca="true">IF($H1708="","",IF(ISNUMBER($H1708),$H1708-TODAY(),""))</f>
        <v/>
      </c>
      <c r="J1708" s="4" t="str">
        <f aca="true">IF($D1708="Manual Review","Manual Review",IF($G1708="","No Data",IF(NOT(ISNUMBER($H1708)),"N/A",IF($H1708&lt;TODAY(),"Overdue",IF($H1708&lt;=TODAY()+30,"Due within 1 Month",IF($H1708&lt;=TODAY()+60,"Due within 2 Months","OK"))))))</f>
        <v>No Data</v>
      </c>
      <c r="K1708" s="13"/>
    </row>
    <row r="1709" customFormat="false" ht="15" hidden="false" customHeight="false" outlineLevel="0" collapsed="false">
      <c r="A1709" s="9" t="str">
        <f aca="false">Vessels!B20</f>
        <v>Vessel 16</v>
      </c>
      <c r="B1709" s="9" t="s">
        <v>42</v>
      </c>
      <c r="C1709" s="7" t="s">
        <v>65</v>
      </c>
      <c r="D1709" s="9" t="s">
        <v>45</v>
      </c>
      <c r="E1709" s="9" t="s">
        <v>46</v>
      </c>
      <c r="F1709" s="5" t="n">
        <v>60</v>
      </c>
      <c r="G1709" s="10"/>
      <c r="H1709" s="11" t="str">
        <f aca="false">IFERROR(IF($D1709="Manual Review","",IF($G1709="","",IF($D1709="Direct Expiry",$G1709,EDATE($G1709,$F1709)))),"Check Date")</f>
        <v/>
      </c>
      <c r="I1709" s="12" t="str">
        <f aca="true">IF($H1709="","",IF(ISNUMBER($H1709),$H1709-TODAY(),""))</f>
        <v/>
      </c>
      <c r="J1709" s="4" t="str">
        <f aca="true">IF($D1709="Manual Review","Manual Review",IF($G1709="","No Data",IF(NOT(ISNUMBER($H1709)),"N/A",IF($H1709&lt;TODAY(),"Overdue",IF($H1709&lt;=TODAY()+30,"Due within 1 Month",IF($H1709&lt;=TODAY()+60,"Due within 2 Months","OK"))))))</f>
        <v>No Data</v>
      </c>
      <c r="K1709" s="13"/>
    </row>
    <row r="1710" customFormat="false" ht="15" hidden="false" customHeight="false" outlineLevel="0" collapsed="false">
      <c r="A1710" s="9" t="str">
        <f aca="false">Vessels!B20</f>
        <v>Vessel 16</v>
      </c>
      <c r="B1710" s="9" t="s">
        <v>42</v>
      </c>
      <c r="C1710" s="7" t="s">
        <v>66</v>
      </c>
      <c r="D1710" s="9" t="s">
        <v>45</v>
      </c>
      <c r="E1710" s="9" t="s">
        <v>46</v>
      </c>
      <c r="F1710" s="5" t="n">
        <v>60</v>
      </c>
      <c r="G1710" s="10"/>
      <c r="H1710" s="11" t="str">
        <f aca="false">IFERROR(IF($D1710="Manual Review","",IF($G1710="","",IF($D1710="Direct Expiry",$G1710,EDATE($G1710,$F1710)))),"Check Date")</f>
        <v/>
      </c>
      <c r="I1710" s="12" t="str">
        <f aca="true">IF($H1710="","",IF(ISNUMBER($H1710),$H1710-TODAY(),""))</f>
        <v/>
      </c>
      <c r="J1710" s="4" t="str">
        <f aca="true">IF($D1710="Manual Review","Manual Review",IF($G1710="","No Data",IF(NOT(ISNUMBER($H1710)),"N/A",IF($H1710&lt;TODAY(),"Overdue",IF($H1710&lt;=TODAY()+30,"Due within 1 Month",IF($H1710&lt;=TODAY()+60,"Due within 2 Months","OK"))))))</f>
        <v>No Data</v>
      </c>
      <c r="K1710" s="13"/>
    </row>
    <row r="1711" customFormat="false" ht="15" hidden="false" customHeight="false" outlineLevel="0" collapsed="false">
      <c r="A1711" s="9" t="str">
        <f aca="false">Vessels!B20</f>
        <v>Vessel 16</v>
      </c>
      <c r="B1711" s="9" t="s">
        <v>42</v>
      </c>
      <c r="C1711" s="7" t="s">
        <v>67</v>
      </c>
      <c r="D1711" s="9" t="s">
        <v>45</v>
      </c>
      <c r="E1711" s="9" t="s">
        <v>46</v>
      </c>
      <c r="F1711" s="5" t="n">
        <v>60</v>
      </c>
      <c r="G1711" s="10"/>
      <c r="H1711" s="11" t="str">
        <f aca="false">IFERROR(IF($D1711="Manual Review","",IF($G1711="","",IF($D1711="Direct Expiry",$G1711,EDATE($G1711,$F1711)))),"Check Date")</f>
        <v/>
      </c>
      <c r="I1711" s="12" t="str">
        <f aca="true">IF($H1711="","",IF(ISNUMBER($H1711),$H1711-TODAY(),""))</f>
        <v/>
      </c>
      <c r="J1711" s="4" t="str">
        <f aca="true">IF($D1711="Manual Review","Manual Review",IF($G1711="","No Data",IF(NOT(ISNUMBER($H1711)),"N/A",IF($H1711&lt;TODAY(),"Overdue",IF($H1711&lt;=TODAY()+30,"Due within 1 Month",IF($H1711&lt;=TODAY()+60,"Due within 2 Months","OK"))))))</f>
        <v>No Data</v>
      </c>
      <c r="K1711" s="13"/>
    </row>
    <row r="1712" customFormat="false" ht="15" hidden="false" customHeight="false" outlineLevel="0" collapsed="false">
      <c r="A1712" s="9" t="str">
        <f aca="false">Vessels!B20</f>
        <v>Vessel 16</v>
      </c>
      <c r="B1712" s="9" t="s">
        <v>42</v>
      </c>
      <c r="C1712" s="7" t="s">
        <v>68</v>
      </c>
      <c r="D1712" s="9" t="s">
        <v>45</v>
      </c>
      <c r="E1712" s="9" t="s">
        <v>46</v>
      </c>
      <c r="F1712" s="5" t="n">
        <v>60</v>
      </c>
      <c r="G1712" s="10"/>
      <c r="H1712" s="11" t="str">
        <f aca="false">IFERROR(IF($D1712="Manual Review","",IF($G1712="","",IF($D1712="Direct Expiry",$G1712,EDATE($G1712,$F1712)))),"Check Date")</f>
        <v/>
      </c>
      <c r="I1712" s="12" t="str">
        <f aca="true">IF($H1712="","",IF(ISNUMBER($H1712),$H1712-TODAY(),""))</f>
        <v/>
      </c>
      <c r="J1712" s="4" t="str">
        <f aca="true">IF($D1712="Manual Review","Manual Review",IF($G1712="","No Data",IF(NOT(ISNUMBER($H1712)),"N/A",IF($H1712&lt;TODAY(),"Overdue",IF($H1712&lt;=TODAY()+30,"Due within 1 Month",IF($H1712&lt;=TODAY()+60,"Due within 2 Months","OK"))))))</f>
        <v>No Data</v>
      </c>
      <c r="K1712" s="13"/>
    </row>
    <row r="1713" customFormat="false" ht="15" hidden="false" customHeight="false" outlineLevel="0" collapsed="false">
      <c r="A1713" s="9" t="str">
        <f aca="false">Vessels!B20</f>
        <v>Vessel 16</v>
      </c>
      <c r="B1713" s="9" t="s">
        <v>42</v>
      </c>
      <c r="C1713" s="7" t="s">
        <v>69</v>
      </c>
      <c r="D1713" s="9" t="s">
        <v>45</v>
      </c>
      <c r="E1713" s="9" t="s">
        <v>46</v>
      </c>
      <c r="F1713" s="5" t="n">
        <v>60</v>
      </c>
      <c r="G1713" s="10"/>
      <c r="H1713" s="11" t="str">
        <f aca="false">IFERROR(IF($D1713="Manual Review","",IF($G1713="","",IF($D1713="Direct Expiry",$G1713,EDATE($G1713,$F1713)))),"Check Date")</f>
        <v/>
      </c>
      <c r="I1713" s="12" t="str">
        <f aca="true">IF($H1713="","",IF(ISNUMBER($H1713),$H1713-TODAY(),""))</f>
        <v/>
      </c>
      <c r="J1713" s="4" t="str">
        <f aca="true">IF($D1713="Manual Review","Manual Review",IF($G1713="","No Data",IF(NOT(ISNUMBER($H1713)),"N/A",IF($H1713&lt;TODAY(),"Overdue",IF($H1713&lt;=TODAY()+30,"Due within 1 Month",IF($H1713&lt;=TODAY()+60,"Due within 2 Months","OK"))))))</f>
        <v>No Data</v>
      </c>
      <c r="K1713" s="13"/>
    </row>
    <row r="1714" customFormat="false" ht="15" hidden="false" customHeight="false" outlineLevel="0" collapsed="false">
      <c r="A1714" s="9" t="str">
        <f aca="false">Vessels!B20</f>
        <v>Vessel 16</v>
      </c>
      <c r="B1714" s="9" t="s">
        <v>42</v>
      </c>
      <c r="C1714" s="7" t="s">
        <v>70</v>
      </c>
      <c r="D1714" s="9" t="s">
        <v>59</v>
      </c>
      <c r="E1714" s="9" t="s">
        <v>58</v>
      </c>
      <c r="F1714" s="5"/>
      <c r="G1714" s="10"/>
      <c r="H1714" s="11" t="str">
        <f aca="false">IFERROR(IF($D1714="Manual Review","",IF($G1714="","",IF($D1714="Direct Expiry",$G1714,EDATE($G1714,$F1714)))),"Check Date")</f>
        <v/>
      </c>
      <c r="I1714" s="12" t="str">
        <f aca="true">IF($H1714="","",IF(ISNUMBER($H1714),$H1714-TODAY(),""))</f>
        <v/>
      </c>
      <c r="J1714" s="4" t="str">
        <f aca="true">IF($D1714="Manual Review","Manual Review",IF($G1714="","No Data",IF(NOT(ISNUMBER($H1714)),"N/A",IF($H1714&lt;TODAY(),"Overdue",IF($H1714&lt;=TODAY()+30,"Due within 1 Month",IF($H1714&lt;=TODAY()+60,"Due within 2 Months","OK"))))))</f>
        <v>No Data</v>
      </c>
      <c r="K1714" s="13"/>
    </row>
    <row r="1715" customFormat="false" ht="15" hidden="false" customHeight="false" outlineLevel="0" collapsed="false">
      <c r="A1715" s="9" t="str">
        <f aca="false">Vessels!B20</f>
        <v>Vessel 16</v>
      </c>
      <c r="B1715" s="9" t="s">
        <v>42</v>
      </c>
      <c r="C1715" s="7" t="s">
        <v>71</v>
      </c>
      <c r="D1715" s="9" t="s">
        <v>45</v>
      </c>
      <c r="E1715" s="9" t="s">
        <v>44</v>
      </c>
      <c r="F1715" s="5" t="n">
        <v>12</v>
      </c>
      <c r="G1715" s="10"/>
      <c r="H1715" s="11" t="str">
        <f aca="false">IFERROR(IF($D1715="Manual Review","",IF($G1715="","",IF($D1715="Direct Expiry",$G1715,EDATE($G1715,$F1715)))),"Check Date")</f>
        <v/>
      </c>
      <c r="I1715" s="12" t="str">
        <f aca="true">IF($H1715="","",IF(ISNUMBER($H1715),$H1715-TODAY(),""))</f>
        <v/>
      </c>
      <c r="J1715" s="4" t="str">
        <f aca="true">IF($D1715="Manual Review","Manual Review",IF($G1715="","No Data",IF(NOT(ISNUMBER($H1715)),"N/A",IF($H1715&lt;TODAY(),"Overdue",IF($H1715&lt;=TODAY()+30,"Due within 1 Month",IF($H1715&lt;=TODAY()+60,"Due within 2 Months","OK"))))))</f>
        <v>No Data</v>
      </c>
      <c r="K1715" s="13"/>
    </row>
    <row r="1716" customFormat="false" ht="15" hidden="false" customHeight="false" outlineLevel="0" collapsed="false">
      <c r="A1716" s="9" t="str">
        <f aca="false">Vessels!B20</f>
        <v>Vessel 16</v>
      </c>
      <c r="B1716" s="9" t="s">
        <v>42</v>
      </c>
      <c r="C1716" s="7" t="s">
        <v>72</v>
      </c>
      <c r="D1716" s="9" t="s">
        <v>59</v>
      </c>
      <c r="E1716" s="9" t="s">
        <v>58</v>
      </c>
      <c r="F1716" s="5"/>
      <c r="G1716" s="10"/>
      <c r="H1716" s="11" t="str">
        <f aca="false">IFERROR(IF($D1716="Manual Review","",IF($G1716="","",IF($D1716="Direct Expiry",$G1716,EDATE($G1716,$F1716)))),"Check Date")</f>
        <v/>
      </c>
      <c r="I1716" s="12" t="str">
        <f aca="true">IF($H1716="","",IF(ISNUMBER($H1716),$H1716-TODAY(),""))</f>
        <v/>
      </c>
      <c r="J1716" s="4" t="str">
        <f aca="true">IF($D1716="Manual Review","Manual Review",IF($G1716="","No Data",IF(NOT(ISNUMBER($H1716)),"N/A",IF($H1716&lt;TODAY(),"Overdue",IF($H1716&lt;=TODAY()+30,"Due within 1 Month",IF($H1716&lt;=TODAY()+60,"Due within 2 Months","OK"))))))</f>
        <v>No Data</v>
      </c>
      <c r="K1716" s="13"/>
    </row>
    <row r="1717" customFormat="false" ht="15" hidden="false" customHeight="false" outlineLevel="0" collapsed="false">
      <c r="A1717" s="9" t="str">
        <f aca="false">Vessels!B20</f>
        <v>Vessel 16</v>
      </c>
      <c r="B1717" s="9" t="s">
        <v>42</v>
      </c>
      <c r="C1717" s="7" t="s">
        <v>73</v>
      </c>
      <c r="D1717" s="9" t="s">
        <v>45</v>
      </c>
      <c r="E1717" s="9" t="s">
        <v>44</v>
      </c>
      <c r="F1717" s="5" t="n">
        <v>12</v>
      </c>
      <c r="G1717" s="10"/>
      <c r="H1717" s="11" t="str">
        <f aca="false">IFERROR(IF($D1717="Manual Review","",IF($G1717="","",IF($D1717="Direct Expiry",$G1717,EDATE($G1717,$F1717)))),"Check Date")</f>
        <v/>
      </c>
      <c r="I1717" s="12" t="str">
        <f aca="true">IF($H1717="","",IF(ISNUMBER($H1717),$H1717-TODAY(),""))</f>
        <v/>
      </c>
      <c r="J1717" s="4" t="str">
        <f aca="true">IF($D1717="Manual Review","Manual Review",IF($G1717="","No Data",IF(NOT(ISNUMBER($H1717)),"N/A",IF($H1717&lt;TODAY(),"Overdue",IF($H1717&lt;=TODAY()+30,"Due within 1 Month",IF($H1717&lt;=TODAY()+60,"Due within 2 Months","OK"))))))</f>
        <v>No Data</v>
      </c>
      <c r="K1717" s="13"/>
    </row>
    <row r="1718" customFormat="false" ht="15" hidden="false" customHeight="false" outlineLevel="0" collapsed="false">
      <c r="A1718" s="9" t="str">
        <f aca="false">Vessels!B20</f>
        <v>Vessel 16</v>
      </c>
      <c r="B1718" s="9" t="s">
        <v>42</v>
      </c>
      <c r="C1718" s="7" t="s">
        <v>74</v>
      </c>
      <c r="D1718" s="9" t="s">
        <v>59</v>
      </c>
      <c r="E1718" s="9" t="s">
        <v>58</v>
      </c>
      <c r="F1718" s="5"/>
      <c r="G1718" s="10"/>
      <c r="H1718" s="11" t="str">
        <f aca="false">IFERROR(IF($D1718="Manual Review","",IF($G1718="","",IF($D1718="Direct Expiry",$G1718,EDATE($G1718,$F1718)))),"Check Date")</f>
        <v/>
      </c>
      <c r="I1718" s="12" t="str">
        <f aca="true">IF($H1718="","",IF(ISNUMBER($H1718),$H1718-TODAY(),""))</f>
        <v/>
      </c>
      <c r="J1718" s="4" t="str">
        <f aca="true">IF($D1718="Manual Review","Manual Review",IF($G1718="","No Data",IF(NOT(ISNUMBER($H1718)),"N/A",IF($H1718&lt;TODAY(),"Overdue",IF($H1718&lt;=TODAY()+30,"Due within 1 Month",IF($H1718&lt;=TODAY()+60,"Due within 2 Months","OK"))))))</f>
        <v>No Data</v>
      </c>
      <c r="K1718" s="13"/>
    </row>
    <row r="1719" customFormat="false" ht="15" hidden="false" customHeight="false" outlineLevel="0" collapsed="false">
      <c r="A1719" s="9" t="str">
        <f aca="false">Vessels!B20</f>
        <v>Vessel 16</v>
      </c>
      <c r="B1719" s="9" t="s">
        <v>42</v>
      </c>
      <c r="C1719" s="7" t="s">
        <v>75</v>
      </c>
      <c r="D1719" s="9" t="s">
        <v>45</v>
      </c>
      <c r="E1719" s="9" t="s">
        <v>44</v>
      </c>
      <c r="F1719" s="5" t="n">
        <v>12</v>
      </c>
      <c r="G1719" s="10"/>
      <c r="H1719" s="11" t="str">
        <f aca="false">IFERROR(IF($D1719="Manual Review","",IF($G1719="","",IF($D1719="Direct Expiry",$G1719,EDATE($G1719,$F1719)))),"Check Date")</f>
        <v/>
      </c>
      <c r="I1719" s="12" t="str">
        <f aca="true">IF($H1719="","",IF(ISNUMBER($H1719),$H1719-TODAY(),""))</f>
        <v/>
      </c>
      <c r="J1719" s="4" t="str">
        <f aca="true">IF($D1719="Manual Review","Manual Review",IF($G1719="","No Data",IF(NOT(ISNUMBER($H1719)),"N/A",IF($H1719&lt;TODAY(),"Overdue",IF($H1719&lt;=TODAY()+30,"Due within 1 Month",IF($H1719&lt;=TODAY()+60,"Due within 2 Months","OK"))))))</f>
        <v>No Data</v>
      </c>
      <c r="K1719" s="13"/>
    </row>
    <row r="1720" customFormat="false" ht="15" hidden="false" customHeight="false" outlineLevel="0" collapsed="false">
      <c r="A1720" s="9" t="str">
        <f aca="false">Vessels!B20</f>
        <v>Vessel 16</v>
      </c>
      <c r="B1720" s="9" t="s">
        <v>42</v>
      </c>
      <c r="C1720" s="7" t="s">
        <v>76</v>
      </c>
      <c r="D1720" s="9" t="s">
        <v>59</v>
      </c>
      <c r="E1720" s="9" t="s">
        <v>58</v>
      </c>
      <c r="F1720" s="5"/>
      <c r="G1720" s="10"/>
      <c r="H1720" s="11" t="str">
        <f aca="false">IFERROR(IF($D1720="Manual Review","",IF($G1720="","",IF($D1720="Direct Expiry",$G1720,EDATE($G1720,$F1720)))),"Check Date")</f>
        <v/>
      </c>
      <c r="I1720" s="12" t="str">
        <f aca="true">IF($H1720="","",IF(ISNUMBER($H1720),$H1720-TODAY(),""))</f>
        <v/>
      </c>
      <c r="J1720" s="4" t="str">
        <f aca="true">IF($D1720="Manual Review","Manual Review",IF($G1720="","No Data",IF(NOT(ISNUMBER($H1720)),"N/A",IF($H1720&lt;TODAY(),"Overdue",IF($H1720&lt;=TODAY()+30,"Due within 1 Month",IF($H1720&lt;=TODAY()+60,"Due within 2 Months","OK"))))))</f>
        <v>No Data</v>
      </c>
      <c r="K1720" s="13"/>
    </row>
    <row r="1721" customFormat="false" ht="15" hidden="false" customHeight="false" outlineLevel="0" collapsed="false">
      <c r="A1721" s="9" t="str">
        <f aca="false">Vessels!B20</f>
        <v>Vessel 16</v>
      </c>
      <c r="B1721" s="9" t="s">
        <v>42</v>
      </c>
      <c r="C1721" s="7" t="s">
        <v>77</v>
      </c>
      <c r="D1721" s="9" t="s">
        <v>59</v>
      </c>
      <c r="E1721" s="9" t="s">
        <v>58</v>
      </c>
      <c r="F1721" s="5"/>
      <c r="G1721" s="10"/>
      <c r="H1721" s="11" t="str">
        <f aca="false">IFERROR(IF($D1721="Manual Review","",IF($G1721="","",IF($D1721="Direct Expiry",$G1721,EDATE($G1721,$F1721)))),"Check Date")</f>
        <v/>
      </c>
      <c r="I1721" s="12" t="str">
        <f aca="true">IF($H1721="","",IF(ISNUMBER($H1721),$H1721-TODAY(),""))</f>
        <v/>
      </c>
      <c r="J1721" s="4" t="str">
        <f aca="true">IF($D1721="Manual Review","Manual Review",IF($G1721="","No Data",IF(NOT(ISNUMBER($H1721)),"N/A",IF($H1721&lt;TODAY(),"Overdue",IF($H1721&lt;=TODAY()+30,"Due within 1 Month",IF($H1721&lt;=TODAY()+60,"Due within 2 Months","OK"))))))</f>
        <v>No Data</v>
      </c>
      <c r="K1721" s="13"/>
    </row>
    <row r="1722" customFormat="false" ht="15" hidden="false" customHeight="false" outlineLevel="0" collapsed="false">
      <c r="A1722" s="9" t="str">
        <f aca="false">Vessels!B20</f>
        <v>Vessel 16</v>
      </c>
      <c r="B1722" s="9" t="s">
        <v>42</v>
      </c>
      <c r="C1722" s="7" t="s">
        <v>78</v>
      </c>
      <c r="D1722" s="9" t="s">
        <v>59</v>
      </c>
      <c r="E1722" s="9" t="s">
        <v>58</v>
      </c>
      <c r="F1722" s="5"/>
      <c r="G1722" s="10"/>
      <c r="H1722" s="11" t="str">
        <f aca="false">IFERROR(IF($D1722="Manual Review","",IF($G1722="","",IF($D1722="Direct Expiry",$G1722,EDATE($G1722,$F1722)))),"Check Date")</f>
        <v/>
      </c>
      <c r="I1722" s="12" t="str">
        <f aca="true">IF($H1722="","",IF(ISNUMBER($H1722),$H1722-TODAY(),""))</f>
        <v/>
      </c>
      <c r="J1722" s="4" t="str">
        <f aca="true">IF($D1722="Manual Review","Manual Review",IF($G1722="","No Data",IF(NOT(ISNUMBER($H1722)),"N/A",IF($H1722&lt;TODAY(),"Overdue",IF($H1722&lt;=TODAY()+30,"Due within 1 Month",IF($H1722&lt;=TODAY()+60,"Due within 2 Months","OK"))))))</f>
        <v>No Data</v>
      </c>
      <c r="K1722" s="13"/>
    </row>
    <row r="1723" customFormat="false" ht="15" hidden="false" customHeight="false" outlineLevel="0" collapsed="false">
      <c r="A1723" s="9" t="str">
        <f aca="false">Vessels!B20</f>
        <v>Vessel 16</v>
      </c>
      <c r="B1723" s="9" t="s">
        <v>42</v>
      </c>
      <c r="C1723" s="7" t="s">
        <v>79</v>
      </c>
      <c r="D1723" s="9" t="s">
        <v>45</v>
      </c>
      <c r="E1723" s="9" t="s">
        <v>44</v>
      </c>
      <c r="F1723" s="5" t="n">
        <v>12</v>
      </c>
      <c r="G1723" s="10"/>
      <c r="H1723" s="11" t="str">
        <f aca="false">IFERROR(IF($D1723="Manual Review","",IF($G1723="","",IF($D1723="Direct Expiry",$G1723,EDATE($G1723,$F1723)))),"Check Date")</f>
        <v/>
      </c>
      <c r="I1723" s="12" t="str">
        <f aca="true">IF($H1723="","",IF(ISNUMBER($H1723),$H1723-TODAY(),""))</f>
        <v/>
      </c>
      <c r="J1723" s="4" t="str">
        <f aca="true">IF($D1723="Manual Review","Manual Review",IF($G1723="","No Data",IF(NOT(ISNUMBER($H1723)),"N/A",IF($H1723&lt;TODAY(),"Overdue",IF($H1723&lt;=TODAY()+30,"Due within 1 Month",IF($H1723&lt;=TODAY()+60,"Due within 2 Months","OK"))))))</f>
        <v>No Data</v>
      </c>
      <c r="K1723" s="13"/>
    </row>
    <row r="1724" customFormat="false" ht="15" hidden="false" customHeight="false" outlineLevel="0" collapsed="false">
      <c r="A1724" s="9" t="str">
        <f aca="false">Vessels!B20</f>
        <v>Vessel 16</v>
      </c>
      <c r="B1724" s="9" t="s">
        <v>42</v>
      </c>
      <c r="C1724" s="7" t="s">
        <v>80</v>
      </c>
      <c r="D1724" s="9" t="s">
        <v>45</v>
      </c>
      <c r="E1724" s="9" t="s">
        <v>81</v>
      </c>
      <c r="F1724" s="5" t="n">
        <v>36</v>
      </c>
      <c r="G1724" s="10"/>
      <c r="H1724" s="11" t="str">
        <f aca="false">IFERROR(IF($D1724="Manual Review","",IF($G1724="","",IF($D1724="Direct Expiry",$G1724,EDATE($G1724,$F1724)))),"Check Date")</f>
        <v/>
      </c>
      <c r="I1724" s="12" t="str">
        <f aca="true">IF($H1724="","",IF(ISNUMBER($H1724),$H1724-TODAY(),""))</f>
        <v/>
      </c>
      <c r="J1724" s="4" t="str">
        <f aca="true">IF($D1724="Manual Review","Manual Review",IF($G1724="","No Data",IF(NOT(ISNUMBER($H1724)),"N/A",IF($H1724&lt;TODAY(),"Overdue",IF($H1724&lt;=TODAY()+30,"Due within 1 Month",IF($H1724&lt;=TODAY()+60,"Due within 2 Months","OK"))))))</f>
        <v>No Data</v>
      </c>
      <c r="K1724" s="13"/>
    </row>
    <row r="1725" customFormat="false" ht="15" hidden="false" customHeight="false" outlineLevel="0" collapsed="false">
      <c r="A1725" s="9" t="str">
        <f aca="false">Vessels!B20</f>
        <v>Vessel 16</v>
      </c>
      <c r="B1725" s="9" t="s">
        <v>42</v>
      </c>
      <c r="C1725" s="7" t="s">
        <v>80</v>
      </c>
      <c r="D1725" s="9" t="s">
        <v>45</v>
      </c>
      <c r="E1725" s="9" t="s">
        <v>82</v>
      </c>
      <c r="F1725" s="5" t="n">
        <v>24</v>
      </c>
      <c r="G1725" s="10"/>
      <c r="H1725" s="11" t="str">
        <f aca="false">IFERROR(IF($D1725="Manual Review","",IF($G1725="","",IF($D1725="Direct Expiry",$G1725,EDATE($G1725,$F1725)))),"Check Date")</f>
        <v/>
      </c>
      <c r="I1725" s="12" t="str">
        <f aca="true">IF($H1725="","",IF(ISNUMBER($H1725),$H1725-TODAY(),""))</f>
        <v/>
      </c>
      <c r="J1725" s="4" t="str">
        <f aca="true">IF($D1725="Manual Review","Manual Review",IF($G1725="","No Data",IF(NOT(ISNUMBER($H1725)),"N/A",IF($H1725&lt;TODAY(),"Overdue",IF($H1725&lt;=TODAY()+30,"Due within 1 Month",IF($H1725&lt;=TODAY()+60,"Due within 2 Months","OK"))))))</f>
        <v>No Data</v>
      </c>
      <c r="K1725" s="13"/>
    </row>
    <row r="1726" customFormat="false" ht="15" hidden="false" customHeight="false" outlineLevel="0" collapsed="false">
      <c r="A1726" s="9" t="str">
        <f aca="false">Vessels!B20</f>
        <v>Vessel 16</v>
      </c>
      <c r="B1726" s="9" t="s">
        <v>42</v>
      </c>
      <c r="C1726" s="7" t="s">
        <v>83</v>
      </c>
      <c r="D1726" s="9" t="s">
        <v>45</v>
      </c>
      <c r="E1726" s="9" t="s">
        <v>44</v>
      </c>
      <c r="F1726" s="5" t="n">
        <v>12</v>
      </c>
      <c r="G1726" s="10"/>
      <c r="H1726" s="11" t="str">
        <f aca="false">IFERROR(IF($D1726="Manual Review","",IF($G1726="","",IF($D1726="Direct Expiry",$G1726,EDATE($G1726,$F1726)))),"Check Date")</f>
        <v/>
      </c>
      <c r="I1726" s="12" t="str">
        <f aca="true">IF($H1726="","",IF(ISNUMBER($H1726),$H1726-TODAY(),""))</f>
        <v/>
      </c>
      <c r="J1726" s="4" t="str">
        <f aca="true">IF($D1726="Manual Review","Manual Review",IF($G1726="","No Data",IF(NOT(ISNUMBER($H1726)),"N/A",IF($H1726&lt;TODAY(),"Overdue",IF($H1726&lt;=TODAY()+30,"Due within 1 Month",IF($H1726&lt;=TODAY()+60,"Due within 2 Months","OK"))))))</f>
        <v>No Data</v>
      </c>
      <c r="K1726" s="13"/>
    </row>
    <row r="1727" customFormat="false" ht="15" hidden="false" customHeight="false" outlineLevel="0" collapsed="false">
      <c r="A1727" s="9" t="str">
        <f aca="false">Vessels!B20</f>
        <v>Vessel 16</v>
      </c>
      <c r="B1727" s="9" t="s">
        <v>42</v>
      </c>
      <c r="C1727" s="7" t="s">
        <v>83</v>
      </c>
      <c r="D1727" s="9" t="s">
        <v>45</v>
      </c>
      <c r="E1727" s="9" t="s">
        <v>84</v>
      </c>
      <c r="F1727" s="5" t="n">
        <v>60</v>
      </c>
      <c r="G1727" s="10"/>
      <c r="H1727" s="11" t="str">
        <f aca="false">IFERROR(IF($D1727="Manual Review","",IF($G1727="","",IF($D1727="Direct Expiry",$G1727,EDATE($G1727,$F1727)))),"Check Date")</f>
        <v/>
      </c>
      <c r="I1727" s="12" t="str">
        <f aca="true">IF($H1727="","",IF(ISNUMBER($H1727),$H1727-TODAY(),""))</f>
        <v/>
      </c>
      <c r="J1727" s="4" t="str">
        <f aca="true">IF($D1727="Manual Review","Manual Review",IF($G1727="","No Data",IF(NOT(ISNUMBER($H1727)),"N/A",IF($H1727&lt;TODAY(),"Overdue",IF($H1727&lt;=TODAY()+30,"Due within 1 Month",IF($H1727&lt;=TODAY()+60,"Due within 2 Months","OK"))))))</f>
        <v>No Data</v>
      </c>
      <c r="K1727" s="13"/>
    </row>
    <row r="1728" customFormat="false" ht="15" hidden="false" customHeight="false" outlineLevel="0" collapsed="false">
      <c r="A1728" s="9" t="str">
        <f aca="false">Vessels!B20</f>
        <v>Vessel 16</v>
      </c>
      <c r="B1728" s="9" t="s">
        <v>42</v>
      </c>
      <c r="C1728" s="7" t="s">
        <v>85</v>
      </c>
      <c r="D1728" s="9" t="s">
        <v>45</v>
      </c>
      <c r="E1728" s="9" t="s">
        <v>44</v>
      </c>
      <c r="F1728" s="5" t="n">
        <v>12</v>
      </c>
      <c r="G1728" s="10"/>
      <c r="H1728" s="11" t="str">
        <f aca="false">IFERROR(IF($D1728="Manual Review","",IF($G1728="","",IF($D1728="Direct Expiry",$G1728,EDATE($G1728,$F1728)))),"Check Date")</f>
        <v/>
      </c>
      <c r="I1728" s="12" t="str">
        <f aca="true">IF($H1728="","",IF(ISNUMBER($H1728),$H1728-TODAY(),""))</f>
        <v/>
      </c>
      <c r="J1728" s="4" t="str">
        <f aca="true">IF($D1728="Manual Review","Manual Review",IF($G1728="","No Data",IF(NOT(ISNUMBER($H1728)),"N/A",IF($H1728&lt;TODAY(),"Overdue",IF($H1728&lt;=TODAY()+30,"Due within 1 Month",IF($H1728&lt;=TODAY()+60,"Due within 2 Months","OK"))))))</f>
        <v>No Data</v>
      </c>
      <c r="K1728" s="13"/>
    </row>
    <row r="1729" customFormat="false" ht="15" hidden="false" customHeight="false" outlineLevel="0" collapsed="false">
      <c r="A1729" s="9" t="str">
        <f aca="false">Vessels!B20</f>
        <v>Vessel 16</v>
      </c>
      <c r="B1729" s="9" t="s">
        <v>42</v>
      </c>
      <c r="C1729" s="7" t="s">
        <v>85</v>
      </c>
      <c r="D1729" s="9" t="s">
        <v>45</v>
      </c>
      <c r="E1729" s="9" t="s">
        <v>84</v>
      </c>
      <c r="F1729" s="5" t="n">
        <v>60</v>
      </c>
      <c r="G1729" s="10"/>
      <c r="H1729" s="11" t="str">
        <f aca="false">IFERROR(IF($D1729="Manual Review","",IF($G1729="","",IF($D1729="Direct Expiry",$G1729,EDATE($G1729,$F1729)))),"Check Date")</f>
        <v/>
      </c>
      <c r="I1729" s="12" t="str">
        <f aca="true">IF($H1729="","",IF(ISNUMBER($H1729),$H1729-TODAY(),""))</f>
        <v/>
      </c>
      <c r="J1729" s="4" t="str">
        <f aca="true">IF($D1729="Manual Review","Manual Review",IF($G1729="","No Data",IF(NOT(ISNUMBER($H1729)),"N/A",IF($H1729&lt;TODAY(),"Overdue",IF($H1729&lt;=TODAY()+30,"Due within 1 Month",IF($H1729&lt;=TODAY()+60,"Due within 2 Months","OK"))))))</f>
        <v>No Data</v>
      </c>
      <c r="K1729" s="13"/>
    </row>
    <row r="1730" customFormat="false" ht="15" hidden="false" customHeight="false" outlineLevel="0" collapsed="false">
      <c r="A1730" s="9" t="str">
        <f aca="false">Vessels!B20</f>
        <v>Vessel 16</v>
      </c>
      <c r="B1730" s="9" t="s">
        <v>42</v>
      </c>
      <c r="C1730" s="7" t="s">
        <v>86</v>
      </c>
      <c r="D1730" s="9" t="s">
        <v>45</v>
      </c>
      <c r="E1730" s="9" t="s">
        <v>44</v>
      </c>
      <c r="F1730" s="5" t="n">
        <v>12</v>
      </c>
      <c r="G1730" s="10"/>
      <c r="H1730" s="11" t="str">
        <f aca="false">IFERROR(IF($D1730="Manual Review","",IF($G1730="","",IF($D1730="Direct Expiry",$G1730,EDATE($G1730,$F1730)))),"Check Date")</f>
        <v/>
      </c>
      <c r="I1730" s="12" t="str">
        <f aca="true">IF($H1730="","",IF(ISNUMBER($H1730),$H1730-TODAY(),""))</f>
        <v/>
      </c>
      <c r="J1730" s="4" t="str">
        <f aca="true">IF($D1730="Manual Review","Manual Review",IF($G1730="","No Data",IF(NOT(ISNUMBER($H1730)),"N/A",IF($H1730&lt;TODAY(),"Overdue",IF($H1730&lt;=TODAY()+30,"Due within 1 Month",IF($H1730&lt;=TODAY()+60,"Due within 2 Months","OK"))))))</f>
        <v>No Data</v>
      </c>
      <c r="K1730" s="13"/>
    </row>
    <row r="1731" customFormat="false" ht="15" hidden="false" customHeight="false" outlineLevel="0" collapsed="false">
      <c r="A1731" s="9" t="str">
        <f aca="false">Vessels!B20</f>
        <v>Vessel 16</v>
      </c>
      <c r="B1731" s="9" t="s">
        <v>42</v>
      </c>
      <c r="C1731" s="7" t="s">
        <v>87</v>
      </c>
      <c r="D1731" s="9" t="s">
        <v>45</v>
      </c>
      <c r="E1731" s="9" t="s">
        <v>44</v>
      </c>
      <c r="F1731" s="5" t="n">
        <v>12</v>
      </c>
      <c r="G1731" s="10"/>
      <c r="H1731" s="11" t="str">
        <f aca="false">IFERROR(IF($D1731="Manual Review","",IF($G1731="","",IF($D1731="Direct Expiry",$G1731,EDATE($G1731,$F1731)))),"Check Date")</f>
        <v/>
      </c>
      <c r="I1731" s="12" t="str">
        <f aca="true">IF($H1731="","",IF(ISNUMBER($H1731),$H1731-TODAY(),""))</f>
        <v/>
      </c>
      <c r="J1731" s="4" t="str">
        <f aca="true">IF($D1731="Manual Review","Manual Review",IF($G1731="","No Data",IF(NOT(ISNUMBER($H1731)),"N/A",IF($H1731&lt;TODAY(),"Overdue",IF($H1731&lt;=TODAY()+30,"Due within 1 Month",IF($H1731&lt;=TODAY()+60,"Due within 2 Months","OK"))))))</f>
        <v>No Data</v>
      </c>
      <c r="K1731" s="13"/>
    </row>
    <row r="1732" customFormat="false" ht="15" hidden="false" customHeight="false" outlineLevel="0" collapsed="false">
      <c r="A1732" s="9" t="str">
        <f aca="false">Vessels!B20</f>
        <v>Vessel 16</v>
      </c>
      <c r="B1732" s="9" t="s">
        <v>88</v>
      </c>
      <c r="C1732" s="7" t="s">
        <v>89</v>
      </c>
      <c r="D1732" s="9" t="s">
        <v>45</v>
      </c>
      <c r="E1732" s="9" t="s">
        <v>90</v>
      </c>
      <c r="F1732" s="5" t="n">
        <v>36</v>
      </c>
      <c r="G1732" s="10"/>
      <c r="H1732" s="11" t="str">
        <f aca="false">IFERROR(IF($D1732="Manual Review","",IF($G1732="","",IF($D1732="Direct Expiry",$G1732,EDATE($G1732,$F1732)))),"Check Date")</f>
        <v/>
      </c>
      <c r="I1732" s="12" t="str">
        <f aca="true">IF($H1732="","",IF(ISNUMBER($H1732),$H1732-TODAY(),""))</f>
        <v/>
      </c>
      <c r="J1732" s="4" t="str">
        <f aca="true">IF($D1732="Manual Review","Manual Review",IF($G1732="","No Data",IF(NOT(ISNUMBER($H1732)),"N/A",IF($H1732&lt;TODAY(),"Overdue",IF($H1732&lt;=TODAY()+30,"Due within 1 Month",IF($H1732&lt;=TODAY()+60,"Due within 2 Months","OK"))))))</f>
        <v>No Data</v>
      </c>
      <c r="K1732" s="13"/>
    </row>
    <row r="1733" customFormat="false" ht="15" hidden="false" customHeight="false" outlineLevel="0" collapsed="false">
      <c r="A1733" s="9" t="str">
        <f aca="false">Vessels!B20</f>
        <v>Vessel 16</v>
      </c>
      <c r="B1733" s="9" t="s">
        <v>88</v>
      </c>
      <c r="C1733" s="7" t="s">
        <v>91</v>
      </c>
      <c r="D1733" s="9" t="s">
        <v>45</v>
      </c>
      <c r="E1733" s="9" t="s">
        <v>44</v>
      </c>
      <c r="F1733" s="5" t="n">
        <v>12</v>
      </c>
      <c r="G1733" s="10"/>
      <c r="H1733" s="11" t="str">
        <f aca="false">IFERROR(IF($D1733="Manual Review","",IF($G1733="","",IF($D1733="Direct Expiry",$G1733,EDATE($G1733,$F1733)))),"Check Date")</f>
        <v/>
      </c>
      <c r="I1733" s="12" t="str">
        <f aca="true">IF($H1733="","",IF(ISNUMBER($H1733),$H1733-TODAY(),""))</f>
        <v/>
      </c>
      <c r="J1733" s="4" t="str">
        <f aca="true">IF($D1733="Manual Review","Manual Review",IF($G1733="","No Data",IF(NOT(ISNUMBER($H1733)),"N/A",IF($H1733&lt;TODAY(),"Overdue",IF($H1733&lt;=TODAY()+30,"Due within 1 Month",IF($H1733&lt;=TODAY()+60,"Due within 2 Months","OK"))))))</f>
        <v>No Data</v>
      </c>
      <c r="K1733" s="13"/>
    </row>
    <row r="1734" customFormat="false" ht="15" hidden="false" customHeight="false" outlineLevel="0" collapsed="false">
      <c r="A1734" s="9" t="str">
        <f aca="false">Vessels!B20</f>
        <v>Vessel 16</v>
      </c>
      <c r="B1734" s="9" t="s">
        <v>88</v>
      </c>
      <c r="C1734" s="7" t="s">
        <v>91</v>
      </c>
      <c r="D1734" s="9" t="s">
        <v>45</v>
      </c>
      <c r="E1734" s="9" t="s">
        <v>92</v>
      </c>
      <c r="F1734" s="5" t="n">
        <v>120</v>
      </c>
      <c r="G1734" s="10"/>
      <c r="H1734" s="11" t="str">
        <f aca="false">IFERROR(IF($D1734="Manual Review","",IF($G1734="","",IF($D1734="Direct Expiry",$G1734,EDATE($G1734,$F1734)))),"Check Date")</f>
        <v/>
      </c>
      <c r="I1734" s="12" t="str">
        <f aca="true">IF($H1734="","",IF(ISNUMBER($H1734),$H1734-TODAY(),""))</f>
        <v/>
      </c>
      <c r="J1734" s="4" t="str">
        <f aca="true">IF($D1734="Manual Review","Manual Review",IF($G1734="","No Data",IF(NOT(ISNUMBER($H1734)),"N/A",IF($H1734&lt;TODAY(),"Overdue",IF($H1734&lt;=TODAY()+30,"Due within 1 Month",IF($H1734&lt;=TODAY()+60,"Due within 2 Months","OK"))))))</f>
        <v>No Data</v>
      </c>
      <c r="K1734" s="13"/>
    </row>
    <row r="1735" customFormat="false" ht="15" hidden="false" customHeight="false" outlineLevel="0" collapsed="false">
      <c r="A1735" s="9" t="str">
        <f aca="false">Vessels!B20</f>
        <v>Vessel 16</v>
      </c>
      <c r="B1735" s="9" t="s">
        <v>88</v>
      </c>
      <c r="C1735" s="7" t="s">
        <v>93</v>
      </c>
      <c r="D1735" s="9" t="s">
        <v>45</v>
      </c>
      <c r="E1735" s="9" t="s">
        <v>44</v>
      </c>
      <c r="F1735" s="5" t="n">
        <v>12</v>
      </c>
      <c r="G1735" s="10"/>
      <c r="H1735" s="11" t="str">
        <f aca="false">IFERROR(IF($D1735="Manual Review","",IF($G1735="","",IF($D1735="Direct Expiry",$G1735,EDATE($G1735,$F1735)))),"Check Date")</f>
        <v/>
      </c>
      <c r="I1735" s="12" t="str">
        <f aca="true">IF($H1735="","",IF(ISNUMBER($H1735),$H1735-TODAY(),""))</f>
        <v/>
      </c>
      <c r="J1735" s="4" t="str">
        <f aca="true">IF($D1735="Manual Review","Manual Review",IF($G1735="","No Data",IF(NOT(ISNUMBER($H1735)),"N/A",IF($H1735&lt;TODAY(),"Overdue",IF($H1735&lt;=TODAY()+30,"Due within 1 Month",IF($H1735&lt;=TODAY()+60,"Due within 2 Months","OK"))))))</f>
        <v>No Data</v>
      </c>
      <c r="K1735" s="13"/>
    </row>
    <row r="1736" customFormat="false" ht="15" hidden="false" customHeight="false" outlineLevel="0" collapsed="false">
      <c r="A1736" s="9" t="str">
        <f aca="false">Vessels!B20</f>
        <v>Vessel 16</v>
      </c>
      <c r="B1736" s="9" t="s">
        <v>88</v>
      </c>
      <c r="C1736" s="7" t="s">
        <v>93</v>
      </c>
      <c r="D1736" s="9" t="s">
        <v>45</v>
      </c>
      <c r="E1736" s="9" t="s">
        <v>92</v>
      </c>
      <c r="F1736" s="5" t="n">
        <v>120</v>
      </c>
      <c r="G1736" s="10"/>
      <c r="H1736" s="11" t="str">
        <f aca="false">IFERROR(IF($D1736="Manual Review","",IF($G1736="","",IF($D1736="Direct Expiry",$G1736,EDATE($G1736,$F1736)))),"Check Date")</f>
        <v/>
      </c>
      <c r="I1736" s="12" t="str">
        <f aca="true">IF($H1736="","",IF(ISNUMBER($H1736),$H1736-TODAY(),""))</f>
        <v/>
      </c>
      <c r="J1736" s="4" t="str">
        <f aca="true">IF($D1736="Manual Review","Manual Review",IF($G1736="","No Data",IF(NOT(ISNUMBER($H1736)),"N/A",IF($H1736&lt;TODAY(),"Overdue",IF($H1736&lt;=TODAY()+30,"Due within 1 Month",IF($H1736&lt;=TODAY()+60,"Due within 2 Months","OK"))))))</f>
        <v>No Data</v>
      </c>
      <c r="K1736" s="13"/>
    </row>
    <row r="1737" customFormat="false" ht="15" hidden="false" customHeight="false" outlineLevel="0" collapsed="false">
      <c r="A1737" s="9" t="str">
        <f aca="false">Vessels!B20</f>
        <v>Vessel 16</v>
      </c>
      <c r="B1737" s="9" t="s">
        <v>88</v>
      </c>
      <c r="C1737" s="7" t="s">
        <v>94</v>
      </c>
      <c r="D1737" s="9" t="s">
        <v>45</v>
      </c>
      <c r="E1737" s="9" t="s">
        <v>44</v>
      </c>
      <c r="F1737" s="5" t="n">
        <v>12</v>
      </c>
      <c r="G1737" s="10"/>
      <c r="H1737" s="11" t="str">
        <f aca="false">IFERROR(IF($D1737="Manual Review","",IF($G1737="","",IF($D1737="Direct Expiry",$G1737,EDATE($G1737,$F1737)))),"Check Date")</f>
        <v/>
      </c>
      <c r="I1737" s="12" t="str">
        <f aca="true">IF($H1737="","",IF(ISNUMBER($H1737),$H1737-TODAY(),""))</f>
        <v/>
      </c>
      <c r="J1737" s="4" t="str">
        <f aca="true">IF($D1737="Manual Review","Manual Review",IF($G1737="","No Data",IF(NOT(ISNUMBER($H1737)),"N/A",IF($H1737&lt;TODAY(),"Overdue",IF($H1737&lt;=TODAY()+30,"Due within 1 Month",IF($H1737&lt;=TODAY()+60,"Due within 2 Months","OK"))))))</f>
        <v>No Data</v>
      </c>
      <c r="K1737" s="13"/>
    </row>
    <row r="1738" customFormat="false" ht="15" hidden="false" customHeight="false" outlineLevel="0" collapsed="false">
      <c r="A1738" s="9" t="str">
        <f aca="false">Vessels!B20</f>
        <v>Vessel 16</v>
      </c>
      <c r="B1738" s="9" t="s">
        <v>88</v>
      </c>
      <c r="C1738" s="7" t="s">
        <v>94</v>
      </c>
      <c r="D1738" s="9" t="s">
        <v>45</v>
      </c>
      <c r="E1738" s="9" t="s">
        <v>92</v>
      </c>
      <c r="F1738" s="5" t="n">
        <v>120</v>
      </c>
      <c r="G1738" s="10"/>
      <c r="H1738" s="11" t="str">
        <f aca="false">IFERROR(IF($D1738="Manual Review","",IF($G1738="","",IF($D1738="Direct Expiry",$G1738,EDATE($G1738,$F1738)))),"Check Date")</f>
        <v/>
      </c>
      <c r="I1738" s="12" t="str">
        <f aca="true">IF($H1738="","",IF(ISNUMBER($H1738),$H1738-TODAY(),""))</f>
        <v/>
      </c>
      <c r="J1738" s="4" t="str">
        <f aca="true">IF($D1738="Manual Review","Manual Review",IF($G1738="","No Data",IF(NOT(ISNUMBER($H1738)),"N/A",IF($H1738&lt;TODAY(),"Overdue",IF($H1738&lt;=TODAY()+30,"Due within 1 Month",IF($H1738&lt;=TODAY()+60,"Due within 2 Months","OK"))))))</f>
        <v>No Data</v>
      </c>
      <c r="K1738" s="13"/>
    </row>
    <row r="1739" customFormat="false" ht="15" hidden="false" customHeight="false" outlineLevel="0" collapsed="false">
      <c r="A1739" s="9" t="str">
        <f aca="false">Vessels!B20</f>
        <v>Vessel 16</v>
      </c>
      <c r="B1739" s="9" t="s">
        <v>88</v>
      </c>
      <c r="C1739" s="7" t="s">
        <v>95</v>
      </c>
      <c r="D1739" s="9" t="s">
        <v>45</v>
      </c>
      <c r="E1739" s="9" t="s">
        <v>44</v>
      </c>
      <c r="F1739" s="5" t="n">
        <v>12</v>
      </c>
      <c r="G1739" s="10"/>
      <c r="H1739" s="11" t="str">
        <f aca="false">IFERROR(IF($D1739="Manual Review","",IF($G1739="","",IF($D1739="Direct Expiry",$G1739,EDATE($G1739,$F1739)))),"Check Date")</f>
        <v/>
      </c>
      <c r="I1739" s="12" t="str">
        <f aca="true">IF($H1739="","",IF(ISNUMBER($H1739),$H1739-TODAY(),""))</f>
        <v/>
      </c>
      <c r="J1739" s="4" t="str">
        <f aca="true">IF($D1739="Manual Review","Manual Review",IF($G1739="","No Data",IF(NOT(ISNUMBER($H1739)),"N/A",IF($H1739&lt;TODAY(),"Overdue",IF($H1739&lt;=TODAY()+30,"Due within 1 Month",IF($H1739&lt;=TODAY()+60,"Due within 2 Months","OK"))))))</f>
        <v>No Data</v>
      </c>
      <c r="K1739" s="13"/>
    </row>
    <row r="1740" customFormat="false" ht="15" hidden="false" customHeight="false" outlineLevel="0" collapsed="false">
      <c r="A1740" s="9" t="str">
        <f aca="false">Vessels!B20</f>
        <v>Vessel 16</v>
      </c>
      <c r="B1740" s="9" t="s">
        <v>88</v>
      </c>
      <c r="C1740" s="7" t="s">
        <v>95</v>
      </c>
      <c r="D1740" s="9" t="s">
        <v>45</v>
      </c>
      <c r="E1740" s="9" t="s">
        <v>92</v>
      </c>
      <c r="F1740" s="5" t="n">
        <v>120</v>
      </c>
      <c r="G1740" s="10"/>
      <c r="H1740" s="11" t="str">
        <f aca="false">IFERROR(IF($D1740="Manual Review","",IF($G1740="","",IF($D1740="Direct Expiry",$G1740,EDATE($G1740,$F1740)))),"Check Date")</f>
        <v/>
      </c>
      <c r="I1740" s="12" t="str">
        <f aca="true">IF($H1740="","",IF(ISNUMBER($H1740),$H1740-TODAY(),""))</f>
        <v/>
      </c>
      <c r="J1740" s="4" t="str">
        <f aca="true">IF($D1740="Manual Review","Manual Review",IF($G1740="","No Data",IF(NOT(ISNUMBER($H1740)),"N/A",IF($H1740&lt;TODAY(),"Overdue",IF($H1740&lt;=TODAY()+30,"Due within 1 Month",IF($H1740&lt;=TODAY()+60,"Due within 2 Months","OK"))))))</f>
        <v>No Data</v>
      </c>
      <c r="K1740" s="13"/>
    </row>
    <row r="1741" customFormat="false" ht="15" hidden="false" customHeight="false" outlineLevel="0" collapsed="false">
      <c r="A1741" s="9" t="str">
        <f aca="false">Vessels!B20</f>
        <v>Vessel 16</v>
      </c>
      <c r="B1741" s="9" t="s">
        <v>88</v>
      </c>
      <c r="C1741" s="7" t="s">
        <v>96</v>
      </c>
      <c r="D1741" s="9" t="s">
        <v>45</v>
      </c>
      <c r="E1741" s="9" t="s">
        <v>44</v>
      </c>
      <c r="F1741" s="5" t="n">
        <v>12</v>
      </c>
      <c r="G1741" s="10"/>
      <c r="H1741" s="11" t="str">
        <f aca="false">IFERROR(IF($D1741="Manual Review","",IF($G1741="","",IF($D1741="Direct Expiry",$G1741,EDATE($G1741,$F1741)))),"Check Date")</f>
        <v/>
      </c>
      <c r="I1741" s="12" t="str">
        <f aca="true">IF($H1741="","",IF(ISNUMBER($H1741),$H1741-TODAY(),""))</f>
        <v/>
      </c>
      <c r="J1741" s="4" t="str">
        <f aca="true">IF($D1741="Manual Review","Manual Review",IF($G1741="","No Data",IF(NOT(ISNUMBER($H1741)),"N/A",IF($H1741&lt;TODAY(),"Overdue",IF($H1741&lt;=TODAY()+30,"Due within 1 Month",IF($H1741&lt;=TODAY()+60,"Due within 2 Months","OK"))))))</f>
        <v>No Data</v>
      </c>
      <c r="K1741" s="13"/>
    </row>
    <row r="1742" customFormat="false" ht="15" hidden="false" customHeight="false" outlineLevel="0" collapsed="false">
      <c r="A1742" s="9" t="str">
        <f aca="false">Vessels!B20</f>
        <v>Vessel 16</v>
      </c>
      <c r="B1742" s="9" t="s">
        <v>88</v>
      </c>
      <c r="C1742" s="7" t="s">
        <v>96</v>
      </c>
      <c r="D1742" s="9" t="s">
        <v>45</v>
      </c>
      <c r="E1742" s="9" t="s">
        <v>97</v>
      </c>
      <c r="F1742" s="5" t="n">
        <v>120</v>
      </c>
      <c r="G1742" s="10"/>
      <c r="H1742" s="11" t="str">
        <f aca="false">IFERROR(IF($D1742="Manual Review","",IF($G1742="","",IF($D1742="Direct Expiry",$G1742,EDATE($G1742,$F1742)))),"Check Date")</f>
        <v/>
      </c>
      <c r="I1742" s="12" t="str">
        <f aca="true">IF($H1742="","",IF(ISNUMBER($H1742),$H1742-TODAY(),""))</f>
        <v/>
      </c>
      <c r="J1742" s="4" t="str">
        <f aca="true">IF($D1742="Manual Review","Manual Review",IF($G1742="","No Data",IF(NOT(ISNUMBER($H1742)),"N/A",IF($H1742&lt;TODAY(),"Overdue",IF($H1742&lt;=TODAY()+30,"Due within 1 Month",IF($H1742&lt;=TODAY()+60,"Due within 2 Months","OK"))))))</f>
        <v>No Data</v>
      </c>
      <c r="K1742" s="13"/>
    </row>
    <row r="1743" customFormat="false" ht="15" hidden="false" customHeight="false" outlineLevel="0" collapsed="false">
      <c r="A1743" s="9" t="str">
        <f aca="false">Vessels!B20</f>
        <v>Vessel 16</v>
      </c>
      <c r="B1743" s="9" t="s">
        <v>88</v>
      </c>
      <c r="C1743" s="7" t="s">
        <v>98</v>
      </c>
      <c r="D1743" s="9" t="s">
        <v>45</v>
      </c>
      <c r="E1743" s="9" t="s">
        <v>44</v>
      </c>
      <c r="F1743" s="5" t="n">
        <v>12</v>
      </c>
      <c r="G1743" s="10"/>
      <c r="H1743" s="11" t="str">
        <f aca="false">IFERROR(IF($D1743="Manual Review","",IF($G1743="","",IF($D1743="Direct Expiry",$G1743,EDATE($G1743,$F1743)))),"Check Date")</f>
        <v/>
      </c>
      <c r="I1743" s="12" t="str">
        <f aca="true">IF($H1743="","",IF(ISNUMBER($H1743),$H1743-TODAY(),""))</f>
        <v/>
      </c>
      <c r="J1743" s="4" t="str">
        <f aca="true">IF($D1743="Manual Review","Manual Review",IF($G1743="","No Data",IF(NOT(ISNUMBER($H1743)),"N/A",IF($H1743&lt;TODAY(),"Overdue",IF($H1743&lt;=TODAY()+30,"Due within 1 Month",IF($H1743&lt;=TODAY()+60,"Due within 2 Months","OK"))))))</f>
        <v>No Data</v>
      </c>
      <c r="K1743" s="13"/>
    </row>
    <row r="1744" customFormat="false" ht="15" hidden="false" customHeight="false" outlineLevel="0" collapsed="false">
      <c r="A1744" s="9" t="str">
        <f aca="false">Vessels!B20</f>
        <v>Vessel 16</v>
      </c>
      <c r="B1744" s="9" t="s">
        <v>88</v>
      </c>
      <c r="C1744" s="7" t="s">
        <v>98</v>
      </c>
      <c r="D1744" s="9" t="s">
        <v>45</v>
      </c>
      <c r="E1744" s="9" t="s">
        <v>99</v>
      </c>
      <c r="F1744" s="5" t="n">
        <v>60</v>
      </c>
      <c r="G1744" s="10"/>
      <c r="H1744" s="11" t="str">
        <f aca="false">IFERROR(IF($D1744="Manual Review","",IF($G1744="","",IF($D1744="Direct Expiry",$G1744,EDATE($G1744,$F1744)))),"Check Date")</f>
        <v/>
      </c>
      <c r="I1744" s="12" t="str">
        <f aca="true">IF($H1744="","",IF(ISNUMBER($H1744),$H1744-TODAY(),""))</f>
        <v/>
      </c>
      <c r="J1744" s="4" t="str">
        <f aca="true">IF($D1744="Manual Review","Manual Review",IF($G1744="","No Data",IF(NOT(ISNUMBER($H1744)),"N/A",IF($H1744&lt;TODAY(),"Overdue",IF($H1744&lt;=TODAY()+30,"Due within 1 Month",IF($H1744&lt;=TODAY()+60,"Due within 2 Months","OK"))))))</f>
        <v>No Data</v>
      </c>
      <c r="K1744" s="13"/>
    </row>
    <row r="1745" customFormat="false" ht="15" hidden="false" customHeight="false" outlineLevel="0" collapsed="false">
      <c r="A1745" s="9" t="str">
        <f aca="false">Vessels!B20</f>
        <v>Vessel 16</v>
      </c>
      <c r="B1745" s="9" t="s">
        <v>88</v>
      </c>
      <c r="C1745" s="7" t="s">
        <v>100</v>
      </c>
      <c r="D1745" s="9" t="s">
        <v>45</v>
      </c>
      <c r="E1745" s="9" t="s">
        <v>44</v>
      </c>
      <c r="F1745" s="5" t="n">
        <v>12</v>
      </c>
      <c r="G1745" s="10"/>
      <c r="H1745" s="11" t="str">
        <f aca="false">IFERROR(IF($D1745="Manual Review","",IF($G1745="","",IF($D1745="Direct Expiry",$G1745,EDATE($G1745,$F1745)))),"Check Date")</f>
        <v/>
      </c>
      <c r="I1745" s="12" t="str">
        <f aca="true">IF($H1745="","",IF(ISNUMBER($H1745),$H1745-TODAY(),""))</f>
        <v/>
      </c>
      <c r="J1745" s="4" t="str">
        <f aca="true">IF($D1745="Manual Review","Manual Review",IF($G1745="","No Data",IF(NOT(ISNUMBER($H1745)),"N/A",IF($H1745&lt;TODAY(),"Overdue",IF($H1745&lt;=TODAY()+30,"Due within 1 Month",IF($H1745&lt;=TODAY()+60,"Due within 2 Months","OK"))))))</f>
        <v>No Data</v>
      </c>
      <c r="K1745" s="13"/>
    </row>
    <row r="1746" customFormat="false" ht="15" hidden="false" customHeight="false" outlineLevel="0" collapsed="false">
      <c r="A1746" s="9" t="str">
        <f aca="false">Vessels!B20</f>
        <v>Vessel 16</v>
      </c>
      <c r="B1746" s="9" t="s">
        <v>88</v>
      </c>
      <c r="C1746" s="7" t="s">
        <v>100</v>
      </c>
      <c r="D1746" s="9" t="s">
        <v>45</v>
      </c>
      <c r="E1746" s="9" t="s">
        <v>99</v>
      </c>
      <c r="F1746" s="5" t="n">
        <v>60</v>
      </c>
      <c r="G1746" s="10"/>
      <c r="H1746" s="11" t="str">
        <f aca="false">IFERROR(IF($D1746="Manual Review","",IF($G1746="","",IF($D1746="Direct Expiry",$G1746,EDATE($G1746,$F1746)))),"Check Date")</f>
        <v/>
      </c>
      <c r="I1746" s="12" t="str">
        <f aca="true">IF($H1746="","",IF(ISNUMBER($H1746),$H1746-TODAY(),""))</f>
        <v/>
      </c>
      <c r="J1746" s="4" t="str">
        <f aca="true">IF($D1746="Manual Review","Manual Review",IF($G1746="","No Data",IF(NOT(ISNUMBER($H1746)),"N/A",IF($H1746&lt;TODAY(),"Overdue",IF($H1746&lt;=TODAY()+30,"Due within 1 Month",IF($H1746&lt;=TODAY()+60,"Due within 2 Months","OK"))))))</f>
        <v>No Data</v>
      </c>
      <c r="K1746" s="13"/>
    </row>
    <row r="1747" customFormat="false" ht="15" hidden="false" customHeight="false" outlineLevel="0" collapsed="false">
      <c r="A1747" s="9" t="str">
        <f aca="false">Vessels!B20</f>
        <v>Vessel 16</v>
      </c>
      <c r="B1747" s="9" t="s">
        <v>88</v>
      </c>
      <c r="C1747" s="7" t="s">
        <v>101</v>
      </c>
      <c r="D1747" s="9" t="s">
        <v>45</v>
      </c>
      <c r="E1747" s="9" t="s">
        <v>44</v>
      </c>
      <c r="F1747" s="5" t="n">
        <v>12</v>
      </c>
      <c r="G1747" s="10"/>
      <c r="H1747" s="11" t="str">
        <f aca="false">IFERROR(IF($D1747="Manual Review","",IF($G1747="","",IF($D1747="Direct Expiry",$G1747,EDATE($G1747,$F1747)))),"Check Date")</f>
        <v/>
      </c>
      <c r="I1747" s="12" t="str">
        <f aca="true">IF($H1747="","",IF(ISNUMBER($H1747),$H1747-TODAY(),""))</f>
        <v/>
      </c>
      <c r="J1747" s="4" t="str">
        <f aca="true">IF($D1747="Manual Review","Manual Review",IF($G1747="","No Data",IF(NOT(ISNUMBER($H1747)),"N/A",IF($H1747&lt;TODAY(),"Overdue",IF($H1747&lt;=TODAY()+30,"Due within 1 Month",IF($H1747&lt;=TODAY()+60,"Due within 2 Months","OK"))))))</f>
        <v>No Data</v>
      </c>
      <c r="K1747" s="13"/>
    </row>
    <row r="1748" customFormat="false" ht="23.85" hidden="false" customHeight="false" outlineLevel="0" collapsed="false">
      <c r="A1748" s="9" t="str">
        <f aca="false">Vessels!B20</f>
        <v>Vessel 16</v>
      </c>
      <c r="B1748" s="9" t="s">
        <v>88</v>
      </c>
      <c r="C1748" s="7" t="s">
        <v>102</v>
      </c>
      <c r="D1748" s="9" t="s">
        <v>45</v>
      </c>
      <c r="E1748" s="9" t="s">
        <v>44</v>
      </c>
      <c r="F1748" s="5" t="n">
        <v>12</v>
      </c>
      <c r="G1748" s="10"/>
      <c r="H1748" s="11" t="str">
        <f aca="false">IFERROR(IF($D1748="Manual Review","",IF($G1748="","",IF($D1748="Direct Expiry",$G1748,EDATE($G1748,$F1748)))),"Check Date")</f>
        <v/>
      </c>
      <c r="I1748" s="12" t="str">
        <f aca="true">IF($H1748="","",IF(ISNUMBER($H1748),$H1748-TODAY(),""))</f>
        <v/>
      </c>
      <c r="J1748" s="4" t="str">
        <f aca="true">IF($D1748="Manual Review","Manual Review",IF($G1748="","No Data",IF(NOT(ISNUMBER($H1748)),"N/A",IF($H1748&lt;TODAY(),"Overdue",IF($H1748&lt;=TODAY()+30,"Due within 1 Month",IF($H1748&lt;=TODAY()+60,"Due within 2 Months","OK"))))))</f>
        <v>No Data</v>
      </c>
      <c r="K1748" s="13"/>
    </row>
    <row r="1749" customFormat="false" ht="23.85" hidden="false" customHeight="false" outlineLevel="0" collapsed="false">
      <c r="A1749" s="9" t="str">
        <f aca="false">Vessels!B20</f>
        <v>Vessel 16</v>
      </c>
      <c r="B1749" s="9" t="s">
        <v>88</v>
      </c>
      <c r="C1749" s="7" t="s">
        <v>102</v>
      </c>
      <c r="D1749" s="9" t="s">
        <v>45</v>
      </c>
      <c r="E1749" s="9" t="s">
        <v>97</v>
      </c>
      <c r="F1749" s="5" t="n">
        <v>120</v>
      </c>
      <c r="G1749" s="10"/>
      <c r="H1749" s="11" t="str">
        <f aca="false">IFERROR(IF($D1749="Manual Review","",IF($G1749="","",IF($D1749="Direct Expiry",$G1749,EDATE($G1749,$F1749)))),"Check Date")</f>
        <v/>
      </c>
      <c r="I1749" s="12" t="str">
        <f aca="true">IF($H1749="","",IF(ISNUMBER($H1749),$H1749-TODAY(),""))</f>
        <v/>
      </c>
      <c r="J1749" s="4" t="str">
        <f aca="true">IF($D1749="Manual Review","Manual Review",IF($G1749="","No Data",IF(NOT(ISNUMBER($H1749)),"N/A",IF($H1749&lt;TODAY(),"Overdue",IF($H1749&lt;=TODAY()+30,"Due within 1 Month",IF($H1749&lt;=TODAY()+60,"Due within 2 Months","OK"))))))</f>
        <v>No Data</v>
      </c>
      <c r="K1749" s="13"/>
    </row>
    <row r="1750" customFormat="false" ht="15" hidden="false" customHeight="false" outlineLevel="0" collapsed="false">
      <c r="A1750" s="9" t="str">
        <f aca="false">Vessels!B20</f>
        <v>Vessel 16</v>
      </c>
      <c r="B1750" s="9" t="s">
        <v>88</v>
      </c>
      <c r="C1750" s="7" t="s">
        <v>103</v>
      </c>
      <c r="D1750" s="9" t="s">
        <v>45</v>
      </c>
      <c r="E1750" s="9" t="s">
        <v>44</v>
      </c>
      <c r="F1750" s="5" t="n">
        <v>12</v>
      </c>
      <c r="G1750" s="10"/>
      <c r="H1750" s="11" t="str">
        <f aca="false">IFERROR(IF($D1750="Manual Review","",IF($G1750="","",IF($D1750="Direct Expiry",$G1750,EDATE($G1750,$F1750)))),"Check Date")</f>
        <v/>
      </c>
      <c r="I1750" s="12" t="str">
        <f aca="true">IF($H1750="","",IF(ISNUMBER($H1750),$H1750-TODAY(),""))</f>
        <v/>
      </c>
      <c r="J1750" s="4" t="str">
        <f aca="true">IF($D1750="Manual Review","Manual Review",IF($G1750="","No Data",IF(NOT(ISNUMBER($H1750)),"N/A",IF($H1750&lt;TODAY(),"Overdue",IF($H1750&lt;=TODAY()+30,"Due within 1 Month",IF($H1750&lt;=TODAY()+60,"Due within 2 Months","OK"))))))</f>
        <v>No Data</v>
      </c>
      <c r="K1750" s="13"/>
    </row>
    <row r="1751" customFormat="false" ht="15" hidden="false" customHeight="false" outlineLevel="0" collapsed="false">
      <c r="A1751" s="9" t="str">
        <f aca="false">Vessels!B20</f>
        <v>Vessel 16</v>
      </c>
      <c r="B1751" s="9" t="s">
        <v>88</v>
      </c>
      <c r="C1751" s="7" t="s">
        <v>103</v>
      </c>
      <c r="D1751" s="9" t="s">
        <v>45</v>
      </c>
      <c r="E1751" s="9" t="s">
        <v>97</v>
      </c>
      <c r="F1751" s="5" t="n">
        <v>120</v>
      </c>
      <c r="G1751" s="10"/>
      <c r="H1751" s="11" t="str">
        <f aca="false">IFERROR(IF($D1751="Manual Review","",IF($G1751="","",IF($D1751="Direct Expiry",$G1751,EDATE($G1751,$F1751)))),"Check Date")</f>
        <v/>
      </c>
      <c r="I1751" s="12" t="str">
        <f aca="true">IF($H1751="","",IF(ISNUMBER($H1751),$H1751-TODAY(),""))</f>
        <v/>
      </c>
      <c r="J1751" s="4" t="str">
        <f aca="true">IF($D1751="Manual Review","Manual Review",IF($G1751="","No Data",IF(NOT(ISNUMBER($H1751)),"N/A",IF($H1751&lt;TODAY(),"Overdue",IF($H1751&lt;=TODAY()+30,"Due within 1 Month",IF($H1751&lt;=TODAY()+60,"Due within 2 Months","OK"))))))</f>
        <v>No Data</v>
      </c>
      <c r="K1751" s="13"/>
    </row>
    <row r="1752" customFormat="false" ht="15" hidden="false" customHeight="false" outlineLevel="0" collapsed="false">
      <c r="A1752" s="9" t="str">
        <f aca="false">Vessels!B20</f>
        <v>Vessel 16</v>
      </c>
      <c r="B1752" s="9" t="s">
        <v>88</v>
      </c>
      <c r="C1752" s="7" t="s">
        <v>104</v>
      </c>
      <c r="D1752" s="9" t="s">
        <v>45</v>
      </c>
      <c r="E1752" s="9" t="s">
        <v>44</v>
      </c>
      <c r="F1752" s="5" t="n">
        <v>12</v>
      </c>
      <c r="G1752" s="10"/>
      <c r="H1752" s="11" t="str">
        <f aca="false">IFERROR(IF($D1752="Manual Review","",IF($G1752="","",IF($D1752="Direct Expiry",$G1752,EDATE($G1752,$F1752)))),"Check Date")</f>
        <v/>
      </c>
      <c r="I1752" s="12" t="str">
        <f aca="true">IF($H1752="","",IF(ISNUMBER($H1752),$H1752-TODAY(),""))</f>
        <v/>
      </c>
      <c r="J1752" s="4" t="str">
        <f aca="true">IF($D1752="Manual Review","Manual Review",IF($G1752="","No Data",IF(NOT(ISNUMBER($H1752)),"N/A",IF($H1752&lt;TODAY(),"Overdue",IF($H1752&lt;=TODAY()+30,"Due within 1 Month",IF($H1752&lt;=TODAY()+60,"Due within 2 Months","OK"))))))</f>
        <v>No Data</v>
      </c>
      <c r="K1752" s="13"/>
    </row>
    <row r="1753" customFormat="false" ht="15" hidden="false" customHeight="false" outlineLevel="0" collapsed="false">
      <c r="A1753" s="9" t="str">
        <f aca="false">Vessels!B20</f>
        <v>Vessel 16</v>
      </c>
      <c r="B1753" s="9" t="s">
        <v>88</v>
      </c>
      <c r="C1753" s="7" t="s">
        <v>105</v>
      </c>
      <c r="D1753" s="9" t="s">
        <v>45</v>
      </c>
      <c r="E1753" s="9" t="s">
        <v>44</v>
      </c>
      <c r="F1753" s="5" t="n">
        <v>12</v>
      </c>
      <c r="G1753" s="10"/>
      <c r="H1753" s="11" t="str">
        <f aca="false">IFERROR(IF($D1753="Manual Review","",IF($G1753="","",IF($D1753="Direct Expiry",$G1753,EDATE($G1753,$F1753)))),"Check Date")</f>
        <v/>
      </c>
      <c r="I1753" s="12" t="str">
        <f aca="true">IF($H1753="","",IF(ISNUMBER($H1753),$H1753-TODAY(),""))</f>
        <v/>
      </c>
      <c r="J1753" s="4" t="str">
        <f aca="true">IF($D1753="Manual Review","Manual Review",IF($G1753="","No Data",IF(NOT(ISNUMBER($H1753)),"N/A",IF($H1753&lt;TODAY(),"Overdue",IF($H1753&lt;=TODAY()+30,"Due within 1 Month",IF($H1753&lt;=TODAY()+60,"Due within 2 Months","OK"))))))</f>
        <v>No Data</v>
      </c>
      <c r="K1753" s="13"/>
    </row>
    <row r="1754" customFormat="false" ht="15" hidden="false" customHeight="false" outlineLevel="0" collapsed="false">
      <c r="A1754" s="9" t="str">
        <f aca="false">Vessels!B20</f>
        <v>Vessel 16</v>
      </c>
      <c r="B1754" s="9" t="s">
        <v>88</v>
      </c>
      <c r="C1754" s="7" t="s">
        <v>106</v>
      </c>
      <c r="D1754" s="9" t="s">
        <v>45</v>
      </c>
      <c r="E1754" s="9" t="s">
        <v>44</v>
      </c>
      <c r="F1754" s="5" t="n">
        <v>12</v>
      </c>
      <c r="G1754" s="10"/>
      <c r="H1754" s="11" t="str">
        <f aca="false">IFERROR(IF($D1754="Manual Review","",IF($G1754="","",IF($D1754="Direct Expiry",$G1754,EDATE($G1754,$F1754)))),"Check Date")</f>
        <v/>
      </c>
      <c r="I1754" s="12" t="str">
        <f aca="true">IF($H1754="","",IF(ISNUMBER($H1754),$H1754-TODAY(),""))</f>
        <v/>
      </c>
      <c r="J1754" s="4" t="str">
        <f aca="true">IF($D1754="Manual Review","Manual Review",IF($G1754="","No Data",IF(NOT(ISNUMBER($H1754)),"N/A",IF($H1754&lt;TODAY(),"Overdue",IF($H1754&lt;=TODAY()+30,"Due within 1 Month",IF($H1754&lt;=TODAY()+60,"Due within 2 Months","OK"))))))</f>
        <v>No Data</v>
      </c>
      <c r="K1754" s="13"/>
    </row>
    <row r="1755" customFormat="false" ht="15" hidden="false" customHeight="false" outlineLevel="0" collapsed="false">
      <c r="A1755" s="9" t="str">
        <f aca="false">Vessels!B20</f>
        <v>Vessel 16</v>
      </c>
      <c r="B1755" s="9" t="s">
        <v>88</v>
      </c>
      <c r="C1755" s="7" t="s">
        <v>107</v>
      </c>
      <c r="D1755" s="9" t="s">
        <v>45</v>
      </c>
      <c r="E1755" s="9" t="s">
        <v>44</v>
      </c>
      <c r="F1755" s="5" t="n">
        <v>12</v>
      </c>
      <c r="G1755" s="10"/>
      <c r="H1755" s="11" t="str">
        <f aca="false">IFERROR(IF($D1755="Manual Review","",IF($G1755="","",IF($D1755="Direct Expiry",$G1755,EDATE($G1755,$F1755)))),"Check Date")</f>
        <v/>
      </c>
      <c r="I1755" s="12" t="str">
        <f aca="true">IF($H1755="","",IF(ISNUMBER($H1755),$H1755-TODAY(),""))</f>
        <v/>
      </c>
      <c r="J1755" s="4" t="str">
        <f aca="true">IF($D1755="Manual Review","Manual Review",IF($G1755="","No Data",IF(NOT(ISNUMBER($H1755)),"N/A",IF($H1755&lt;TODAY(),"Overdue",IF($H1755&lt;=TODAY()+30,"Due within 1 Month",IF($H1755&lt;=TODAY()+60,"Due within 2 Months","OK"))))))</f>
        <v>No Data</v>
      </c>
      <c r="K1755" s="13"/>
    </row>
    <row r="1756" customFormat="false" ht="15" hidden="false" customHeight="false" outlineLevel="0" collapsed="false">
      <c r="A1756" s="9" t="str">
        <f aca="false">Vessels!B20</f>
        <v>Vessel 16</v>
      </c>
      <c r="B1756" s="9" t="s">
        <v>88</v>
      </c>
      <c r="C1756" s="7" t="s">
        <v>108</v>
      </c>
      <c r="D1756" s="9" t="s">
        <v>45</v>
      </c>
      <c r="E1756" s="9" t="s">
        <v>109</v>
      </c>
      <c r="F1756" s="5" t="n">
        <v>12</v>
      </c>
      <c r="G1756" s="10"/>
      <c r="H1756" s="11" t="str">
        <f aca="false">IFERROR(IF($D1756="Manual Review","",IF($G1756="","",IF($D1756="Direct Expiry",$G1756,EDATE($G1756,$F1756)))),"Check Date")</f>
        <v/>
      </c>
      <c r="I1756" s="12" t="str">
        <f aca="true">IF($H1756="","",IF(ISNUMBER($H1756),$H1756-TODAY(),""))</f>
        <v/>
      </c>
      <c r="J1756" s="4" t="str">
        <f aca="true">IF($D1756="Manual Review","Manual Review",IF($G1756="","No Data",IF(NOT(ISNUMBER($H1756)),"N/A",IF($H1756&lt;TODAY(),"Overdue",IF($H1756&lt;=TODAY()+30,"Due within 1 Month",IF($H1756&lt;=TODAY()+60,"Due within 2 Months","OK"))))))</f>
        <v>No Data</v>
      </c>
      <c r="K1756" s="13"/>
    </row>
    <row r="1757" customFormat="false" ht="15" hidden="false" customHeight="false" outlineLevel="0" collapsed="false">
      <c r="A1757" s="9" t="str">
        <f aca="false">Vessels!B20</f>
        <v>Vessel 16</v>
      </c>
      <c r="B1757" s="9" t="s">
        <v>88</v>
      </c>
      <c r="C1757" s="7" t="s">
        <v>108</v>
      </c>
      <c r="D1757" s="9" t="s">
        <v>45</v>
      </c>
      <c r="E1757" s="9" t="s">
        <v>110</v>
      </c>
      <c r="F1757" s="5" t="n">
        <v>60</v>
      </c>
      <c r="G1757" s="10"/>
      <c r="H1757" s="11" t="str">
        <f aca="false">IFERROR(IF($D1757="Manual Review","",IF($G1757="","",IF($D1757="Direct Expiry",$G1757,EDATE($G1757,$F1757)))),"Check Date")</f>
        <v/>
      </c>
      <c r="I1757" s="12" t="str">
        <f aca="true">IF($H1757="","",IF(ISNUMBER($H1757),$H1757-TODAY(),""))</f>
        <v/>
      </c>
      <c r="J1757" s="4" t="str">
        <f aca="true">IF($D1757="Manual Review","Manual Review",IF($G1757="","No Data",IF(NOT(ISNUMBER($H1757)),"N/A",IF($H1757&lt;TODAY(),"Overdue",IF($H1757&lt;=TODAY()+30,"Due within 1 Month",IF($H1757&lt;=TODAY()+60,"Due within 2 Months","OK"))))))</f>
        <v>No Data</v>
      </c>
      <c r="K1757" s="13"/>
    </row>
    <row r="1758" customFormat="false" ht="15" hidden="false" customHeight="false" outlineLevel="0" collapsed="false">
      <c r="A1758" s="9" t="str">
        <f aca="false">Vessels!B20</f>
        <v>Vessel 16</v>
      </c>
      <c r="B1758" s="9" t="s">
        <v>88</v>
      </c>
      <c r="C1758" s="7" t="s">
        <v>111</v>
      </c>
      <c r="D1758" s="9" t="s">
        <v>45</v>
      </c>
      <c r="E1758" s="9" t="s">
        <v>44</v>
      </c>
      <c r="F1758" s="5" t="n">
        <v>12</v>
      </c>
      <c r="G1758" s="10"/>
      <c r="H1758" s="11" t="str">
        <f aca="false">IFERROR(IF($D1758="Manual Review","",IF($G1758="","",IF($D1758="Direct Expiry",$G1758,EDATE($G1758,$F1758)))),"Check Date")</f>
        <v/>
      </c>
      <c r="I1758" s="12" t="str">
        <f aca="true">IF($H1758="","",IF(ISNUMBER($H1758),$H1758-TODAY(),""))</f>
        <v/>
      </c>
      <c r="J1758" s="4" t="str">
        <f aca="true">IF($D1758="Manual Review","Manual Review",IF($G1758="","No Data",IF(NOT(ISNUMBER($H1758)),"N/A",IF($H1758&lt;TODAY(),"Overdue",IF($H1758&lt;=TODAY()+30,"Due within 1 Month",IF($H1758&lt;=TODAY()+60,"Due within 2 Months","OK"))))))</f>
        <v>No Data</v>
      </c>
      <c r="K1758" s="13"/>
    </row>
    <row r="1759" customFormat="false" ht="15" hidden="false" customHeight="false" outlineLevel="0" collapsed="false">
      <c r="A1759" s="9" t="str">
        <f aca="false">Vessels!B20</f>
        <v>Vessel 16</v>
      </c>
      <c r="B1759" s="9" t="s">
        <v>88</v>
      </c>
      <c r="C1759" s="7" t="s">
        <v>112</v>
      </c>
      <c r="D1759" s="9" t="s">
        <v>45</v>
      </c>
      <c r="E1759" s="9" t="s">
        <v>44</v>
      </c>
      <c r="F1759" s="5" t="n">
        <v>12</v>
      </c>
      <c r="G1759" s="10"/>
      <c r="H1759" s="11" t="str">
        <f aca="false">IFERROR(IF($D1759="Manual Review","",IF($G1759="","",IF($D1759="Direct Expiry",$G1759,EDATE($G1759,$F1759)))),"Check Date")</f>
        <v/>
      </c>
      <c r="I1759" s="12" t="str">
        <f aca="true">IF($H1759="","",IF(ISNUMBER($H1759),$H1759-TODAY(),""))</f>
        <v/>
      </c>
      <c r="J1759" s="4" t="str">
        <f aca="true">IF($D1759="Manual Review","Manual Review",IF($G1759="","No Data",IF(NOT(ISNUMBER($H1759)),"N/A",IF($H1759&lt;TODAY(),"Overdue",IF($H1759&lt;=TODAY()+30,"Due within 1 Month",IF($H1759&lt;=TODAY()+60,"Due within 2 Months","OK"))))))</f>
        <v>No Data</v>
      </c>
      <c r="K1759" s="13"/>
    </row>
    <row r="1760" customFormat="false" ht="15" hidden="false" customHeight="false" outlineLevel="0" collapsed="false">
      <c r="A1760" s="9" t="str">
        <f aca="false">Vessels!B20</f>
        <v>Vessel 16</v>
      </c>
      <c r="B1760" s="9" t="s">
        <v>88</v>
      </c>
      <c r="C1760" s="7" t="s">
        <v>113</v>
      </c>
      <c r="D1760" s="9" t="s">
        <v>115</v>
      </c>
      <c r="E1760" s="9" t="s">
        <v>114</v>
      </c>
      <c r="F1760" s="5"/>
      <c r="G1760" s="10"/>
      <c r="H1760" s="11" t="str">
        <f aca="false">IFERROR(IF($D1760="Manual Review","",IF($G1760="","",IF($D1760="Direct Expiry",$G1760,EDATE($G1760,$F1760)))),"Check Date")</f>
        <v/>
      </c>
      <c r="I1760" s="12" t="str">
        <f aca="true">IF($H1760="","",IF(ISNUMBER($H1760),$H1760-TODAY(),""))</f>
        <v/>
      </c>
      <c r="J1760" s="4" t="str">
        <f aca="true">IF($D1760="Manual Review","Manual Review",IF($G1760="","No Data",IF(NOT(ISNUMBER($H1760)),"N/A",IF($H1760&lt;TODAY(),"Overdue",IF($H1760&lt;=TODAY()+30,"Due within 1 Month",IF($H1760&lt;=TODAY()+60,"Due within 2 Months","OK"))))))</f>
        <v>Manual Review</v>
      </c>
      <c r="K1760" s="13"/>
    </row>
    <row r="1761" customFormat="false" ht="15" hidden="false" customHeight="false" outlineLevel="0" collapsed="false">
      <c r="A1761" s="9" t="str">
        <f aca="false">Vessels!B20</f>
        <v>Vessel 16</v>
      </c>
      <c r="B1761" s="9" t="s">
        <v>88</v>
      </c>
      <c r="C1761" s="7" t="s">
        <v>116</v>
      </c>
      <c r="D1761" s="9" t="s">
        <v>115</v>
      </c>
      <c r="E1761" s="9" t="s">
        <v>114</v>
      </c>
      <c r="F1761" s="5"/>
      <c r="G1761" s="10"/>
      <c r="H1761" s="11" t="str">
        <f aca="false">IFERROR(IF($D1761="Manual Review","",IF($G1761="","",IF($D1761="Direct Expiry",$G1761,EDATE($G1761,$F1761)))),"Check Date")</f>
        <v/>
      </c>
      <c r="I1761" s="12" t="str">
        <f aca="true">IF($H1761="","",IF(ISNUMBER($H1761),$H1761-TODAY(),""))</f>
        <v/>
      </c>
      <c r="J1761" s="4" t="str">
        <f aca="true">IF($D1761="Manual Review","Manual Review",IF($G1761="","No Data",IF(NOT(ISNUMBER($H1761)),"N/A",IF($H1761&lt;TODAY(),"Overdue",IF($H1761&lt;=TODAY()+30,"Due within 1 Month",IF($H1761&lt;=TODAY()+60,"Due within 2 Months","OK"))))))</f>
        <v>Manual Review</v>
      </c>
      <c r="K1761" s="13"/>
    </row>
    <row r="1762" customFormat="false" ht="15" hidden="false" customHeight="false" outlineLevel="0" collapsed="false">
      <c r="A1762" s="9" t="str">
        <f aca="false">Vessels!B20</f>
        <v>Vessel 16</v>
      </c>
      <c r="B1762" s="9" t="s">
        <v>117</v>
      </c>
      <c r="C1762" s="7" t="s">
        <v>118</v>
      </c>
      <c r="D1762" s="9" t="s">
        <v>59</v>
      </c>
      <c r="E1762" s="9" t="s">
        <v>119</v>
      </c>
      <c r="F1762" s="5"/>
      <c r="G1762" s="10"/>
      <c r="H1762" s="11" t="str">
        <f aca="false">IFERROR(IF($D1762="Manual Review","",IF($G1762="","",IF($D1762="Direct Expiry",$G1762,EDATE($G1762,$F1762)))),"Check Date")</f>
        <v/>
      </c>
      <c r="I1762" s="12" t="str">
        <f aca="true">IF($H1762="","",IF(ISNUMBER($H1762),$H1762-TODAY(),""))</f>
        <v/>
      </c>
      <c r="J1762" s="4" t="str">
        <f aca="true">IF($D1762="Manual Review","Manual Review",IF($G1762="","No Data",IF(NOT(ISNUMBER($H1762)),"N/A",IF($H1762&lt;TODAY(),"Overdue",IF($H1762&lt;=TODAY()+30,"Due within 1 Month",IF($H1762&lt;=TODAY()+60,"Due within 2 Months","OK"))))))</f>
        <v>No Data</v>
      </c>
      <c r="K1762" s="13"/>
    </row>
    <row r="1763" customFormat="false" ht="15" hidden="false" customHeight="false" outlineLevel="0" collapsed="false">
      <c r="A1763" s="9" t="str">
        <f aca="false">Vessels!B20</f>
        <v>Vessel 16</v>
      </c>
      <c r="B1763" s="9" t="s">
        <v>117</v>
      </c>
      <c r="C1763" s="7" t="s">
        <v>120</v>
      </c>
      <c r="D1763" s="9" t="s">
        <v>45</v>
      </c>
      <c r="E1763" s="9" t="s">
        <v>44</v>
      </c>
      <c r="F1763" s="5" t="n">
        <v>12</v>
      </c>
      <c r="G1763" s="10"/>
      <c r="H1763" s="11" t="str">
        <f aca="false">IFERROR(IF($D1763="Manual Review","",IF($G1763="","",IF($D1763="Direct Expiry",$G1763,EDATE($G1763,$F1763)))),"Check Date")</f>
        <v/>
      </c>
      <c r="I1763" s="12" t="str">
        <f aca="true">IF($H1763="","",IF(ISNUMBER($H1763),$H1763-TODAY(),""))</f>
        <v/>
      </c>
      <c r="J1763" s="4" t="str">
        <f aca="true">IF($D1763="Manual Review","Manual Review",IF($G1763="","No Data",IF(NOT(ISNUMBER($H1763)),"N/A",IF($H1763&lt;TODAY(),"Overdue",IF($H1763&lt;=TODAY()+30,"Due within 1 Month",IF($H1763&lt;=TODAY()+60,"Due within 2 Months","OK"))))))</f>
        <v>No Data</v>
      </c>
      <c r="K1763" s="13"/>
    </row>
    <row r="1764" customFormat="false" ht="15" hidden="false" customHeight="false" outlineLevel="0" collapsed="false">
      <c r="A1764" s="9" t="str">
        <f aca="false">Vessels!B20</f>
        <v>Vessel 16</v>
      </c>
      <c r="B1764" s="9" t="s">
        <v>117</v>
      </c>
      <c r="C1764" s="7" t="s">
        <v>121</v>
      </c>
      <c r="D1764" s="9" t="s">
        <v>45</v>
      </c>
      <c r="E1764" s="9" t="s">
        <v>44</v>
      </c>
      <c r="F1764" s="5" t="n">
        <v>12</v>
      </c>
      <c r="G1764" s="10"/>
      <c r="H1764" s="11" t="str">
        <f aca="false">IFERROR(IF($D1764="Manual Review","",IF($G1764="","",IF($D1764="Direct Expiry",$G1764,EDATE($G1764,$F1764)))),"Check Date")</f>
        <v/>
      </c>
      <c r="I1764" s="12" t="str">
        <f aca="true">IF($H1764="","",IF(ISNUMBER($H1764),$H1764-TODAY(),""))</f>
        <v/>
      </c>
      <c r="J1764" s="4" t="str">
        <f aca="true">IF($D1764="Manual Review","Manual Review",IF($G1764="","No Data",IF(NOT(ISNUMBER($H1764)),"N/A",IF($H1764&lt;TODAY(),"Overdue",IF($H1764&lt;=TODAY()+30,"Due within 1 Month",IF($H1764&lt;=TODAY()+60,"Due within 2 Months","OK"))))))</f>
        <v>No Data</v>
      </c>
      <c r="K1764" s="13"/>
    </row>
    <row r="1765" customFormat="false" ht="15" hidden="false" customHeight="false" outlineLevel="0" collapsed="false">
      <c r="A1765" s="9" t="str">
        <f aca="false">Vessels!B20</f>
        <v>Vessel 16</v>
      </c>
      <c r="B1765" s="9" t="s">
        <v>117</v>
      </c>
      <c r="C1765" s="7" t="s">
        <v>122</v>
      </c>
      <c r="D1765" s="9" t="s">
        <v>45</v>
      </c>
      <c r="E1765" s="9" t="s">
        <v>123</v>
      </c>
      <c r="F1765" s="5" t="n">
        <v>24</v>
      </c>
      <c r="G1765" s="10"/>
      <c r="H1765" s="11" t="str">
        <f aca="false">IFERROR(IF($D1765="Manual Review","",IF($G1765="","",IF($D1765="Direct Expiry",$G1765,EDATE($G1765,$F1765)))),"Check Date")</f>
        <v/>
      </c>
      <c r="I1765" s="12" t="str">
        <f aca="true">IF($H1765="","",IF(ISNUMBER($H1765),$H1765-TODAY(),""))</f>
        <v/>
      </c>
      <c r="J1765" s="4" t="str">
        <f aca="true">IF($D1765="Manual Review","Manual Review",IF($G1765="","No Data",IF(NOT(ISNUMBER($H1765)),"N/A",IF($H1765&lt;TODAY(),"Overdue",IF($H1765&lt;=TODAY()+30,"Due within 1 Month",IF($H1765&lt;=TODAY()+60,"Due within 2 Months","OK"))))))</f>
        <v>No Data</v>
      </c>
      <c r="K1765" s="13"/>
    </row>
    <row r="1766" customFormat="false" ht="15" hidden="false" customHeight="false" outlineLevel="0" collapsed="false">
      <c r="A1766" s="9" t="str">
        <f aca="false">Vessels!B20</f>
        <v>Vessel 16</v>
      </c>
      <c r="B1766" s="9" t="s">
        <v>117</v>
      </c>
      <c r="C1766" s="7" t="s">
        <v>124</v>
      </c>
      <c r="D1766" s="9" t="s">
        <v>59</v>
      </c>
      <c r="E1766" s="9" t="s">
        <v>58</v>
      </c>
      <c r="F1766" s="5"/>
      <c r="G1766" s="10"/>
      <c r="H1766" s="11" t="str">
        <f aca="false">IFERROR(IF($D1766="Manual Review","",IF($G1766="","",IF($D1766="Direct Expiry",$G1766,EDATE($G1766,$F1766)))),"Check Date")</f>
        <v/>
      </c>
      <c r="I1766" s="12" t="str">
        <f aca="true">IF($H1766="","",IF(ISNUMBER($H1766),$H1766-TODAY(),""))</f>
        <v/>
      </c>
      <c r="J1766" s="4" t="str">
        <f aca="true">IF($D1766="Manual Review","Manual Review",IF($G1766="","No Data",IF(NOT(ISNUMBER($H1766)),"N/A",IF($H1766&lt;TODAY(),"Overdue",IF($H1766&lt;=TODAY()+30,"Due within 1 Month",IF($H1766&lt;=TODAY()+60,"Due within 2 Months","OK"))))))</f>
        <v>No Data</v>
      </c>
      <c r="K1766" s="13"/>
    </row>
    <row r="1767" customFormat="false" ht="15" hidden="false" customHeight="false" outlineLevel="0" collapsed="false">
      <c r="A1767" s="9" t="str">
        <f aca="false">Vessels!B20</f>
        <v>Vessel 16</v>
      </c>
      <c r="B1767" s="9" t="s">
        <v>117</v>
      </c>
      <c r="C1767" s="7" t="s">
        <v>125</v>
      </c>
      <c r="D1767" s="9" t="s">
        <v>59</v>
      </c>
      <c r="E1767" s="9" t="s">
        <v>58</v>
      </c>
      <c r="F1767" s="5"/>
      <c r="G1767" s="10"/>
      <c r="H1767" s="11" t="str">
        <f aca="false">IFERROR(IF($D1767="Manual Review","",IF($G1767="","",IF($D1767="Direct Expiry",$G1767,EDATE($G1767,$F1767)))),"Check Date")</f>
        <v/>
      </c>
      <c r="I1767" s="12" t="str">
        <f aca="true">IF($H1767="","",IF(ISNUMBER($H1767),$H1767-TODAY(),""))</f>
        <v/>
      </c>
      <c r="J1767" s="4" t="str">
        <f aca="true">IF($D1767="Manual Review","Manual Review",IF($G1767="","No Data",IF(NOT(ISNUMBER($H1767)),"N/A",IF($H1767&lt;TODAY(),"Overdue",IF($H1767&lt;=TODAY()+30,"Due within 1 Month",IF($H1767&lt;=TODAY()+60,"Due within 2 Months","OK"))))))</f>
        <v>No Data</v>
      </c>
      <c r="K1767" s="13"/>
    </row>
    <row r="1768" customFormat="false" ht="15" hidden="false" customHeight="false" outlineLevel="0" collapsed="false">
      <c r="A1768" s="9" t="str">
        <f aca="false">Vessels!B20</f>
        <v>Vessel 16</v>
      </c>
      <c r="B1768" s="9" t="s">
        <v>117</v>
      </c>
      <c r="C1768" s="7" t="s">
        <v>126</v>
      </c>
      <c r="D1768" s="9" t="s">
        <v>45</v>
      </c>
      <c r="E1768" s="9" t="s">
        <v>44</v>
      </c>
      <c r="F1768" s="5" t="n">
        <v>12</v>
      </c>
      <c r="G1768" s="10"/>
      <c r="H1768" s="11" t="str">
        <f aca="false">IFERROR(IF($D1768="Manual Review","",IF($G1768="","",IF($D1768="Direct Expiry",$G1768,EDATE($G1768,$F1768)))),"Check Date")</f>
        <v/>
      </c>
      <c r="I1768" s="12" t="str">
        <f aca="true">IF($H1768="","",IF(ISNUMBER($H1768),$H1768-TODAY(),""))</f>
        <v/>
      </c>
      <c r="J1768" s="4" t="str">
        <f aca="true">IF($D1768="Manual Review","Manual Review",IF($G1768="","No Data",IF(NOT(ISNUMBER($H1768)),"N/A",IF($H1768&lt;TODAY(),"Overdue",IF($H1768&lt;=TODAY()+30,"Due within 1 Month",IF($H1768&lt;=TODAY()+60,"Due within 2 Months","OK"))))))</f>
        <v>No Data</v>
      </c>
      <c r="K1768" s="13"/>
    </row>
    <row r="1769" customFormat="false" ht="15" hidden="false" customHeight="false" outlineLevel="0" collapsed="false">
      <c r="A1769" s="9" t="str">
        <f aca="false">Vessels!B20</f>
        <v>Vessel 16</v>
      </c>
      <c r="B1769" s="9" t="s">
        <v>117</v>
      </c>
      <c r="C1769" s="7" t="s">
        <v>127</v>
      </c>
      <c r="D1769" s="9" t="s">
        <v>59</v>
      </c>
      <c r="E1769" s="9" t="s">
        <v>58</v>
      </c>
      <c r="F1769" s="5"/>
      <c r="G1769" s="10"/>
      <c r="H1769" s="11" t="str">
        <f aca="false">IFERROR(IF($D1769="Manual Review","",IF($G1769="","",IF($D1769="Direct Expiry",$G1769,EDATE($G1769,$F1769)))),"Check Date")</f>
        <v/>
      </c>
      <c r="I1769" s="12" t="str">
        <f aca="true">IF($H1769="","",IF(ISNUMBER($H1769),$H1769-TODAY(),""))</f>
        <v/>
      </c>
      <c r="J1769" s="4" t="str">
        <f aca="true">IF($D1769="Manual Review","Manual Review",IF($G1769="","No Data",IF(NOT(ISNUMBER($H1769)),"N/A",IF($H1769&lt;TODAY(),"Overdue",IF($H1769&lt;=TODAY()+30,"Due within 1 Month",IF($H1769&lt;=TODAY()+60,"Due within 2 Months","OK"))))))</f>
        <v>No Data</v>
      </c>
      <c r="K1769" s="13"/>
    </row>
    <row r="1770" customFormat="false" ht="15" hidden="false" customHeight="false" outlineLevel="0" collapsed="false">
      <c r="A1770" s="9" t="str">
        <f aca="false">Vessels!B20</f>
        <v>Vessel 16</v>
      </c>
      <c r="B1770" s="9" t="s">
        <v>117</v>
      </c>
      <c r="C1770" s="7" t="s">
        <v>128</v>
      </c>
      <c r="D1770" s="9" t="s">
        <v>59</v>
      </c>
      <c r="E1770" s="9" t="s">
        <v>58</v>
      </c>
      <c r="F1770" s="5"/>
      <c r="G1770" s="10"/>
      <c r="H1770" s="11" t="str">
        <f aca="false">IFERROR(IF($D1770="Manual Review","",IF($G1770="","",IF($D1770="Direct Expiry",$G1770,EDATE($G1770,$F1770)))),"Check Date")</f>
        <v/>
      </c>
      <c r="I1770" s="12" t="str">
        <f aca="true">IF($H1770="","",IF(ISNUMBER($H1770),$H1770-TODAY(),""))</f>
        <v/>
      </c>
      <c r="J1770" s="4" t="str">
        <f aca="true">IF($D1770="Manual Review","Manual Review",IF($G1770="","No Data",IF(NOT(ISNUMBER($H1770)),"N/A",IF($H1770&lt;TODAY(),"Overdue",IF($H1770&lt;=TODAY()+30,"Due within 1 Month",IF($H1770&lt;=TODAY()+60,"Due within 2 Months","OK"))))))</f>
        <v>No Data</v>
      </c>
      <c r="K1770" s="13"/>
    </row>
    <row r="1771" customFormat="false" ht="15" hidden="false" customHeight="false" outlineLevel="0" collapsed="false">
      <c r="A1771" s="9" t="str">
        <f aca="false">Vessels!B20</f>
        <v>Vessel 16</v>
      </c>
      <c r="B1771" s="9" t="s">
        <v>117</v>
      </c>
      <c r="C1771" s="7" t="s">
        <v>129</v>
      </c>
      <c r="D1771" s="9" t="s">
        <v>59</v>
      </c>
      <c r="E1771" s="9" t="s">
        <v>58</v>
      </c>
      <c r="F1771" s="5"/>
      <c r="G1771" s="10"/>
      <c r="H1771" s="11" t="str">
        <f aca="false">IFERROR(IF($D1771="Manual Review","",IF($G1771="","",IF($D1771="Direct Expiry",$G1771,EDATE($G1771,$F1771)))),"Check Date")</f>
        <v/>
      </c>
      <c r="I1771" s="12" t="str">
        <f aca="true">IF($H1771="","",IF(ISNUMBER($H1771),$H1771-TODAY(),""))</f>
        <v/>
      </c>
      <c r="J1771" s="4" t="str">
        <f aca="true">IF($D1771="Manual Review","Manual Review",IF($G1771="","No Data",IF(NOT(ISNUMBER($H1771)),"N/A",IF($H1771&lt;TODAY(),"Overdue",IF($H1771&lt;=TODAY()+30,"Due within 1 Month",IF($H1771&lt;=TODAY()+60,"Due within 2 Months","OK"))))))</f>
        <v>No Data</v>
      </c>
      <c r="K1771" s="13"/>
    </row>
    <row r="1772" customFormat="false" ht="15" hidden="false" customHeight="false" outlineLevel="0" collapsed="false">
      <c r="A1772" s="9" t="str">
        <f aca="false">Vessels!B20</f>
        <v>Vessel 16</v>
      </c>
      <c r="B1772" s="9" t="s">
        <v>117</v>
      </c>
      <c r="C1772" s="7" t="s">
        <v>130</v>
      </c>
      <c r="D1772" s="9" t="s">
        <v>45</v>
      </c>
      <c r="E1772" s="9" t="s">
        <v>44</v>
      </c>
      <c r="F1772" s="5" t="n">
        <v>12</v>
      </c>
      <c r="G1772" s="10"/>
      <c r="H1772" s="11" t="str">
        <f aca="false">IFERROR(IF($D1772="Manual Review","",IF($G1772="","",IF($D1772="Direct Expiry",$G1772,EDATE($G1772,$F1772)))),"Check Date")</f>
        <v/>
      </c>
      <c r="I1772" s="12" t="str">
        <f aca="true">IF($H1772="","",IF(ISNUMBER($H1772),$H1772-TODAY(),""))</f>
        <v/>
      </c>
      <c r="J1772" s="4" t="str">
        <f aca="true">IF($D1772="Manual Review","Manual Review",IF($G1772="","No Data",IF(NOT(ISNUMBER($H1772)),"N/A",IF($H1772&lt;TODAY(),"Overdue",IF($H1772&lt;=TODAY()+30,"Due within 1 Month",IF($H1772&lt;=TODAY()+60,"Due within 2 Months","OK"))))))</f>
        <v>No Data</v>
      </c>
      <c r="K1772" s="13"/>
    </row>
    <row r="1773" customFormat="false" ht="15" hidden="false" customHeight="false" outlineLevel="0" collapsed="false">
      <c r="A1773" s="9" t="str">
        <f aca="false">Vessels!B20</f>
        <v>Vessel 16</v>
      </c>
      <c r="B1773" s="9" t="s">
        <v>117</v>
      </c>
      <c r="C1773" s="7" t="s">
        <v>131</v>
      </c>
      <c r="D1773" s="9" t="s">
        <v>45</v>
      </c>
      <c r="E1773" s="9" t="s">
        <v>44</v>
      </c>
      <c r="F1773" s="5" t="n">
        <v>12</v>
      </c>
      <c r="G1773" s="10"/>
      <c r="H1773" s="11" t="str">
        <f aca="false">IFERROR(IF($D1773="Manual Review","",IF($G1773="","",IF($D1773="Direct Expiry",$G1773,EDATE($G1773,$F1773)))),"Check Date")</f>
        <v/>
      </c>
      <c r="I1773" s="12" t="str">
        <f aca="true">IF($H1773="","",IF(ISNUMBER($H1773),$H1773-TODAY(),""))</f>
        <v/>
      </c>
      <c r="J1773" s="4" t="str">
        <f aca="true">IF($D1773="Manual Review","Manual Review",IF($G1773="","No Data",IF(NOT(ISNUMBER($H1773)),"N/A",IF($H1773&lt;TODAY(),"Overdue",IF($H1773&lt;=TODAY()+30,"Due within 1 Month",IF($H1773&lt;=TODAY()+60,"Due within 2 Months","OK"))))))</f>
        <v>No Data</v>
      </c>
      <c r="K1773" s="13"/>
    </row>
    <row r="1774" customFormat="false" ht="15" hidden="false" customHeight="false" outlineLevel="0" collapsed="false">
      <c r="A1774" s="9" t="str">
        <f aca="false">Vessels!B20</f>
        <v>Vessel 16</v>
      </c>
      <c r="B1774" s="9" t="s">
        <v>117</v>
      </c>
      <c r="C1774" s="7" t="s">
        <v>132</v>
      </c>
      <c r="D1774" s="9" t="s">
        <v>45</v>
      </c>
      <c r="E1774" s="9" t="s">
        <v>44</v>
      </c>
      <c r="F1774" s="5" t="n">
        <v>12</v>
      </c>
      <c r="G1774" s="10"/>
      <c r="H1774" s="11" t="str">
        <f aca="false">IFERROR(IF($D1774="Manual Review","",IF($G1774="","",IF($D1774="Direct Expiry",$G1774,EDATE($G1774,$F1774)))),"Check Date")</f>
        <v/>
      </c>
      <c r="I1774" s="12" t="str">
        <f aca="true">IF($H1774="","",IF(ISNUMBER($H1774),$H1774-TODAY(),""))</f>
        <v/>
      </c>
      <c r="J1774" s="4" t="str">
        <f aca="true">IF($D1774="Manual Review","Manual Review",IF($G1774="","No Data",IF(NOT(ISNUMBER($H1774)),"N/A",IF($H1774&lt;TODAY(),"Overdue",IF($H1774&lt;=TODAY()+30,"Due within 1 Month",IF($H1774&lt;=TODAY()+60,"Due within 2 Months","OK"))))))</f>
        <v>No Data</v>
      </c>
      <c r="K1774" s="13"/>
    </row>
    <row r="1775" customFormat="false" ht="15" hidden="false" customHeight="false" outlineLevel="0" collapsed="false">
      <c r="A1775" s="9" t="str">
        <f aca="false">Vessels!B20</f>
        <v>Vessel 16</v>
      </c>
      <c r="B1775" s="9" t="s">
        <v>117</v>
      </c>
      <c r="C1775" s="7" t="s">
        <v>133</v>
      </c>
      <c r="D1775" s="9" t="s">
        <v>45</v>
      </c>
      <c r="E1775" s="9" t="s">
        <v>44</v>
      </c>
      <c r="F1775" s="5" t="n">
        <v>12</v>
      </c>
      <c r="G1775" s="10"/>
      <c r="H1775" s="11" t="str">
        <f aca="false">IFERROR(IF($D1775="Manual Review","",IF($G1775="","",IF($D1775="Direct Expiry",$G1775,EDATE($G1775,$F1775)))),"Check Date")</f>
        <v/>
      </c>
      <c r="I1775" s="12" t="str">
        <f aca="true">IF($H1775="","",IF(ISNUMBER($H1775),$H1775-TODAY(),""))</f>
        <v/>
      </c>
      <c r="J1775" s="4" t="str">
        <f aca="true">IF($D1775="Manual Review","Manual Review",IF($G1775="","No Data",IF(NOT(ISNUMBER($H1775)),"N/A",IF($H1775&lt;TODAY(),"Overdue",IF($H1775&lt;=TODAY()+30,"Due within 1 Month",IF($H1775&lt;=TODAY()+60,"Due within 2 Months","OK"))))))</f>
        <v>No Data</v>
      </c>
      <c r="K1775" s="13"/>
    </row>
    <row r="1776" customFormat="false" ht="15" hidden="false" customHeight="false" outlineLevel="0" collapsed="false">
      <c r="A1776" s="9" t="str">
        <f aca="false">Vessels!B20</f>
        <v>Vessel 16</v>
      </c>
      <c r="B1776" s="9" t="s">
        <v>117</v>
      </c>
      <c r="C1776" s="7" t="s">
        <v>134</v>
      </c>
      <c r="D1776" s="9" t="s">
        <v>45</v>
      </c>
      <c r="E1776" s="9" t="s">
        <v>44</v>
      </c>
      <c r="F1776" s="5" t="n">
        <v>12</v>
      </c>
      <c r="G1776" s="10"/>
      <c r="H1776" s="11" t="str">
        <f aca="false">IFERROR(IF($D1776="Manual Review","",IF($G1776="","",IF($D1776="Direct Expiry",$G1776,EDATE($G1776,$F1776)))),"Check Date")</f>
        <v/>
      </c>
      <c r="I1776" s="12" t="str">
        <f aca="true">IF($H1776="","",IF(ISNUMBER($H1776),$H1776-TODAY(),""))</f>
        <v/>
      </c>
      <c r="J1776" s="4" t="str">
        <f aca="true">IF($D1776="Manual Review","Manual Review",IF($G1776="","No Data",IF(NOT(ISNUMBER($H1776)),"N/A",IF($H1776&lt;TODAY(),"Overdue",IF($H1776&lt;=TODAY()+30,"Due within 1 Month",IF($H1776&lt;=TODAY()+60,"Due within 2 Months","OK"))))))</f>
        <v>No Data</v>
      </c>
      <c r="K1776" s="13"/>
    </row>
    <row r="1777" customFormat="false" ht="15" hidden="false" customHeight="false" outlineLevel="0" collapsed="false">
      <c r="A1777" s="9" t="str">
        <f aca="false">Vessels!B20</f>
        <v>Vessel 16</v>
      </c>
      <c r="B1777" s="9" t="s">
        <v>117</v>
      </c>
      <c r="C1777" s="7" t="s">
        <v>135</v>
      </c>
      <c r="D1777" s="9" t="s">
        <v>45</v>
      </c>
      <c r="E1777" s="9" t="s">
        <v>44</v>
      </c>
      <c r="F1777" s="5" t="n">
        <v>12</v>
      </c>
      <c r="G1777" s="10"/>
      <c r="H1777" s="11" t="str">
        <f aca="false">IFERROR(IF($D1777="Manual Review","",IF($G1777="","",IF($D1777="Direct Expiry",$G1777,EDATE($G1777,$F1777)))),"Check Date")</f>
        <v/>
      </c>
      <c r="I1777" s="12" t="str">
        <f aca="true">IF($H1777="","",IF(ISNUMBER($H1777),$H1777-TODAY(),""))</f>
        <v/>
      </c>
      <c r="J1777" s="4" t="str">
        <f aca="true">IF($D1777="Manual Review","Manual Review",IF($G1777="","No Data",IF(NOT(ISNUMBER($H1777)),"N/A",IF($H1777&lt;TODAY(),"Overdue",IF($H1777&lt;=TODAY()+30,"Due within 1 Month",IF($H1777&lt;=TODAY()+60,"Due within 2 Months","OK"))))))</f>
        <v>No Data</v>
      </c>
      <c r="K1777" s="13"/>
    </row>
    <row r="1778" customFormat="false" ht="15" hidden="false" customHeight="false" outlineLevel="0" collapsed="false">
      <c r="A1778" s="9" t="str">
        <f aca="false">Vessels!B20</f>
        <v>Vessel 16</v>
      </c>
      <c r="B1778" s="9" t="s">
        <v>136</v>
      </c>
      <c r="C1778" s="7" t="s">
        <v>137</v>
      </c>
      <c r="D1778" s="9" t="s">
        <v>45</v>
      </c>
      <c r="E1778" s="9" t="s">
        <v>44</v>
      </c>
      <c r="F1778" s="5" t="n">
        <v>12</v>
      </c>
      <c r="G1778" s="10"/>
      <c r="H1778" s="11" t="str">
        <f aca="false">IFERROR(IF($D1778="Manual Review","",IF($G1778="","",IF($D1778="Direct Expiry",$G1778,EDATE($G1778,$F1778)))),"Check Date")</f>
        <v/>
      </c>
      <c r="I1778" s="12" t="str">
        <f aca="true">IF($H1778="","",IF(ISNUMBER($H1778),$H1778-TODAY(),""))</f>
        <v/>
      </c>
      <c r="J1778" s="4" t="str">
        <f aca="true">IF($D1778="Manual Review","Manual Review",IF($G1778="","No Data",IF(NOT(ISNUMBER($H1778)),"N/A",IF($H1778&lt;TODAY(),"Overdue",IF($H1778&lt;=TODAY()+30,"Due within 1 Month",IF($H1778&lt;=TODAY()+60,"Due within 2 Months","OK"))))))</f>
        <v>No Data</v>
      </c>
      <c r="K1778" s="13"/>
    </row>
    <row r="1779" customFormat="false" ht="15" hidden="false" customHeight="false" outlineLevel="0" collapsed="false">
      <c r="A1779" s="9" t="str">
        <f aca="false">Vessels!B20</f>
        <v>Vessel 16</v>
      </c>
      <c r="B1779" s="9" t="s">
        <v>136</v>
      </c>
      <c r="C1779" s="7" t="s">
        <v>138</v>
      </c>
      <c r="D1779" s="9" t="s">
        <v>45</v>
      </c>
      <c r="E1779" s="9" t="s">
        <v>44</v>
      </c>
      <c r="F1779" s="5" t="n">
        <v>12</v>
      </c>
      <c r="G1779" s="10"/>
      <c r="H1779" s="11" t="str">
        <f aca="false">IFERROR(IF($D1779="Manual Review","",IF($G1779="","",IF($D1779="Direct Expiry",$G1779,EDATE($G1779,$F1779)))),"Check Date")</f>
        <v/>
      </c>
      <c r="I1779" s="12" t="str">
        <f aca="true">IF($H1779="","",IF(ISNUMBER($H1779),$H1779-TODAY(),""))</f>
        <v/>
      </c>
      <c r="J1779" s="4" t="str">
        <f aca="true">IF($D1779="Manual Review","Manual Review",IF($G1779="","No Data",IF(NOT(ISNUMBER($H1779)),"N/A",IF($H1779&lt;TODAY(),"Overdue",IF($H1779&lt;=TODAY()+30,"Due within 1 Month",IF($H1779&lt;=TODAY()+60,"Due within 2 Months","OK"))))))</f>
        <v>No Data</v>
      </c>
      <c r="K1779" s="13"/>
    </row>
    <row r="1780" customFormat="false" ht="15" hidden="false" customHeight="false" outlineLevel="0" collapsed="false">
      <c r="A1780" s="9" t="str">
        <f aca="false">Vessels!B20</f>
        <v>Vessel 16</v>
      </c>
      <c r="B1780" s="9" t="s">
        <v>136</v>
      </c>
      <c r="C1780" s="7" t="s">
        <v>139</v>
      </c>
      <c r="D1780" s="9" t="s">
        <v>45</v>
      </c>
      <c r="E1780" s="9" t="s">
        <v>140</v>
      </c>
      <c r="F1780" s="5" t="n">
        <v>12</v>
      </c>
      <c r="G1780" s="10"/>
      <c r="H1780" s="11" t="str">
        <f aca="false">IFERROR(IF($D1780="Manual Review","",IF($G1780="","",IF($D1780="Direct Expiry",$G1780,EDATE($G1780,$F1780)))),"Check Date")</f>
        <v/>
      </c>
      <c r="I1780" s="12" t="str">
        <f aca="true">IF($H1780="","",IF(ISNUMBER($H1780),$H1780-TODAY(),""))</f>
        <v/>
      </c>
      <c r="J1780" s="4" t="str">
        <f aca="true">IF($D1780="Manual Review","Manual Review",IF($G1780="","No Data",IF(NOT(ISNUMBER($H1780)),"N/A",IF($H1780&lt;TODAY(),"Overdue",IF($H1780&lt;=TODAY()+30,"Due within 1 Month",IF($H1780&lt;=TODAY()+60,"Due within 2 Months","OK"))))))</f>
        <v>No Data</v>
      </c>
      <c r="K1780" s="13"/>
    </row>
    <row r="1781" customFormat="false" ht="15" hidden="false" customHeight="false" outlineLevel="0" collapsed="false">
      <c r="A1781" s="9" t="str">
        <f aca="false">Vessels!B20</f>
        <v>Vessel 16</v>
      </c>
      <c r="B1781" s="9" t="s">
        <v>136</v>
      </c>
      <c r="C1781" s="7" t="s">
        <v>141</v>
      </c>
      <c r="D1781" s="9" t="s">
        <v>45</v>
      </c>
      <c r="E1781" s="9" t="s">
        <v>44</v>
      </c>
      <c r="F1781" s="5" t="n">
        <v>12</v>
      </c>
      <c r="G1781" s="10"/>
      <c r="H1781" s="11" t="str">
        <f aca="false">IFERROR(IF($D1781="Manual Review","",IF($G1781="","",IF($D1781="Direct Expiry",$G1781,EDATE($G1781,$F1781)))),"Check Date")</f>
        <v/>
      </c>
      <c r="I1781" s="12" t="str">
        <f aca="true">IF($H1781="","",IF(ISNUMBER($H1781),$H1781-TODAY(),""))</f>
        <v/>
      </c>
      <c r="J1781" s="4" t="str">
        <f aca="true">IF($D1781="Manual Review","Manual Review",IF($G1781="","No Data",IF(NOT(ISNUMBER($H1781)),"N/A",IF($H1781&lt;TODAY(),"Overdue",IF($H1781&lt;=TODAY()+30,"Due within 1 Month",IF($H1781&lt;=TODAY()+60,"Due within 2 Months","OK"))))))</f>
        <v>No Data</v>
      </c>
      <c r="K1781" s="13"/>
    </row>
    <row r="1782" customFormat="false" ht="15" hidden="false" customHeight="false" outlineLevel="0" collapsed="false">
      <c r="A1782" s="9" t="str">
        <f aca="false">Vessels!B20</f>
        <v>Vessel 16</v>
      </c>
      <c r="B1782" s="9" t="s">
        <v>136</v>
      </c>
      <c r="C1782" s="7" t="s">
        <v>142</v>
      </c>
      <c r="D1782" s="9" t="s">
        <v>115</v>
      </c>
      <c r="E1782" s="9" t="s">
        <v>143</v>
      </c>
      <c r="F1782" s="5"/>
      <c r="G1782" s="10"/>
      <c r="H1782" s="11" t="str">
        <f aca="false">IFERROR(IF($D1782="Manual Review","",IF($G1782="","",IF($D1782="Direct Expiry",$G1782,EDATE($G1782,$F1782)))),"Check Date")</f>
        <v/>
      </c>
      <c r="I1782" s="12" t="str">
        <f aca="true">IF($H1782="","",IF(ISNUMBER($H1782),$H1782-TODAY(),""))</f>
        <v/>
      </c>
      <c r="J1782" s="4" t="str">
        <f aca="true">IF($D1782="Manual Review","Manual Review",IF($G1782="","No Data",IF(NOT(ISNUMBER($H1782)),"N/A",IF($H1782&lt;TODAY(),"Overdue",IF($H1782&lt;=TODAY()+30,"Due within 1 Month",IF($H1782&lt;=TODAY()+60,"Due within 2 Months","OK"))))))</f>
        <v>Manual Review</v>
      </c>
      <c r="K1782" s="13"/>
    </row>
    <row r="1783" customFormat="false" ht="15" hidden="false" customHeight="false" outlineLevel="0" collapsed="false">
      <c r="A1783" s="9" t="str">
        <f aca="false">Vessels!B20</f>
        <v>Vessel 16</v>
      </c>
      <c r="B1783" s="9" t="s">
        <v>136</v>
      </c>
      <c r="C1783" s="7" t="s">
        <v>144</v>
      </c>
      <c r="D1783" s="9" t="s">
        <v>45</v>
      </c>
      <c r="E1783" s="9" t="s">
        <v>44</v>
      </c>
      <c r="F1783" s="5" t="n">
        <v>12</v>
      </c>
      <c r="G1783" s="10"/>
      <c r="H1783" s="11" t="str">
        <f aca="false">IFERROR(IF($D1783="Manual Review","",IF($G1783="","",IF($D1783="Direct Expiry",$G1783,EDATE($G1783,$F1783)))),"Check Date")</f>
        <v/>
      </c>
      <c r="I1783" s="12" t="str">
        <f aca="true">IF($H1783="","",IF(ISNUMBER($H1783),$H1783-TODAY(),""))</f>
        <v/>
      </c>
      <c r="J1783" s="4" t="str">
        <f aca="true">IF($D1783="Manual Review","Manual Review",IF($G1783="","No Data",IF(NOT(ISNUMBER($H1783)),"N/A",IF($H1783&lt;TODAY(),"Overdue",IF($H1783&lt;=TODAY()+30,"Due within 1 Month",IF($H1783&lt;=TODAY()+60,"Due within 2 Months","OK"))))))</f>
        <v>No Data</v>
      </c>
      <c r="K1783" s="13"/>
    </row>
    <row r="1784" customFormat="false" ht="15" hidden="false" customHeight="false" outlineLevel="0" collapsed="false">
      <c r="A1784" s="9" t="str">
        <f aca="false">Vessels!B20</f>
        <v>Vessel 16</v>
      </c>
      <c r="B1784" s="9" t="s">
        <v>136</v>
      </c>
      <c r="C1784" s="7" t="s">
        <v>145</v>
      </c>
      <c r="D1784" s="9" t="s">
        <v>45</v>
      </c>
      <c r="E1784" s="9" t="s">
        <v>44</v>
      </c>
      <c r="F1784" s="5" t="n">
        <v>12</v>
      </c>
      <c r="G1784" s="10"/>
      <c r="H1784" s="11" t="str">
        <f aca="false">IFERROR(IF($D1784="Manual Review","",IF($G1784="","",IF($D1784="Direct Expiry",$G1784,EDATE($G1784,$F1784)))),"Check Date")</f>
        <v/>
      </c>
      <c r="I1784" s="12" t="str">
        <f aca="true">IF($H1784="","",IF(ISNUMBER($H1784),$H1784-TODAY(),""))</f>
        <v/>
      </c>
      <c r="J1784" s="4" t="str">
        <f aca="true">IF($D1784="Manual Review","Manual Review",IF($G1784="","No Data",IF(NOT(ISNUMBER($H1784)),"N/A",IF($H1784&lt;TODAY(),"Overdue",IF($H1784&lt;=TODAY()+30,"Due within 1 Month",IF($H1784&lt;=TODAY()+60,"Due within 2 Months","OK"))))))</f>
        <v>No Data</v>
      </c>
      <c r="K1784" s="13"/>
    </row>
    <row r="1785" customFormat="false" ht="15" hidden="false" customHeight="false" outlineLevel="0" collapsed="false">
      <c r="A1785" s="9" t="str">
        <f aca="false">Vessels!B20</f>
        <v>Vessel 16</v>
      </c>
      <c r="B1785" s="9" t="s">
        <v>136</v>
      </c>
      <c r="C1785" s="7" t="s">
        <v>146</v>
      </c>
      <c r="D1785" s="9" t="s">
        <v>45</v>
      </c>
      <c r="E1785" s="9" t="s">
        <v>44</v>
      </c>
      <c r="F1785" s="5" t="n">
        <v>12</v>
      </c>
      <c r="G1785" s="10"/>
      <c r="H1785" s="11" t="str">
        <f aca="false">IFERROR(IF($D1785="Manual Review","",IF($G1785="","",IF($D1785="Direct Expiry",$G1785,EDATE($G1785,$F1785)))),"Check Date")</f>
        <v/>
      </c>
      <c r="I1785" s="12" t="str">
        <f aca="true">IF($H1785="","",IF(ISNUMBER($H1785),$H1785-TODAY(),""))</f>
        <v/>
      </c>
      <c r="J1785" s="4" t="str">
        <f aca="true">IF($D1785="Manual Review","Manual Review",IF($G1785="","No Data",IF(NOT(ISNUMBER($H1785)),"N/A",IF($H1785&lt;TODAY(),"Overdue",IF($H1785&lt;=TODAY()+30,"Due within 1 Month",IF($H1785&lt;=TODAY()+60,"Due within 2 Months","OK"))))))</f>
        <v>No Data</v>
      </c>
      <c r="K1785" s="13"/>
    </row>
    <row r="1786" customFormat="false" ht="15" hidden="false" customHeight="false" outlineLevel="0" collapsed="false">
      <c r="A1786" s="9" t="str">
        <f aca="false">Vessels!B20</f>
        <v>Vessel 16</v>
      </c>
      <c r="B1786" s="9" t="s">
        <v>136</v>
      </c>
      <c r="C1786" s="7" t="s">
        <v>147</v>
      </c>
      <c r="D1786" s="9" t="s">
        <v>45</v>
      </c>
      <c r="E1786" s="9" t="s">
        <v>44</v>
      </c>
      <c r="F1786" s="5" t="n">
        <v>12</v>
      </c>
      <c r="G1786" s="10"/>
      <c r="H1786" s="11" t="str">
        <f aca="false">IFERROR(IF($D1786="Manual Review","",IF($G1786="","",IF($D1786="Direct Expiry",$G1786,EDATE($G1786,$F1786)))),"Check Date")</f>
        <v/>
      </c>
      <c r="I1786" s="12" t="str">
        <f aca="true">IF($H1786="","",IF(ISNUMBER($H1786),$H1786-TODAY(),""))</f>
        <v/>
      </c>
      <c r="J1786" s="4" t="str">
        <f aca="true">IF($D1786="Manual Review","Manual Review",IF($G1786="","No Data",IF(NOT(ISNUMBER($H1786)),"N/A",IF($H1786&lt;TODAY(),"Overdue",IF($H1786&lt;=TODAY()+30,"Due within 1 Month",IF($H1786&lt;=TODAY()+60,"Due within 2 Months","OK"))))))</f>
        <v>No Data</v>
      </c>
      <c r="K1786" s="13"/>
    </row>
    <row r="1787" customFormat="false" ht="15" hidden="false" customHeight="false" outlineLevel="0" collapsed="false">
      <c r="A1787" s="9" t="str">
        <f aca="false">Vessels!B20</f>
        <v>Vessel 16</v>
      </c>
      <c r="B1787" s="9" t="s">
        <v>136</v>
      </c>
      <c r="C1787" s="7" t="s">
        <v>148</v>
      </c>
      <c r="D1787" s="9" t="s">
        <v>45</v>
      </c>
      <c r="E1787" s="9" t="s">
        <v>44</v>
      </c>
      <c r="F1787" s="5" t="n">
        <v>12</v>
      </c>
      <c r="G1787" s="10"/>
      <c r="H1787" s="11" t="str">
        <f aca="false">IFERROR(IF($D1787="Manual Review","",IF($G1787="","",IF($D1787="Direct Expiry",$G1787,EDATE($G1787,$F1787)))),"Check Date")</f>
        <v/>
      </c>
      <c r="I1787" s="12" t="str">
        <f aca="true">IF($H1787="","",IF(ISNUMBER($H1787),$H1787-TODAY(),""))</f>
        <v/>
      </c>
      <c r="J1787" s="4" t="str">
        <f aca="true">IF($D1787="Manual Review","Manual Review",IF($G1787="","No Data",IF(NOT(ISNUMBER($H1787)),"N/A",IF($H1787&lt;TODAY(),"Overdue",IF($H1787&lt;=TODAY()+30,"Due within 1 Month",IF($H1787&lt;=TODAY()+60,"Due within 2 Months","OK"))))))</f>
        <v>No Data</v>
      </c>
      <c r="K1787" s="13"/>
    </row>
    <row r="1788" customFormat="false" ht="15" hidden="false" customHeight="false" outlineLevel="0" collapsed="false">
      <c r="A1788" s="9" t="str">
        <f aca="false">Vessels!B20</f>
        <v>Vessel 16</v>
      </c>
      <c r="B1788" s="9" t="s">
        <v>136</v>
      </c>
      <c r="C1788" s="7" t="s">
        <v>149</v>
      </c>
      <c r="D1788" s="9" t="s">
        <v>45</v>
      </c>
      <c r="E1788" s="9" t="s">
        <v>44</v>
      </c>
      <c r="F1788" s="5" t="n">
        <v>12</v>
      </c>
      <c r="G1788" s="10"/>
      <c r="H1788" s="11" t="str">
        <f aca="false">IFERROR(IF($D1788="Manual Review","",IF($G1788="","",IF($D1788="Direct Expiry",$G1788,EDATE($G1788,$F1788)))),"Check Date")</f>
        <v/>
      </c>
      <c r="I1788" s="12" t="str">
        <f aca="true">IF($H1788="","",IF(ISNUMBER($H1788),$H1788-TODAY(),""))</f>
        <v/>
      </c>
      <c r="J1788" s="4" t="str">
        <f aca="true">IF($D1788="Manual Review","Manual Review",IF($G1788="","No Data",IF(NOT(ISNUMBER($H1788)),"N/A",IF($H1788&lt;TODAY(),"Overdue",IF($H1788&lt;=TODAY()+30,"Due within 1 Month",IF($H1788&lt;=TODAY()+60,"Due within 2 Months","OK"))))))</f>
        <v>No Data</v>
      </c>
      <c r="K1788" s="13"/>
    </row>
    <row r="1789" customFormat="false" ht="15" hidden="false" customHeight="false" outlineLevel="0" collapsed="false">
      <c r="A1789" s="9" t="str">
        <f aca="false">Vessels!B20</f>
        <v>Vessel 16</v>
      </c>
      <c r="B1789" s="9" t="s">
        <v>136</v>
      </c>
      <c r="C1789" s="7" t="s">
        <v>150</v>
      </c>
      <c r="D1789" s="9" t="s">
        <v>45</v>
      </c>
      <c r="E1789" s="9" t="s">
        <v>44</v>
      </c>
      <c r="F1789" s="5" t="n">
        <v>12</v>
      </c>
      <c r="G1789" s="10"/>
      <c r="H1789" s="11" t="str">
        <f aca="false">IFERROR(IF($D1789="Manual Review","",IF($G1789="","",IF($D1789="Direct Expiry",$G1789,EDATE($G1789,$F1789)))),"Check Date")</f>
        <v/>
      </c>
      <c r="I1789" s="12" t="str">
        <f aca="true">IF($H1789="","",IF(ISNUMBER($H1789),$H1789-TODAY(),""))</f>
        <v/>
      </c>
      <c r="J1789" s="4" t="str">
        <f aca="true">IF($D1789="Manual Review","Manual Review",IF($G1789="","No Data",IF(NOT(ISNUMBER($H1789)),"N/A",IF($H1789&lt;TODAY(),"Overdue",IF($H1789&lt;=TODAY()+30,"Due within 1 Month",IF($H1789&lt;=TODAY()+60,"Due within 2 Months","OK"))))))</f>
        <v>No Data</v>
      </c>
      <c r="K1789" s="13"/>
    </row>
    <row r="1790" customFormat="false" ht="15" hidden="false" customHeight="false" outlineLevel="0" collapsed="false">
      <c r="A1790" s="9" t="str">
        <f aca="false">Vessels!B20</f>
        <v>Vessel 16</v>
      </c>
      <c r="B1790" s="9" t="s">
        <v>136</v>
      </c>
      <c r="C1790" s="7" t="s">
        <v>151</v>
      </c>
      <c r="D1790" s="9" t="s">
        <v>45</v>
      </c>
      <c r="E1790" s="9" t="s">
        <v>44</v>
      </c>
      <c r="F1790" s="5" t="n">
        <v>12</v>
      </c>
      <c r="G1790" s="10"/>
      <c r="H1790" s="11" t="str">
        <f aca="false">IFERROR(IF($D1790="Manual Review","",IF($G1790="","",IF($D1790="Direct Expiry",$G1790,EDATE($G1790,$F1790)))),"Check Date")</f>
        <v/>
      </c>
      <c r="I1790" s="12" t="str">
        <f aca="true">IF($H1790="","",IF(ISNUMBER($H1790),$H1790-TODAY(),""))</f>
        <v/>
      </c>
      <c r="J1790" s="4" t="str">
        <f aca="true">IF($D1790="Manual Review","Manual Review",IF($G1790="","No Data",IF(NOT(ISNUMBER($H1790)),"N/A",IF($H1790&lt;TODAY(),"Overdue",IF($H1790&lt;=TODAY()+30,"Due within 1 Month",IF($H1790&lt;=TODAY()+60,"Due within 2 Months","OK"))))))</f>
        <v>No Data</v>
      </c>
      <c r="K1790" s="13"/>
    </row>
    <row r="1791" customFormat="false" ht="15" hidden="false" customHeight="false" outlineLevel="0" collapsed="false">
      <c r="A1791" s="9" t="str">
        <f aca="false">Vessels!B20</f>
        <v>Vessel 16</v>
      </c>
      <c r="B1791" s="9" t="s">
        <v>136</v>
      </c>
      <c r="C1791" s="7" t="s">
        <v>152</v>
      </c>
      <c r="D1791" s="9" t="s">
        <v>45</v>
      </c>
      <c r="E1791" s="9" t="s">
        <v>44</v>
      </c>
      <c r="F1791" s="5" t="n">
        <v>12</v>
      </c>
      <c r="G1791" s="10"/>
      <c r="H1791" s="11" t="str">
        <f aca="false">IFERROR(IF($D1791="Manual Review","",IF($G1791="","",IF($D1791="Direct Expiry",$G1791,EDATE($G1791,$F1791)))),"Check Date")</f>
        <v/>
      </c>
      <c r="I1791" s="12" t="str">
        <f aca="true">IF($H1791="","",IF(ISNUMBER($H1791),$H1791-TODAY(),""))</f>
        <v/>
      </c>
      <c r="J1791" s="4" t="str">
        <f aca="true">IF($D1791="Manual Review","Manual Review",IF($G1791="","No Data",IF(NOT(ISNUMBER($H1791)),"N/A",IF($H1791&lt;TODAY(),"Overdue",IF($H1791&lt;=TODAY()+30,"Due within 1 Month",IF($H1791&lt;=TODAY()+60,"Due within 2 Months","OK"))))))</f>
        <v>No Data</v>
      </c>
      <c r="K1791" s="13"/>
    </row>
    <row r="1792" customFormat="false" ht="15" hidden="false" customHeight="false" outlineLevel="0" collapsed="false">
      <c r="A1792" s="9" t="str">
        <f aca="false">Vessels!B20</f>
        <v>Vessel 16</v>
      </c>
      <c r="B1792" s="9" t="s">
        <v>136</v>
      </c>
      <c r="C1792" s="7" t="s">
        <v>153</v>
      </c>
      <c r="D1792" s="9" t="s">
        <v>45</v>
      </c>
      <c r="E1792" s="9" t="s">
        <v>44</v>
      </c>
      <c r="F1792" s="5" t="n">
        <v>12</v>
      </c>
      <c r="G1792" s="10"/>
      <c r="H1792" s="11" t="str">
        <f aca="false">IFERROR(IF($D1792="Manual Review","",IF($G1792="","",IF($D1792="Direct Expiry",$G1792,EDATE($G1792,$F1792)))),"Check Date")</f>
        <v/>
      </c>
      <c r="I1792" s="12" t="str">
        <f aca="true">IF($H1792="","",IF(ISNUMBER($H1792),$H1792-TODAY(),""))</f>
        <v/>
      </c>
      <c r="J1792" s="4" t="str">
        <f aca="true">IF($D1792="Manual Review","Manual Review",IF($G1792="","No Data",IF(NOT(ISNUMBER($H1792)),"N/A",IF($H1792&lt;TODAY(),"Overdue",IF($H1792&lt;=TODAY()+30,"Due within 1 Month",IF($H1792&lt;=TODAY()+60,"Due within 2 Months","OK"))))))</f>
        <v>No Data</v>
      </c>
      <c r="K1792" s="13"/>
    </row>
    <row r="1793" customFormat="false" ht="15" hidden="false" customHeight="false" outlineLevel="0" collapsed="false">
      <c r="A1793" s="9" t="str">
        <f aca="false">Vessels!B20</f>
        <v>Vessel 16</v>
      </c>
      <c r="B1793" s="9" t="s">
        <v>136</v>
      </c>
      <c r="C1793" s="7" t="s">
        <v>154</v>
      </c>
      <c r="D1793" s="9" t="s">
        <v>45</v>
      </c>
      <c r="E1793" s="9" t="s">
        <v>44</v>
      </c>
      <c r="F1793" s="5" t="n">
        <v>12</v>
      </c>
      <c r="G1793" s="10"/>
      <c r="H1793" s="11" t="str">
        <f aca="false">IFERROR(IF($D1793="Manual Review","",IF($G1793="","",IF($D1793="Direct Expiry",$G1793,EDATE($G1793,$F1793)))),"Check Date")</f>
        <v/>
      </c>
      <c r="I1793" s="12" t="str">
        <f aca="true">IF($H1793="","",IF(ISNUMBER($H1793),$H1793-TODAY(),""))</f>
        <v/>
      </c>
      <c r="J1793" s="4" t="str">
        <f aca="true">IF($D1793="Manual Review","Manual Review",IF($G1793="","No Data",IF(NOT(ISNUMBER($H1793)),"N/A",IF($H1793&lt;TODAY(),"Overdue",IF($H1793&lt;=TODAY()+30,"Due within 1 Month",IF($H1793&lt;=TODAY()+60,"Due within 2 Months","OK"))))))</f>
        <v>No Data</v>
      </c>
      <c r="K1793" s="13"/>
    </row>
    <row r="1794" customFormat="false" ht="15" hidden="false" customHeight="false" outlineLevel="0" collapsed="false">
      <c r="A1794" s="9" t="str">
        <f aca="false">Vessels!B20</f>
        <v>Vessel 16</v>
      </c>
      <c r="B1794" s="9" t="s">
        <v>136</v>
      </c>
      <c r="C1794" s="7" t="s">
        <v>155</v>
      </c>
      <c r="D1794" s="9" t="s">
        <v>45</v>
      </c>
      <c r="E1794" s="9" t="s">
        <v>44</v>
      </c>
      <c r="F1794" s="5" t="n">
        <v>12</v>
      </c>
      <c r="G1794" s="10"/>
      <c r="H1794" s="11" t="str">
        <f aca="false">IFERROR(IF($D1794="Manual Review","",IF($G1794="","",IF($D1794="Direct Expiry",$G1794,EDATE($G1794,$F1794)))),"Check Date")</f>
        <v/>
      </c>
      <c r="I1794" s="12" t="str">
        <f aca="true">IF($H1794="","",IF(ISNUMBER($H1794),$H1794-TODAY(),""))</f>
        <v/>
      </c>
      <c r="J1794" s="4" t="str">
        <f aca="true">IF($D1794="Manual Review","Manual Review",IF($G1794="","No Data",IF(NOT(ISNUMBER($H1794)),"N/A",IF($H1794&lt;TODAY(),"Overdue",IF($H1794&lt;=TODAY()+30,"Due within 1 Month",IF($H1794&lt;=TODAY()+60,"Due within 2 Months","OK"))))))</f>
        <v>No Data</v>
      </c>
      <c r="K1794" s="13"/>
    </row>
    <row r="1795" customFormat="false" ht="15" hidden="false" customHeight="false" outlineLevel="0" collapsed="false">
      <c r="A1795" s="9" t="str">
        <f aca="false">Vessels!B20</f>
        <v>Vessel 16</v>
      </c>
      <c r="B1795" s="9" t="s">
        <v>136</v>
      </c>
      <c r="C1795" s="7" t="s">
        <v>156</v>
      </c>
      <c r="D1795" s="9" t="s">
        <v>45</v>
      </c>
      <c r="E1795" s="9" t="s">
        <v>44</v>
      </c>
      <c r="F1795" s="5" t="n">
        <v>12</v>
      </c>
      <c r="G1795" s="10"/>
      <c r="H1795" s="11" t="str">
        <f aca="false">IFERROR(IF($D1795="Manual Review","",IF($G1795="","",IF($D1795="Direct Expiry",$G1795,EDATE($G1795,$F1795)))),"Check Date")</f>
        <v/>
      </c>
      <c r="I1795" s="12" t="str">
        <f aca="true">IF($H1795="","",IF(ISNUMBER($H1795),$H1795-TODAY(),""))</f>
        <v/>
      </c>
      <c r="J1795" s="4" t="str">
        <f aca="true">IF($D1795="Manual Review","Manual Review",IF($G1795="","No Data",IF(NOT(ISNUMBER($H1795)),"N/A",IF($H1795&lt;TODAY(),"Overdue",IF($H1795&lt;=TODAY()+30,"Due within 1 Month",IF($H1795&lt;=TODAY()+60,"Due within 2 Months","OK"))))))</f>
        <v>No Data</v>
      </c>
      <c r="K1795" s="13"/>
    </row>
    <row r="1796" customFormat="false" ht="15" hidden="false" customHeight="false" outlineLevel="0" collapsed="false">
      <c r="A1796" s="9" t="str">
        <f aca="false">Vessels!B20</f>
        <v>Vessel 16</v>
      </c>
      <c r="B1796" s="9" t="s">
        <v>136</v>
      </c>
      <c r="C1796" s="7" t="s">
        <v>157</v>
      </c>
      <c r="D1796" s="9" t="s">
        <v>45</v>
      </c>
      <c r="E1796" s="9" t="s">
        <v>44</v>
      </c>
      <c r="F1796" s="5" t="n">
        <v>12</v>
      </c>
      <c r="G1796" s="10"/>
      <c r="H1796" s="11" t="str">
        <f aca="false">IFERROR(IF($D1796="Manual Review","",IF($G1796="","",IF($D1796="Direct Expiry",$G1796,EDATE($G1796,$F1796)))),"Check Date")</f>
        <v/>
      </c>
      <c r="I1796" s="12" t="str">
        <f aca="true">IF($H1796="","",IF(ISNUMBER($H1796),$H1796-TODAY(),""))</f>
        <v/>
      </c>
      <c r="J1796" s="4" t="str">
        <f aca="true">IF($D1796="Manual Review","Manual Review",IF($G1796="","No Data",IF(NOT(ISNUMBER($H1796)),"N/A",IF($H1796&lt;TODAY(),"Overdue",IF($H1796&lt;=TODAY()+30,"Due within 1 Month",IF($H1796&lt;=TODAY()+60,"Due within 2 Months","OK"))))))</f>
        <v>No Data</v>
      </c>
      <c r="K1796" s="13"/>
    </row>
    <row r="1797" customFormat="false" ht="15" hidden="false" customHeight="false" outlineLevel="0" collapsed="false">
      <c r="A1797" s="9" t="str">
        <f aca="false">Vessels!B21</f>
        <v>Vessel 17</v>
      </c>
      <c r="B1797" s="9" t="s">
        <v>42</v>
      </c>
      <c r="C1797" s="7" t="s">
        <v>43</v>
      </c>
      <c r="D1797" s="9" t="s">
        <v>45</v>
      </c>
      <c r="E1797" s="9" t="s">
        <v>44</v>
      </c>
      <c r="F1797" s="5" t="n">
        <v>12</v>
      </c>
      <c r="G1797" s="10"/>
      <c r="H1797" s="11" t="str">
        <f aca="false">IFERROR(IF($D1797="Manual Review","",IF($G1797="","",IF($D1797="Direct Expiry",$G1797,EDATE($G1797,$F1797)))),"Check Date")</f>
        <v/>
      </c>
      <c r="I1797" s="12" t="str">
        <f aca="true">IF($H1797="","",IF(ISNUMBER($H1797),$H1797-TODAY(),""))</f>
        <v/>
      </c>
      <c r="J1797" s="4" t="str">
        <f aca="true">IF($D1797="Manual Review","Manual Review",IF($G1797="","No Data",IF(NOT(ISNUMBER($H1797)),"N/A",IF($H1797&lt;TODAY(),"Overdue",IF($H1797&lt;=TODAY()+30,"Due within 1 Month",IF($H1797&lt;=TODAY()+60,"Due within 2 Months","OK"))))))</f>
        <v>No Data</v>
      </c>
      <c r="K1797" s="13"/>
    </row>
    <row r="1798" customFormat="false" ht="15" hidden="false" customHeight="false" outlineLevel="0" collapsed="false">
      <c r="A1798" s="9" t="str">
        <f aca="false">Vessels!B21</f>
        <v>Vessel 17</v>
      </c>
      <c r="B1798" s="9" t="s">
        <v>42</v>
      </c>
      <c r="C1798" s="7" t="s">
        <v>43</v>
      </c>
      <c r="D1798" s="9" t="s">
        <v>45</v>
      </c>
      <c r="E1798" s="9" t="s">
        <v>46</v>
      </c>
      <c r="F1798" s="5" t="n">
        <v>60</v>
      </c>
      <c r="G1798" s="10"/>
      <c r="H1798" s="11" t="str">
        <f aca="false">IFERROR(IF($D1798="Manual Review","",IF($G1798="","",IF($D1798="Direct Expiry",$G1798,EDATE($G1798,$F1798)))),"Check Date")</f>
        <v/>
      </c>
      <c r="I1798" s="12" t="str">
        <f aca="true">IF($H1798="","",IF(ISNUMBER($H1798),$H1798-TODAY(),""))</f>
        <v/>
      </c>
      <c r="J1798" s="4" t="str">
        <f aca="true">IF($D1798="Manual Review","Manual Review",IF($G1798="","No Data",IF(NOT(ISNUMBER($H1798)),"N/A",IF($H1798&lt;TODAY(),"Overdue",IF($H1798&lt;=TODAY()+30,"Due within 1 Month",IF($H1798&lt;=TODAY()+60,"Due within 2 Months","OK"))))))</f>
        <v>No Data</v>
      </c>
      <c r="K1798" s="13"/>
    </row>
    <row r="1799" customFormat="false" ht="15" hidden="false" customHeight="false" outlineLevel="0" collapsed="false">
      <c r="A1799" s="9" t="str">
        <f aca="false">Vessels!B21</f>
        <v>Vessel 17</v>
      </c>
      <c r="B1799" s="9" t="s">
        <v>42</v>
      </c>
      <c r="C1799" s="7" t="s">
        <v>47</v>
      </c>
      <c r="D1799" s="9" t="s">
        <v>45</v>
      </c>
      <c r="E1799" s="9" t="s">
        <v>44</v>
      </c>
      <c r="F1799" s="5" t="n">
        <v>12</v>
      </c>
      <c r="G1799" s="10"/>
      <c r="H1799" s="11" t="str">
        <f aca="false">IFERROR(IF($D1799="Manual Review","",IF($G1799="","",IF($D1799="Direct Expiry",$G1799,EDATE($G1799,$F1799)))),"Check Date")</f>
        <v/>
      </c>
      <c r="I1799" s="12" t="str">
        <f aca="true">IF($H1799="","",IF(ISNUMBER($H1799),$H1799-TODAY(),""))</f>
        <v/>
      </c>
      <c r="J1799" s="4" t="str">
        <f aca="true">IF($D1799="Manual Review","Manual Review",IF($G1799="","No Data",IF(NOT(ISNUMBER($H1799)),"N/A",IF($H1799&lt;TODAY(),"Overdue",IF($H1799&lt;=TODAY()+30,"Due within 1 Month",IF($H1799&lt;=TODAY()+60,"Due within 2 Months","OK"))))))</f>
        <v>No Data</v>
      </c>
      <c r="K1799" s="13"/>
    </row>
    <row r="1800" customFormat="false" ht="15" hidden="false" customHeight="false" outlineLevel="0" collapsed="false">
      <c r="A1800" s="9" t="str">
        <f aca="false">Vessels!B21</f>
        <v>Vessel 17</v>
      </c>
      <c r="B1800" s="9" t="s">
        <v>42</v>
      </c>
      <c r="C1800" s="7" t="s">
        <v>47</v>
      </c>
      <c r="D1800" s="9" t="s">
        <v>45</v>
      </c>
      <c r="E1800" s="9" t="s">
        <v>46</v>
      </c>
      <c r="F1800" s="5" t="n">
        <v>60</v>
      </c>
      <c r="G1800" s="10"/>
      <c r="H1800" s="11" t="str">
        <f aca="false">IFERROR(IF($D1800="Manual Review","",IF($G1800="","",IF($D1800="Direct Expiry",$G1800,EDATE($G1800,$F1800)))),"Check Date")</f>
        <v/>
      </c>
      <c r="I1800" s="12" t="str">
        <f aca="true">IF($H1800="","",IF(ISNUMBER($H1800),$H1800-TODAY(),""))</f>
        <v/>
      </c>
      <c r="J1800" s="4" t="str">
        <f aca="true">IF($D1800="Manual Review","Manual Review",IF($G1800="","No Data",IF(NOT(ISNUMBER($H1800)),"N/A",IF($H1800&lt;TODAY(),"Overdue",IF($H1800&lt;=TODAY()+30,"Due within 1 Month",IF($H1800&lt;=TODAY()+60,"Due within 2 Months","OK"))))))</f>
        <v>No Data</v>
      </c>
      <c r="K1800" s="13"/>
    </row>
    <row r="1801" customFormat="false" ht="15" hidden="false" customHeight="false" outlineLevel="0" collapsed="false">
      <c r="A1801" s="9" t="str">
        <f aca="false">Vessels!B21</f>
        <v>Vessel 17</v>
      </c>
      <c r="B1801" s="9" t="s">
        <v>42</v>
      </c>
      <c r="C1801" s="7" t="s">
        <v>48</v>
      </c>
      <c r="D1801" s="9" t="s">
        <v>45</v>
      </c>
      <c r="E1801" s="9" t="s">
        <v>44</v>
      </c>
      <c r="F1801" s="5" t="n">
        <v>12</v>
      </c>
      <c r="G1801" s="10"/>
      <c r="H1801" s="11" t="str">
        <f aca="false">IFERROR(IF($D1801="Manual Review","",IF($G1801="","",IF($D1801="Direct Expiry",$G1801,EDATE($G1801,$F1801)))),"Check Date")</f>
        <v/>
      </c>
      <c r="I1801" s="12" t="str">
        <f aca="true">IF($H1801="","",IF(ISNUMBER($H1801),$H1801-TODAY(),""))</f>
        <v/>
      </c>
      <c r="J1801" s="4" t="str">
        <f aca="true">IF($D1801="Manual Review","Manual Review",IF($G1801="","No Data",IF(NOT(ISNUMBER($H1801)),"N/A",IF($H1801&lt;TODAY(),"Overdue",IF($H1801&lt;=TODAY()+30,"Due within 1 Month",IF($H1801&lt;=TODAY()+60,"Due within 2 Months","OK"))))))</f>
        <v>No Data</v>
      </c>
      <c r="K1801" s="13"/>
    </row>
    <row r="1802" customFormat="false" ht="15" hidden="false" customHeight="false" outlineLevel="0" collapsed="false">
      <c r="A1802" s="9" t="str">
        <f aca="false">Vessels!B21</f>
        <v>Vessel 17</v>
      </c>
      <c r="B1802" s="9" t="s">
        <v>42</v>
      </c>
      <c r="C1802" s="7" t="s">
        <v>48</v>
      </c>
      <c r="D1802" s="9" t="s">
        <v>45</v>
      </c>
      <c r="E1802" s="9" t="s">
        <v>49</v>
      </c>
      <c r="F1802" s="5" t="n">
        <v>60</v>
      </c>
      <c r="G1802" s="10"/>
      <c r="H1802" s="11" t="str">
        <f aca="false">IFERROR(IF($D1802="Manual Review","",IF($G1802="","",IF($D1802="Direct Expiry",$G1802,EDATE($G1802,$F1802)))),"Check Date")</f>
        <v/>
      </c>
      <c r="I1802" s="12" t="str">
        <f aca="true">IF($H1802="","",IF(ISNUMBER($H1802),$H1802-TODAY(),""))</f>
        <v/>
      </c>
      <c r="J1802" s="4" t="str">
        <f aca="true">IF($D1802="Manual Review","Manual Review",IF($G1802="","No Data",IF(NOT(ISNUMBER($H1802)),"N/A",IF($H1802&lt;TODAY(),"Overdue",IF($H1802&lt;=TODAY()+30,"Due within 1 Month",IF($H1802&lt;=TODAY()+60,"Due within 2 Months","OK"))))))</f>
        <v>No Data</v>
      </c>
      <c r="K1802" s="13"/>
    </row>
    <row r="1803" customFormat="false" ht="15" hidden="false" customHeight="false" outlineLevel="0" collapsed="false">
      <c r="A1803" s="9" t="str">
        <f aca="false">Vessels!B21</f>
        <v>Vessel 17</v>
      </c>
      <c r="B1803" s="9" t="s">
        <v>42</v>
      </c>
      <c r="C1803" s="7" t="s">
        <v>50</v>
      </c>
      <c r="D1803" s="9" t="s">
        <v>45</v>
      </c>
      <c r="E1803" s="9" t="s">
        <v>44</v>
      </c>
      <c r="F1803" s="5" t="n">
        <v>12</v>
      </c>
      <c r="G1803" s="10"/>
      <c r="H1803" s="11" t="str">
        <f aca="false">IFERROR(IF($D1803="Manual Review","",IF($G1803="","",IF($D1803="Direct Expiry",$G1803,EDATE($G1803,$F1803)))),"Check Date")</f>
        <v/>
      </c>
      <c r="I1803" s="12" t="str">
        <f aca="true">IF($H1803="","",IF(ISNUMBER($H1803),$H1803-TODAY(),""))</f>
        <v/>
      </c>
      <c r="J1803" s="4" t="str">
        <f aca="true">IF($D1803="Manual Review","Manual Review",IF($G1803="","No Data",IF(NOT(ISNUMBER($H1803)),"N/A",IF($H1803&lt;TODAY(),"Overdue",IF($H1803&lt;=TODAY()+30,"Due within 1 Month",IF($H1803&lt;=TODAY()+60,"Due within 2 Months","OK"))))))</f>
        <v>No Data</v>
      </c>
      <c r="K1803" s="13"/>
    </row>
    <row r="1804" customFormat="false" ht="15" hidden="false" customHeight="false" outlineLevel="0" collapsed="false">
      <c r="A1804" s="9" t="str">
        <f aca="false">Vessels!B21</f>
        <v>Vessel 17</v>
      </c>
      <c r="B1804" s="9" t="s">
        <v>42</v>
      </c>
      <c r="C1804" s="7" t="s">
        <v>50</v>
      </c>
      <c r="D1804" s="9" t="s">
        <v>45</v>
      </c>
      <c r="E1804" s="9" t="s">
        <v>49</v>
      </c>
      <c r="F1804" s="5" t="n">
        <v>60</v>
      </c>
      <c r="G1804" s="10"/>
      <c r="H1804" s="11" t="str">
        <f aca="false">IFERROR(IF($D1804="Manual Review","",IF($G1804="","",IF($D1804="Direct Expiry",$G1804,EDATE($G1804,$F1804)))),"Check Date")</f>
        <v/>
      </c>
      <c r="I1804" s="12" t="str">
        <f aca="true">IF($H1804="","",IF(ISNUMBER($H1804),$H1804-TODAY(),""))</f>
        <v/>
      </c>
      <c r="J1804" s="4" t="str">
        <f aca="true">IF($D1804="Manual Review","Manual Review",IF($G1804="","No Data",IF(NOT(ISNUMBER($H1804)),"N/A",IF($H1804&lt;TODAY(),"Overdue",IF($H1804&lt;=TODAY()+30,"Due within 1 Month",IF($H1804&lt;=TODAY()+60,"Due within 2 Months","OK"))))))</f>
        <v>No Data</v>
      </c>
      <c r="K1804" s="13"/>
    </row>
    <row r="1805" customFormat="false" ht="15" hidden="false" customHeight="false" outlineLevel="0" collapsed="false">
      <c r="A1805" s="9" t="str">
        <f aca="false">Vessels!B21</f>
        <v>Vessel 17</v>
      </c>
      <c r="B1805" s="9" t="s">
        <v>42</v>
      </c>
      <c r="C1805" s="7" t="s">
        <v>51</v>
      </c>
      <c r="D1805" s="9" t="s">
        <v>45</v>
      </c>
      <c r="E1805" s="9" t="s">
        <v>46</v>
      </c>
      <c r="F1805" s="5" t="n">
        <v>60</v>
      </c>
      <c r="G1805" s="10"/>
      <c r="H1805" s="11" t="str">
        <f aca="false">IFERROR(IF($D1805="Manual Review","",IF($G1805="","",IF($D1805="Direct Expiry",$G1805,EDATE($G1805,$F1805)))),"Check Date")</f>
        <v/>
      </c>
      <c r="I1805" s="12" t="str">
        <f aca="true">IF($H1805="","",IF(ISNUMBER($H1805),$H1805-TODAY(),""))</f>
        <v/>
      </c>
      <c r="J1805" s="4" t="str">
        <f aca="true">IF($D1805="Manual Review","Manual Review",IF($G1805="","No Data",IF(NOT(ISNUMBER($H1805)),"N/A",IF($H1805&lt;TODAY(),"Overdue",IF($H1805&lt;=TODAY()+30,"Due within 1 Month",IF($H1805&lt;=TODAY()+60,"Due within 2 Months","OK"))))))</f>
        <v>No Data</v>
      </c>
      <c r="K1805" s="13"/>
    </row>
    <row r="1806" customFormat="false" ht="15" hidden="false" customHeight="false" outlineLevel="0" collapsed="false">
      <c r="A1806" s="9" t="str">
        <f aca="false">Vessels!B21</f>
        <v>Vessel 17</v>
      </c>
      <c r="B1806" s="9" t="s">
        <v>42</v>
      </c>
      <c r="C1806" s="7" t="s">
        <v>52</v>
      </c>
      <c r="D1806" s="9" t="s">
        <v>45</v>
      </c>
      <c r="E1806" s="9" t="s">
        <v>46</v>
      </c>
      <c r="F1806" s="5" t="n">
        <v>60</v>
      </c>
      <c r="G1806" s="10"/>
      <c r="H1806" s="11" t="str">
        <f aca="false">IFERROR(IF($D1806="Manual Review","",IF($G1806="","",IF($D1806="Direct Expiry",$G1806,EDATE($G1806,$F1806)))),"Check Date")</f>
        <v/>
      </c>
      <c r="I1806" s="12" t="str">
        <f aca="true">IF($H1806="","",IF(ISNUMBER($H1806),$H1806-TODAY(),""))</f>
        <v/>
      </c>
      <c r="J1806" s="4" t="str">
        <f aca="true">IF($D1806="Manual Review","Manual Review",IF($G1806="","No Data",IF(NOT(ISNUMBER($H1806)),"N/A",IF($H1806&lt;TODAY(),"Overdue",IF($H1806&lt;=TODAY()+30,"Due within 1 Month",IF($H1806&lt;=TODAY()+60,"Due within 2 Months","OK"))))))</f>
        <v>No Data</v>
      </c>
      <c r="K1806" s="13"/>
    </row>
    <row r="1807" customFormat="false" ht="15" hidden="false" customHeight="false" outlineLevel="0" collapsed="false">
      <c r="A1807" s="9" t="str">
        <f aca="false">Vessels!B21</f>
        <v>Vessel 17</v>
      </c>
      <c r="B1807" s="9" t="s">
        <v>42</v>
      </c>
      <c r="C1807" s="7" t="s">
        <v>53</v>
      </c>
      <c r="D1807" s="9" t="s">
        <v>45</v>
      </c>
      <c r="E1807" s="9" t="s">
        <v>46</v>
      </c>
      <c r="F1807" s="5" t="n">
        <v>60</v>
      </c>
      <c r="G1807" s="10"/>
      <c r="H1807" s="11" t="str">
        <f aca="false">IFERROR(IF($D1807="Manual Review","",IF($G1807="","",IF($D1807="Direct Expiry",$G1807,EDATE($G1807,$F1807)))),"Check Date")</f>
        <v/>
      </c>
      <c r="I1807" s="12" t="str">
        <f aca="true">IF($H1807="","",IF(ISNUMBER($H1807),$H1807-TODAY(),""))</f>
        <v/>
      </c>
      <c r="J1807" s="4" t="str">
        <f aca="true">IF($D1807="Manual Review","Manual Review",IF($G1807="","No Data",IF(NOT(ISNUMBER($H1807)),"N/A",IF($H1807&lt;TODAY(),"Overdue",IF($H1807&lt;=TODAY()+30,"Due within 1 Month",IF($H1807&lt;=TODAY()+60,"Due within 2 Months","OK"))))))</f>
        <v>No Data</v>
      </c>
      <c r="K1807" s="13"/>
    </row>
    <row r="1808" customFormat="false" ht="15" hidden="false" customHeight="false" outlineLevel="0" collapsed="false">
      <c r="A1808" s="9" t="str">
        <f aca="false">Vessels!B21</f>
        <v>Vessel 17</v>
      </c>
      <c r="B1808" s="9" t="s">
        <v>42</v>
      </c>
      <c r="C1808" s="7" t="s">
        <v>54</v>
      </c>
      <c r="D1808" s="9" t="s">
        <v>45</v>
      </c>
      <c r="E1808" s="9" t="s">
        <v>46</v>
      </c>
      <c r="F1808" s="5" t="n">
        <v>60</v>
      </c>
      <c r="G1808" s="10"/>
      <c r="H1808" s="11" t="str">
        <f aca="false">IFERROR(IF($D1808="Manual Review","",IF($G1808="","",IF($D1808="Direct Expiry",$G1808,EDATE($G1808,$F1808)))),"Check Date")</f>
        <v/>
      </c>
      <c r="I1808" s="12" t="str">
        <f aca="true">IF($H1808="","",IF(ISNUMBER($H1808),$H1808-TODAY(),""))</f>
        <v/>
      </c>
      <c r="J1808" s="4" t="str">
        <f aca="true">IF($D1808="Manual Review","Manual Review",IF($G1808="","No Data",IF(NOT(ISNUMBER($H1808)),"N/A",IF($H1808&lt;TODAY(),"Overdue",IF($H1808&lt;=TODAY()+30,"Due within 1 Month",IF($H1808&lt;=TODAY()+60,"Due within 2 Months","OK"))))))</f>
        <v>No Data</v>
      </c>
      <c r="K1808" s="13"/>
    </row>
    <row r="1809" customFormat="false" ht="15" hidden="false" customHeight="false" outlineLevel="0" collapsed="false">
      <c r="A1809" s="9" t="str">
        <f aca="false">Vessels!B21</f>
        <v>Vessel 17</v>
      </c>
      <c r="B1809" s="9" t="s">
        <v>42</v>
      </c>
      <c r="C1809" s="7" t="s">
        <v>55</v>
      </c>
      <c r="D1809" s="9" t="s">
        <v>45</v>
      </c>
      <c r="E1809" s="9" t="s">
        <v>46</v>
      </c>
      <c r="F1809" s="5" t="n">
        <v>60</v>
      </c>
      <c r="G1809" s="10"/>
      <c r="H1809" s="11" t="str">
        <f aca="false">IFERROR(IF($D1809="Manual Review","",IF($G1809="","",IF($D1809="Direct Expiry",$G1809,EDATE($G1809,$F1809)))),"Check Date")</f>
        <v/>
      </c>
      <c r="I1809" s="12" t="str">
        <f aca="true">IF($H1809="","",IF(ISNUMBER($H1809),$H1809-TODAY(),""))</f>
        <v/>
      </c>
      <c r="J1809" s="4" t="str">
        <f aca="true">IF($D1809="Manual Review","Manual Review",IF($G1809="","No Data",IF(NOT(ISNUMBER($H1809)),"N/A",IF($H1809&lt;TODAY(),"Overdue",IF($H1809&lt;=TODAY()+30,"Due within 1 Month",IF($H1809&lt;=TODAY()+60,"Due within 2 Months","OK"))))))</f>
        <v>No Data</v>
      </c>
      <c r="K1809" s="13"/>
    </row>
    <row r="1810" customFormat="false" ht="15" hidden="false" customHeight="false" outlineLevel="0" collapsed="false">
      <c r="A1810" s="9" t="str">
        <f aca="false">Vessels!B21</f>
        <v>Vessel 17</v>
      </c>
      <c r="B1810" s="9" t="s">
        <v>42</v>
      </c>
      <c r="C1810" s="7" t="s">
        <v>56</v>
      </c>
      <c r="D1810" s="9" t="s">
        <v>45</v>
      </c>
      <c r="E1810" s="9" t="s">
        <v>46</v>
      </c>
      <c r="F1810" s="5" t="n">
        <v>60</v>
      </c>
      <c r="G1810" s="10"/>
      <c r="H1810" s="11" t="str">
        <f aca="false">IFERROR(IF($D1810="Manual Review","",IF($G1810="","",IF($D1810="Direct Expiry",$G1810,EDATE($G1810,$F1810)))),"Check Date")</f>
        <v/>
      </c>
      <c r="I1810" s="12" t="str">
        <f aca="true">IF($H1810="","",IF(ISNUMBER($H1810),$H1810-TODAY(),""))</f>
        <v/>
      </c>
      <c r="J1810" s="4" t="str">
        <f aca="true">IF($D1810="Manual Review","Manual Review",IF($G1810="","No Data",IF(NOT(ISNUMBER($H1810)),"N/A",IF($H1810&lt;TODAY(),"Overdue",IF($H1810&lt;=TODAY()+30,"Due within 1 Month",IF($H1810&lt;=TODAY()+60,"Due within 2 Months","OK"))))))</f>
        <v>No Data</v>
      </c>
      <c r="K1810" s="13"/>
    </row>
    <row r="1811" customFormat="false" ht="15" hidden="false" customHeight="false" outlineLevel="0" collapsed="false">
      <c r="A1811" s="9" t="str">
        <f aca="false">Vessels!B21</f>
        <v>Vessel 17</v>
      </c>
      <c r="B1811" s="9" t="s">
        <v>42</v>
      </c>
      <c r="C1811" s="7" t="s">
        <v>57</v>
      </c>
      <c r="D1811" s="9" t="s">
        <v>59</v>
      </c>
      <c r="E1811" s="9" t="s">
        <v>58</v>
      </c>
      <c r="F1811" s="5"/>
      <c r="G1811" s="10"/>
      <c r="H1811" s="11" t="str">
        <f aca="false">IFERROR(IF($D1811="Manual Review","",IF($G1811="","",IF($D1811="Direct Expiry",$G1811,EDATE($G1811,$F1811)))),"Check Date")</f>
        <v/>
      </c>
      <c r="I1811" s="12" t="str">
        <f aca="true">IF($H1811="","",IF(ISNUMBER($H1811),$H1811-TODAY(),""))</f>
        <v/>
      </c>
      <c r="J1811" s="4" t="str">
        <f aca="true">IF($D1811="Manual Review","Manual Review",IF($G1811="","No Data",IF(NOT(ISNUMBER($H1811)),"N/A",IF($H1811&lt;TODAY(),"Overdue",IF($H1811&lt;=TODAY()+30,"Due within 1 Month",IF($H1811&lt;=TODAY()+60,"Due within 2 Months","OK"))))))</f>
        <v>No Data</v>
      </c>
      <c r="K1811" s="13"/>
    </row>
    <row r="1812" customFormat="false" ht="15" hidden="false" customHeight="false" outlineLevel="0" collapsed="false">
      <c r="A1812" s="9" t="str">
        <f aca="false">Vessels!B21</f>
        <v>Vessel 17</v>
      </c>
      <c r="B1812" s="9" t="s">
        <v>42</v>
      </c>
      <c r="C1812" s="7" t="s">
        <v>60</v>
      </c>
      <c r="D1812" s="9" t="s">
        <v>45</v>
      </c>
      <c r="E1812" s="9" t="s">
        <v>44</v>
      </c>
      <c r="F1812" s="5" t="n">
        <v>12</v>
      </c>
      <c r="G1812" s="10"/>
      <c r="H1812" s="11" t="str">
        <f aca="false">IFERROR(IF($D1812="Manual Review","",IF($G1812="","",IF($D1812="Direct Expiry",$G1812,EDATE($G1812,$F1812)))),"Check Date")</f>
        <v/>
      </c>
      <c r="I1812" s="12" t="str">
        <f aca="true">IF($H1812="","",IF(ISNUMBER($H1812),$H1812-TODAY(),""))</f>
        <v/>
      </c>
      <c r="J1812" s="4" t="str">
        <f aca="true">IF($D1812="Manual Review","Manual Review",IF($G1812="","No Data",IF(NOT(ISNUMBER($H1812)),"N/A",IF($H1812&lt;TODAY(),"Overdue",IF($H1812&lt;=TODAY()+30,"Due within 1 Month",IF($H1812&lt;=TODAY()+60,"Due within 2 Months","OK"))))))</f>
        <v>No Data</v>
      </c>
      <c r="K1812" s="13"/>
    </row>
    <row r="1813" customFormat="false" ht="15" hidden="false" customHeight="false" outlineLevel="0" collapsed="false">
      <c r="A1813" s="9" t="str">
        <f aca="false">Vessels!B21</f>
        <v>Vessel 17</v>
      </c>
      <c r="B1813" s="9" t="s">
        <v>42</v>
      </c>
      <c r="C1813" s="7" t="s">
        <v>60</v>
      </c>
      <c r="D1813" s="9" t="s">
        <v>45</v>
      </c>
      <c r="E1813" s="9" t="s">
        <v>46</v>
      </c>
      <c r="F1813" s="5" t="n">
        <v>60</v>
      </c>
      <c r="G1813" s="10"/>
      <c r="H1813" s="11" t="str">
        <f aca="false">IFERROR(IF($D1813="Manual Review","",IF($G1813="","",IF($D1813="Direct Expiry",$G1813,EDATE($G1813,$F1813)))),"Check Date")</f>
        <v/>
      </c>
      <c r="I1813" s="12" t="str">
        <f aca="true">IF($H1813="","",IF(ISNUMBER($H1813),$H1813-TODAY(),""))</f>
        <v/>
      </c>
      <c r="J1813" s="4" t="str">
        <f aca="true">IF($D1813="Manual Review","Manual Review",IF($G1813="","No Data",IF(NOT(ISNUMBER($H1813)),"N/A",IF($H1813&lt;TODAY(),"Overdue",IF($H1813&lt;=TODAY()+30,"Due within 1 Month",IF($H1813&lt;=TODAY()+60,"Due within 2 Months","OK"))))))</f>
        <v>No Data</v>
      </c>
      <c r="K1813" s="13"/>
    </row>
    <row r="1814" customFormat="false" ht="15" hidden="false" customHeight="false" outlineLevel="0" collapsed="false">
      <c r="A1814" s="9" t="str">
        <f aca="false">Vessels!B21</f>
        <v>Vessel 17</v>
      </c>
      <c r="B1814" s="9" t="s">
        <v>42</v>
      </c>
      <c r="C1814" s="7" t="s">
        <v>61</v>
      </c>
      <c r="D1814" s="9" t="s">
        <v>45</v>
      </c>
      <c r="E1814" s="9" t="s">
        <v>44</v>
      </c>
      <c r="F1814" s="5" t="n">
        <v>12</v>
      </c>
      <c r="G1814" s="10"/>
      <c r="H1814" s="11" t="str">
        <f aca="false">IFERROR(IF($D1814="Manual Review","",IF($G1814="","",IF($D1814="Direct Expiry",$G1814,EDATE($G1814,$F1814)))),"Check Date")</f>
        <v/>
      </c>
      <c r="I1814" s="12" t="str">
        <f aca="true">IF($H1814="","",IF(ISNUMBER($H1814),$H1814-TODAY(),""))</f>
        <v/>
      </c>
      <c r="J1814" s="4" t="str">
        <f aca="true">IF($D1814="Manual Review","Manual Review",IF($G1814="","No Data",IF(NOT(ISNUMBER($H1814)),"N/A",IF($H1814&lt;TODAY(),"Overdue",IF($H1814&lt;=TODAY()+30,"Due within 1 Month",IF($H1814&lt;=TODAY()+60,"Due within 2 Months","OK"))))))</f>
        <v>No Data</v>
      </c>
      <c r="K1814" s="13"/>
    </row>
    <row r="1815" customFormat="false" ht="15" hidden="false" customHeight="false" outlineLevel="0" collapsed="false">
      <c r="A1815" s="9" t="str">
        <f aca="false">Vessels!B21</f>
        <v>Vessel 17</v>
      </c>
      <c r="B1815" s="9" t="s">
        <v>42</v>
      </c>
      <c r="C1815" s="7" t="s">
        <v>61</v>
      </c>
      <c r="D1815" s="9" t="s">
        <v>45</v>
      </c>
      <c r="E1815" s="9" t="s">
        <v>46</v>
      </c>
      <c r="F1815" s="5" t="n">
        <v>60</v>
      </c>
      <c r="G1815" s="10"/>
      <c r="H1815" s="11" t="str">
        <f aca="false">IFERROR(IF($D1815="Manual Review","",IF($G1815="","",IF($D1815="Direct Expiry",$G1815,EDATE($G1815,$F1815)))),"Check Date")</f>
        <v/>
      </c>
      <c r="I1815" s="12" t="str">
        <f aca="true">IF($H1815="","",IF(ISNUMBER($H1815),$H1815-TODAY(),""))</f>
        <v/>
      </c>
      <c r="J1815" s="4" t="str">
        <f aca="true">IF($D1815="Manual Review","Manual Review",IF($G1815="","No Data",IF(NOT(ISNUMBER($H1815)),"N/A",IF($H1815&lt;TODAY(),"Overdue",IF($H1815&lt;=TODAY()+30,"Due within 1 Month",IF($H1815&lt;=TODAY()+60,"Due within 2 Months","OK"))))))</f>
        <v>No Data</v>
      </c>
      <c r="K1815" s="13"/>
    </row>
    <row r="1816" customFormat="false" ht="15" hidden="false" customHeight="false" outlineLevel="0" collapsed="false">
      <c r="A1816" s="9" t="str">
        <f aca="false">Vessels!B21</f>
        <v>Vessel 17</v>
      </c>
      <c r="B1816" s="9" t="s">
        <v>42</v>
      </c>
      <c r="C1816" s="7" t="s">
        <v>62</v>
      </c>
      <c r="D1816" s="9" t="s">
        <v>45</v>
      </c>
      <c r="E1816" s="9" t="s">
        <v>44</v>
      </c>
      <c r="F1816" s="5" t="n">
        <v>12</v>
      </c>
      <c r="G1816" s="10"/>
      <c r="H1816" s="11" t="str">
        <f aca="false">IFERROR(IF($D1816="Manual Review","",IF($G1816="","",IF($D1816="Direct Expiry",$G1816,EDATE($G1816,$F1816)))),"Check Date")</f>
        <v/>
      </c>
      <c r="I1816" s="12" t="str">
        <f aca="true">IF($H1816="","",IF(ISNUMBER($H1816),$H1816-TODAY(),""))</f>
        <v/>
      </c>
      <c r="J1816" s="4" t="str">
        <f aca="true">IF($D1816="Manual Review","Manual Review",IF($G1816="","No Data",IF(NOT(ISNUMBER($H1816)),"N/A",IF($H1816&lt;TODAY(),"Overdue",IF($H1816&lt;=TODAY()+30,"Due within 1 Month",IF($H1816&lt;=TODAY()+60,"Due within 2 Months","OK"))))))</f>
        <v>No Data</v>
      </c>
      <c r="K1816" s="13"/>
    </row>
    <row r="1817" customFormat="false" ht="15" hidden="false" customHeight="false" outlineLevel="0" collapsed="false">
      <c r="A1817" s="9" t="str">
        <f aca="false">Vessels!B21</f>
        <v>Vessel 17</v>
      </c>
      <c r="B1817" s="9" t="s">
        <v>42</v>
      </c>
      <c r="C1817" s="7" t="s">
        <v>62</v>
      </c>
      <c r="D1817" s="9" t="s">
        <v>45</v>
      </c>
      <c r="E1817" s="9" t="s">
        <v>49</v>
      </c>
      <c r="F1817" s="5" t="n">
        <v>60</v>
      </c>
      <c r="G1817" s="10"/>
      <c r="H1817" s="11" t="str">
        <f aca="false">IFERROR(IF($D1817="Manual Review","",IF($G1817="","",IF($D1817="Direct Expiry",$G1817,EDATE($G1817,$F1817)))),"Check Date")</f>
        <v/>
      </c>
      <c r="I1817" s="12" t="str">
        <f aca="true">IF($H1817="","",IF(ISNUMBER($H1817),$H1817-TODAY(),""))</f>
        <v/>
      </c>
      <c r="J1817" s="4" t="str">
        <f aca="true">IF($D1817="Manual Review","Manual Review",IF($G1817="","No Data",IF(NOT(ISNUMBER($H1817)),"N/A",IF($H1817&lt;TODAY(),"Overdue",IF($H1817&lt;=TODAY()+30,"Due within 1 Month",IF($H1817&lt;=TODAY()+60,"Due within 2 Months","OK"))))))</f>
        <v>No Data</v>
      </c>
      <c r="K1817" s="13"/>
    </row>
    <row r="1818" customFormat="false" ht="15" hidden="false" customHeight="false" outlineLevel="0" collapsed="false">
      <c r="A1818" s="9" t="str">
        <f aca="false">Vessels!B21</f>
        <v>Vessel 17</v>
      </c>
      <c r="B1818" s="9" t="s">
        <v>42</v>
      </c>
      <c r="C1818" s="7" t="s">
        <v>63</v>
      </c>
      <c r="D1818" s="9" t="s">
        <v>45</v>
      </c>
      <c r="E1818" s="9" t="s">
        <v>44</v>
      </c>
      <c r="F1818" s="5" t="n">
        <v>12</v>
      </c>
      <c r="G1818" s="10"/>
      <c r="H1818" s="11" t="str">
        <f aca="false">IFERROR(IF($D1818="Manual Review","",IF($G1818="","",IF($D1818="Direct Expiry",$G1818,EDATE($G1818,$F1818)))),"Check Date")</f>
        <v/>
      </c>
      <c r="I1818" s="12" t="str">
        <f aca="true">IF($H1818="","",IF(ISNUMBER($H1818),$H1818-TODAY(),""))</f>
        <v/>
      </c>
      <c r="J1818" s="4" t="str">
        <f aca="true">IF($D1818="Manual Review","Manual Review",IF($G1818="","No Data",IF(NOT(ISNUMBER($H1818)),"N/A",IF($H1818&lt;TODAY(),"Overdue",IF($H1818&lt;=TODAY()+30,"Due within 1 Month",IF($H1818&lt;=TODAY()+60,"Due within 2 Months","OK"))))))</f>
        <v>No Data</v>
      </c>
      <c r="K1818" s="13"/>
    </row>
    <row r="1819" customFormat="false" ht="15" hidden="false" customHeight="false" outlineLevel="0" collapsed="false">
      <c r="A1819" s="9" t="str">
        <f aca="false">Vessels!B21</f>
        <v>Vessel 17</v>
      </c>
      <c r="B1819" s="9" t="s">
        <v>42</v>
      </c>
      <c r="C1819" s="7" t="s">
        <v>63</v>
      </c>
      <c r="D1819" s="9" t="s">
        <v>45</v>
      </c>
      <c r="E1819" s="9" t="s">
        <v>49</v>
      </c>
      <c r="F1819" s="5" t="n">
        <v>60</v>
      </c>
      <c r="G1819" s="10"/>
      <c r="H1819" s="11" t="str">
        <f aca="false">IFERROR(IF($D1819="Manual Review","",IF($G1819="","",IF($D1819="Direct Expiry",$G1819,EDATE($G1819,$F1819)))),"Check Date")</f>
        <v/>
      </c>
      <c r="I1819" s="12" t="str">
        <f aca="true">IF($H1819="","",IF(ISNUMBER($H1819),$H1819-TODAY(),""))</f>
        <v/>
      </c>
      <c r="J1819" s="4" t="str">
        <f aca="true">IF($D1819="Manual Review","Manual Review",IF($G1819="","No Data",IF(NOT(ISNUMBER($H1819)),"N/A",IF($H1819&lt;TODAY(),"Overdue",IF($H1819&lt;=TODAY()+30,"Due within 1 Month",IF($H1819&lt;=TODAY()+60,"Due within 2 Months","OK"))))))</f>
        <v>No Data</v>
      </c>
      <c r="K1819" s="13"/>
    </row>
    <row r="1820" customFormat="false" ht="15" hidden="false" customHeight="false" outlineLevel="0" collapsed="false">
      <c r="A1820" s="9" t="str">
        <f aca="false">Vessels!B21</f>
        <v>Vessel 17</v>
      </c>
      <c r="B1820" s="9" t="s">
        <v>42</v>
      </c>
      <c r="C1820" s="7" t="s">
        <v>64</v>
      </c>
      <c r="D1820" s="9" t="s">
        <v>45</v>
      </c>
      <c r="E1820" s="9" t="s">
        <v>46</v>
      </c>
      <c r="F1820" s="5" t="n">
        <v>60</v>
      </c>
      <c r="G1820" s="10"/>
      <c r="H1820" s="11" t="str">
        <f aca="false">IFERROR(IF($D1820="Manual Review","",IF($G1820="","",IF($D1820="Direct Expiry",$G1820,EDATE($G1820,$F1820)))),"Check Date")</f>
        <v/>
      </c>
      <c r="I1820" s="12" t="str">
        <f aca="true">IF($H1820="","",IF(ISNUMBER($H1820),$H1820-TODAY(),""))</f>
        <v/>
      </c>
      <c r="J1820" s="4" t="str">
        <f aca="true">IF($D1820="Manual Review","Manual Review",IF($G1820="","No Data",IF(NOT(ISNUMBER($H1820)),"N/A",IF($H1820&lt;TODAY(),"Overdue",IF($H1820&lt;=TODAY()+30,"Due within 1 Month",IF($H1820&lt;=TODAY()+60,"Due within 2 Months","OK"))))))</f>
        <v>No Data</v>
      </c>
      <c r="K1820" s="13"/>
    </row>
    <row r="1821" customFormat="false" ht="15" hidden="false" customHeight="false" outlineLevel="0" collapsed="false">
      <c r="A1821" s="9" t="str">
        <f aca="false">Vessels!B21</f>
        <v>Vessel 17</v>
      </c>
      <c r="B1821" s="9" t="s">
        <v>42</v>
      </c>
      <c r="C1821" s="7" t="s">
        <v>65</v>
      </c>
      <c r="D1821" s="9" t="s">
        <v>45</v>
      </c>
      <c r="E1821" s="9" t="s">
        <v>46</v>
      </c>
      <c r="F1821" s="5" t="n">
        <v>60</v>
      </c>
      <c r="G1821" s="10"/>
      <c r="H1821" s="11" t="str">
        <f aca="false">IFERROR(IF($D1821="Manual Review","",IF($G1821="","",IF($D1821="Direct Expiry",$G1821,EDATE($G1821,$F1821)))),"Check Date")</f>
        <v/>
      </c>
      <c r="I1821" s="12" t="str">
        <f aca="true">IF($H1821="","",IF(ISNUMBER($H1821),$H1821-TODAY(),""))</f>
        <v/>
      </c>
      <c r="J1821" s="4" t="str">
        <f aca="true">IF($D1821="Manual Review","Manual Review",IF($G1821="","No Data",IF(NOT(ISNUMBER($H1821)),"N/A",IF($H1821&lt;TODAY(),"Overdue",IF($H1821&lt;=TODAY()+30,"Due within 1 Month",IF($H1821&lt;=TODAY()+60,"Due within 2 Months","OK"))))))</f>
        <v>No Data</v>
      </c>
      <c r="K1821" s="13"/>
    </row>
    <row r="1822" customFormat="false" ht="15" hidden="false" customHeight="false" outlineLevel="0" collapsed="false">
      <c r="A1822" s="9" t="str">
        <f aca="false">Vessels!B21</f>
        <v>Vessel 17</v>
      </c>
      <c r="B1822" s="9" t="s">
        <v>42</v>
      </c>
      <c r="C1822" s="7" t="s">
        <v>66</v>
      </c>
      <c r="D1822" s="9" t="s">
        <v>45</v>
      </c>
      <c r="E1822" s="9" t="s">
        <v>46</v>
      </c>
      <c r="F1822" s="5" t="n">
        <v>60</v>
      </c>
      <c r="G1822" s="10"/>
      <c r="H1822" s="11" t="str">
        <f aca="false">IFERROR(IF($D1822="Manual Review","",IF($G1822="","",IF($D1822="Direct Expiry",$G1822,EDATE($G1822,$F1822)))),"Check Date")</f>
        <v/>
      </c>
      <c r="I1822" s="12" t="str">
        <f aca="true">IF($H1822="","",IF(ISNUMBER($H1822),$H1822-TODAY(),""))</f>
        <v/>
      </c>
      <c r="J1822" s="4" t="str">
        <f aca="true">IF($D1822="Manual Review","Manual Review",IF($G1822="","No Data",IF(NOT(ISNUMBER($H1822)),"N/A",IF($H1822&lt;TODAY(),"Overdue",IF($H1822&lt;=TODAY()+30,"Due within 1 Month",IF($H1822&lt;=TODAY()+60,"Due within 2 Months","OK"))))))</f>
        <v>No Data</v>
      </c>
      <c r="K1822" s="13"/>
    </row>
    <row r="1823" customFormat="false" ht="15" hidden="false" customHeight="false" outlineLevel="0" collapsed="false">
      <c r="A1823" s="9" t="str">
        <f aca="false">Vessels!B21</f>
        <v>Vessel 17</v>
      </c>
      <c r="B1823" s="9" t="s">
        <v>42</v>
      </c>
      <c r="C1823" s="7" t="s">
        <v>67</v>
      </c>
      <c r="D1823" s="9" t="s">
        <v>45</v>
      </c>
      <c r="E1823" s="9" t="s">
        <v>46</v>
      </c>
      <c r="F1823" s="5" t="n">
        <v>60</v>
      </c>
      <c r="G1823" s="10"/>
      <c r="H1823" s="11" t="str">
        <f aca="false">IFERROR(IF($D1823="Manual Review","",IF($G1823="","",IF($D1823="Direct Expiry",$G1823,EDATE($G1823,$F1823)))),"Check Date")</f>
        <v/>
      </c>
      <c r="I1823" s="12" t="str">
        <f aca="true">IF($H1823="","",IF(ISNUMBER($H1823),$H1823-TODAY(),""))</f>
        <v/>
      </c>
      <c r="J1823" s="4" t="str">
        <f aca="true">IF($D1823="Manual Review","Manual Review",IF($G1823="","No Data",IF(NOT(ISNUMBER($H1823)),"N/A",IF($H1823&lt;TODAY(),"Overdue",IF($H1823&lt;=TODAY()+30,"Due within 1 Month",IF($H1823&lt;=TODAY()+60,"Due within 2 Months","OK"))))))</f>
        <v>No Data</v>
      </c>
      <c r="K1823" s="13"/>
    </row>
    <row r="1824" customFormat="false" ht="15" hidden="false" customHeight="false" outlineLevel="0" collapsed="false">
      <c r="A1824" s="9" t="str">
        <f aca="false">Vessels!B21</f>
        <v>Vessel 17</v>
      </c>
      <c r="B1824" s="9" t="s">
        <v>42</v>
      </c>
      <c r="C1824" s="7" t="s">
        <v>68</v>
      </c>
      <c r="D1824" s="9" t="s">
        <v>45</v>
      </c>
      <c r="E1824" s="9" t="s">
        <v>46</v>
      </c>
      <c r="F1824" s="5" t="n">
        <v>60</v>
      </c>
      <c r="G1824" s="10"/>
      <c r="H1824" s="11" t="str">
        <f aca="false">IFERROR(IF($D1824="Manual Review","",IF($G1824="","",IF($D1824="Direct Expiry",$G1824,EDATE($G1824,$F1824)))),"Check Date")</f>
        <v/>
      </c>
      <c r="I1824" s="12" t="str">
        <f aca="true">IF($H1824="","",IF(ISNUMBER($H1824),$H1824-TODAY(),""))</f>
        <v/>
      </c>
      <c r="J1824" s="4" t="str">
        <f aca="true">IF($D1824="Manual Review","Manual Review",IF($G1824="","No Data",IF(NOT(ISNUMBER($H1824)),"N/A",IF($H1824&lt;TODAY(),"Overdue",IF($H1824&lt;=TODAY()+30,"Due within 1 Month",IF($H1824&lt;=TODAY()+60,"Due within 2 Months","OK"))))))</f>
        <v>No Data</v>
      </c>
      <c r="K1824" s="13"/>
    </row>
    <row r="1825" customFormat="false" ht="15" hidden="false" customHeight="false" outlineLevel="0" collapsed="false">
      <c r="A1825" s="9" t="str">
        <f aca="false">Vessels!B21</f>
        <v>Vessel 17</v>
      </c>
      <c r="B1825" s="9" t="s">
        <v>42</v>
      </c>
      <c r="C1825" s="7" t="s">
        <v>69</v>
      </c>
      <c r="D1825" s="9" t="s">
        <v>45</v>
      </c>
      <c r="E1825" s="9" t="s">
        <v>46</v>
      </c>
      <c r="F1825" s="5" t="n">
        <v>60</v>
      </c>
      <c r="G1825" s="10"/>
      <c r="H1825" s="11" t="str">
        <f aca="false">IFERROR(IF($D1825="Manual Review","",IF($G1825="","",IF($D1825="Direct Expiry",$G1825,EDATE($G1825,$F1825)))),"Check Date")</f>
        <v/>
      </c>
      <c r="I1825" s="12" t="str">
        <f aca="true">IF($H1825="","",IF(ISNUMBER($H1825),$H1825-TODAY(),""))</f>
        <v/>
      </c>
      <c r="J1825" s="4" t="str">
        <f aca="true">IF($D1825="Manual Review","Manual Review",IF($G1825="","No Data",IF(NOT(ISNUMBER($H1825)),"N/A",IF($H1825&lt;TODAY(),"Overdue",IF($H1825&lt;=TODAY()+30,"Due within 1 Month",IF($H1825&lt;=TODAY()+60,"Due within 2 Months","OK"))))))</f>
        <v>No Data</v>
      </c>
      <c r="K1825" s="13"/>
    </row>
    <row r="1826" customFormat="false" ht="15" hidden="false" customHeight="false" outlineLevel="0" collapsed="false">
      <c r="A1826" s="9" t="str">
        <f aca="false">Vessels!B21</f>
        <v>Vessel 17</v>
      </c>
      <c r="B1826" s="9" t="s">
        <v>42</v>
      </c>
      <c r="C1826" s="7" t="s">
        <v>70</v>
      </c>
      <c r="D1826" s="9" t="s">
        <v>59</v>
      </c>
      <c r="E1826" s="9" t="s">
        <v>58</v>
      </c>
      <c r="F1826" s="5"/>
      <c r="G1826" s="10"/>
      <c r="H1826" s="11" t="str">
        <f aca="false">IFERROR(IF($D1826="Manual Review","",IF($G1826="","",IF($D1826="Direct Expiry",$G1826,EDATE($G1826,$F1826)))),"Check Date")</f>
        <v/>
      </c>
      <c r="I1826" s="12" t="str">
        <f aca="true">IF($H1826="","",IF(ISNUMBER($H1826),$H1826-TODAY(),""))</f>
        <v/>
      </c>
      <c r="J1826" s="4" t="str">
        <f aca="true">IF($D1826="Manual Review","Manual Review",IF($G1826="","No Data",IF(NOT(ISNUMBER($H1826)),"N/A",IF($H1826&lt;TODAY(),"Overdue",IF($H1826&lt;=TODAY()+30,"Due within 1 Month",IF($H1826&lt;=TODAY()+60,"Due within 2 Months","OK"))))))</f>
        <v>No Data</v>
      </c>
      <c r="K1826" s="13"/>
    </row>
    <row r="1827" customFormat="false" ht="15" hidden="false" customHeight="false" outlineLevel="0" collapsed="false">
      <c r="A1827" s="9" t="str">
        <f aca="false">Vessels!B21</f>
        <v>Vessel 17</v>
      </c>
      <c r="B1827" s="9" t="s">
        <v>42</v>
      </c>
      <c r="C1827" s="7" t="s">
        <v>71</v>
      </c>
      <c r="D1827" s="9" t="s">
        <v>45</v>
      </c>
      <c r="E1827" s="9" t="s">
        <v>44</v>
      </c>
      <c r="F1827" s="5" t="n">
        <v>12</v>
      </c>
      <c r="G1827" s="10"/>
      <c r="H1827" s="11" t="str">
        <f aca="false">IFERROR(IF($D1827="Manual Review","",IF($G1827="","",IF($D1827="Direct Expiry",$G1827,EDATE($G1827,$F1827)))),"Check Date")</f>
        <v/>
      </c>
      <c r="I1827" s="12" t="str">
        <f aca="true">IF($H1827="","",IF(ISNUMBER($H1827),$H1827-TODAY(),""))</f>
        <v/>
      </c>
      <c r="J1827" s="4" t="str">
        <f aca="true">IF($D1827="Manual Review","Manual Review",IF($G1827="","No Data",IF(NOT(ISNUMBER($H1827)),"N/A",IF($H1827&lt;TODAY(),"Overdue",IF($H1827&lt;=TODAY()+30,"Due within 1 Month",IF($H1827&lt;=TODAY()+60,"Due within 2 Months","OK"))))))</f>
        <v>No Data</v>
      </c>
      <c r="K1827" s="13"/>
    </row>
    <row r="1828" customFormat="false" ht="15" hidden="false" customHeight="false" outlineLevel="0" collapsed="false">
      <c r="A1828" s="9" t="str">
        <f aca="false">Vessels!B21</f>
        <v>Vessel 17</v>
      </c>
      <c r="B1828" s="9" t="s">
        <v>42</v>
      </c>
      <c r="C1828" s="7" t="s">
        <v>72</v>
      </c>
      <c r="D1828" s="9" t="s">
        <v>59</v>
      </c>
      <c r="E1828" s="9" t="s">
        <v>58</v>
      </c>
      <c r="F1828" s="5"/>
      <c r="G1828" s="10"/>
      <c r="H1828" s="11" t="str">
        <f aca="false">IFERROR(IF($D1828="Manual Review","",IF($G1828="","",IF($D1828="Direct Expiry",$G1828,EDATE($G1828,$F1828)))),"Check Date")</f>
        <v/>
      </c>
      <c r="I1828" s="12" t="str">
        <f aca="true">IF($H1828="","",IF(ISNUMBER($H1828),$H1828-TODAY(),""))</f>
        <v/>
      </c>
      <c r="J1828" s="4" t="str">
        <f aca="true">IF($D1828="Manual Review","Manual Review",IF($G1828="","No Data",IF(NOT(ISNUMBER($H1828)),"N/A",IF($H1828&lt;TODAY(),"Overdue",IF($H1828&lt;=TODAY()+30,"Due within 1 Month",IF($H1828&lt;=TODAY()+60,"Due within 2 Months","OK"))))))</f>
        <v>No Data</v>
      </c>
      <c r="K1828" s="13"/>
    </row>
    <row r="1829" customFormat="false" ht="15" hidden="false" customHeight="false" outlineLevel="0" collapsed="false">
      <c r="A1829" s="9" t="str">
        <f aca="false">Vessels!B21</f>
        <v>Vessel 17</v>
      </c>
      <c r="B1829" s="9" t="s">
        <v>42</v>
      </c>
      <c r="C1829" s="7" t="s">
        <v>73</v>
      </c>
      <c r="D1829" s="9" t="s">
        <v>45</v>
      </c>
      <c r="E1829" s="9" t="s">
        <v>44</v>
      </c>
      <c r="F1829" s="5" t="n">
        <v>12</v>
      </c>
      <c r="G1829" s="10"/>
      <c r="H1829" s="11" t="str">
        <f aca="false">IFERROR(IF($D1829="Manual Review","",IF($G1829="","",IF($D1829="Direct Expiry",$G1829,EDATE($G1829,$F1829)))),"Check Date")</f>
        <v/>
      </c>
      <c r="I1829" s="12" t="str">
        <f aca="true">IF($H1829="","",IF(ISNUMBER($H1829),$H1829-TODAY(),""))</f>
        <v/>
      </c>
      <c r="J1829" s="4" t="str">
        <f aca="true">IF($D1829="Manual Review","Manual Review",IF($G1829="","No Data",IF(NOT(ISNUMBER($H1829)),"N/A",IF($H1829&lt;TODAY(),"Overdue",IF($H1829&lt;=TODAY()+30,"Due within 1 Month",IF($H1829&lt;=TODAY()+60,"Due within 2 Months","OK"))))))</f>
        <v>No Data</v>
      </c>
      <c r="K1829" s="13"/>
    </row>
    <row r="1830" customFormat="false" ht="15" hidden="false" customHeight="false" outlineLevel="0" collapsed="false">
      <c r="A1830" s="9" t="str">
        <f aca="false">Vessels!B21</f>
        <v>Vessel 17</v>
      </c>
      <c r="B1830" s="9" t="s">
        <v>42</v>
      </c>
      <c r="C1830" s="7" t="s">
        <v>74</v>
      </c>
      <c r="D1830" s="9" t="s">
        <v>59</v>
      </c>
      <c r="E1830" s="9" t="s">
        <v>58</v>
      </c>
      <c r="F1830" s="5"/>
      <c r="G1830" s="10"/>
      <c r="H1830" s="11" t="str">
        <f aca="false">IFERROR(IF($D1830="Manual Review","",IF($G1830="","",IF($D1830="Direct Expiry",$G1830,EDATE($G1830,$F1830)))),"Check Date")</f>
        <v/>
      </c>
      <c r="I1830" s="12" t="str">
        <f aca="true">IF($H1830="","",IF(ISNUMBER($H1830),$H1830-TODAY(),""))</f>
        <v/>
      </c>
      <c r="J1830" s="4" t="str">
        <f aca="true">IF($D1830="Manual Review","Manual Review",IF($G1830="","No Data",IF(NOT(ISNUMBER($H1830)),"N/A",IF($H1830&lt;TODAY(),"Overdue",IF($H1830&lt;=TODAY()+30,"Due within 1 Month",IF($H1830&lt;=TODAY()+60,"Due within 2 Months","OK"))))))</f>
        <v>No Data</v>
      </c>
      <c r="K1830" s="13"/>
    </row>
    <row r="1831" customFormat="false" ht="15" hidden="false" customHeight="false" outlineLevel="0" collapsed="false">
      <c r="A1831" s="9" t="str">
        <f aca="false">Vessels!B21</f>
        <v>Vessel 17</v>
      </c>
      <c r="B1831" s="9" t="s">
        <v>42</v>
      </c>
      <c r="C1831" s="7" t="s">
        <v>75</v>
      </c>
      <c r="D1831" s="9" t="s">
        <v>45</v>
      </c>
      <c r="E1831" s="9" t="s">
        <v>44</v>
      </c>
      <c r="F1831" s="5" t="n">
        <v>12</v>
      </c>
      <c r="G1831" s="10"/>
      <c r="H1831" s="11" t="str">
        <f aca="false">IFERROR(IF($D1831="Manual Review","",IF($G1831="","",IF($D1831="Direct Expiry",$G1831,EDATE($G1831,$F1831)))),"Check Date")</f>
        <v/>
      </c>
      <c r="I1831" s="12" t="str">
        <f aca="true">IF($H1831="","",IF(ISNUMBER($H1831),$H1831-TODAY(),""))</f>
        <v/>
      </c>
      <c r="J1831" s="4" t="str">
        <f aca="true">IF($D1831="Manual Review","Manual Review",IF($G1831="","No Data",IF(NOT(ISNUMBER($H1831)),"N/A",IF($H1831&lt;TODAY(),"Overdue",IF($H1831&lt;=TODAY()+30,"Due within 1 Month",IF($H1831&lt;=TODAY()+60,"Due within 2 Months","OK"))))))</f>
        <v>No Data</v>
      </c>
      <c r="K1831" s="13"/>
    </row>
    <row r="1832" customFormat="false" ht="15" hidden="false" customHeight="false" outlineLevel="0" collapsed="false">
      <c r="A1832" s="9" t="str">
        <f aca="false">Vessels!B21</f>
        <v>Vessel 17</v>
      </c>
      <c r="B1832" s="9" t="s">
        <v>42</v>
      </c>
      <c r="C1832" s="7" t="s">
        <v>76</v>
      </c>
      <c r="D1832" s="9" t="s">
        <v>59</v>
      </c>
      <c r="E1832" s="9" t="s">
        <v>58</v>
      </c>
      <c r="F1832" s="5"/>
      <c r="G1832" s="10"/>
      <c r="H1832" s="11" t="str">
        <f aca="false">IFERROR(IF($D1832="Manual Review","",IF($G1832="","",IF($D1832="Direct Expiry",$G1832,EDATE($G1832,$F1832)))),"Check Date")</f>
        <v/>
      </c>
      <c r="I1832" s="12" t="str">
        <f aca="true">IF($H1832="","",IF(ISNUMBER($H1832),$H1832-TODAY(),""))</f>
        <v/>
      </c>
      <c r="J1832" s="4" t="str">
        <f aca="true">IF($D1832="Manual Review","Manual Review",IF($G1832="","No Data",IF(NOT(ISNUMBER($H1832)),"N/A",IF($H1832&lt;TODAY(),"Overdue",IF($H1832&lt;=TODAY()+30,"Due within 1 Month",IF($H1832&lt;=TODAY()+60,"Due within 2 Months","OK"))))))</f>
        <v>No Data</v>
      </c>
      <c r="K1832" s="13"/>
    </row>
    <row r="1833" customFormat="false" ht="15" hidden="false" customHeight="false" outlineLevel="0" collapsed="false">
      <c r="A1833" s="9" t="str">
        <f aca="false">Vessels!B21</f>
        <v>Vessel 17</v>
      </c>
      <c r="B1833" s="9" t="s">
        <v>42</v>
      </c>
      <c r="C1833" s="7" t="s">
        <v>77</v>
      </c>
      <c r="D1833" s="9" t="s">
        <v>59</v>
      </c>
      <c r="E1833" s="9" t="s">
        <v>58</v>
      </c>
      <c r="F1833" s="5"/>
      <c r="G1833" s="10"/>
      <c r="H1833" s="11" t="str">
        <f aca="false">IFERROR(IF($D1833="Manual Review","",IF($G1833="","",IF($D1833="Direct Expiry",$G1833,EDATE($G1833,$F1833)))),"Check Date")</f>
        <v/>
      </c>
      <c r="I1833" s="12" t="str">
        <f aca="true">IF($H1833="","",IF(ISNUMBER($H1833),$H1833-TODAY(),""))</f>
        <v/>
      </c>
      <c r="J1833" s="4" t="str">
        <f aca="true">IF($D1833="Manual Review","Manual Review",IF($G1833="","No Data",IF(NOT(ISNUMBER($H1833)),"N/A",IF($H1833&lt;TODAY(),"Overdue",IF($H1833&lt;=TODAY()+30,"Due within 1 Month",IF($H1833&lt;=TODAY()+60,"Due within 2 Months","OK"))))))</f>
        <v>No Data</v>
      </c>
      <c r="K1833" s="13"/>
    </row>
    <row r="1834" customFormat="false" ht="15" hidden="false" customHeight="false" outlineLevel="0" collapsed="false">
      <c r="A1834" s="9" t="str">
        <f aca="false">Vessels!B21</f>
        <v>Vessel 17</v>
      </c>
      <c r="B1834" s="9" t="s">
        <v>42</v>
      </c>
      <c r="C1834" s="7" t="s">
        <v>78</v>
      </c>
      <c r="D1834" s="9" t="s">
        <v>59</v>
      </c>
      <c r="E1834" s="9" t="s">
        <v>58</v>
      </c>
      <c r="F1834" s="5"/>
      <c r="G1834" s="10"/>
      <c r="H1834" s="11" t="str">
        <f aca="false">IFERROR(IF($D1834="Manual Review","",IF($G1834="","",IF($D1834="Direct Expiry",$G1834,EDATE($G1834,$F1834)))),"Check Date")</f>
        <v/>
      </c>
      <c r="I1834" s="12" t="str">
        <f aca="true">IF($H1834="","",IF(ISNUMBER($H1834),$H1834-TODAY(),""))</f>
        <v/>
      </c>
      <c r="J1834" s="4" t="str">
        <f aca="true">IF($D1834="Manual Review","Manual Review",IF($G1834="","No Data",IF(NOT(ISNUMBER($H1834)),"N/A",IF($H1834&lt;TODAY(),"Overdue",IF($H1834&lt;=TODAY()+30,"Due within 1 Month",IF($H1834&lt;=TODAY()+60,"Due within 2 Months","OK"))))))</f>
        <v>No Data</v>
      </c>
      <c r="K1834" s="13"/>
    </row>
    <row r="1835" customFormat="false" ht="15" hidden="false" customHeight="false" outlineLevel="0" collapsed="false">
      <c r="A1835" s="9" t="str">
        <f aca="false">Vessels!B21</f>
        <v>Vessel 17</v>
      </c>
      <c r="B1835" s="9" t="s">
        <v>42</v>
      </c>
      <c r="C1835" s="7" t="s">
        <v>79</v>
      </c>
      <c r="D1835" s="9" t="s">
        <v>45</v>
      </c>
      <c r="E1835" s="9" t="s">
        <v>44</v>
      </c>
      <c r="F1835" s="5" t="n">
        <v>12</v>
      </c>
      <c r="G1835" s="10"/>
      <c r="H1835" s="11" t="str">
        <f aca="false">IFERROR(IF($D1835="Manual Review","",IF($G1835="","",IF($D1835="Direct Expiry",$G1835,EDATE($G1835,$F1835)))),"Check Date")</f>
        <v/>
      </c>
      <c r="I1835" s="12" t="str">
        <f aca="true">IF($H1835="","",IF(ISNUMBER($H1835),$H1835-TODAY(),""))</f>
        <v/>
      </c>
      <c r="J1835" s="4" t="str">
        <f aca="true">IF($D1835="Manual Review","Manual Review",IF($G1835="","No Data",IF(NOT(ISNUMBER($H1835)),"N/A",IF($H1835&lt;TODAY(),"Overdue",IF($H1835&lt;=TODAY()+30,"Due within 1 Month",IF($H1835&lt;=TODAY()+60,"Due within 2 Months","OK"))))))</f>
        <v>No Data</v>
      </c>
      <c r="K1835" s="13"/>
    </row>
    <row r="1836" customFormat="false" ht="15" hidden="false" customHeight="false" outlineLevel="0" collapsed="false">
      <c r="A1836" s="9" t="str">
        <f aca="false">Vessels!B21</f>
        <v>Vessel 17</v>
      </c>
      <c r="B1836" s="9" t="s">
        <v>42</v>
      </c>
      <c r="C1836" s="7" t="s">
        <v>80</v>
      </c>
      <c r="D1836" s="9" t="s">
        <v>45</v>
      </c>
      <c r="E1836" s="9" t="s">
        <v>81</v>
      </c>
      <c r="F1836" s="5" t="n">
        <v>36</v>
      </c>
      <c r="G1836" s="10"/>
      <c r="H1836" s="11" t="str">
        <f aca="false">IFERROR(IF($D1836="Manual Review","",IF($G1836="","",IF($D1836="Direct Expiry",$G1836,EDATE($G1836,$F1836)))),"Check Date")</f>
        <v/>
      </c>
      <c r="I1836" s="12" t="str">
        <f aca="true">IF($H1836="","",IF(ISNUMBER($H1836),$H1836-TODAY(),""))</f>
        <v/>
      </c>
      <c r="J1836" s="4" t="str">
        <f aca="true">IF($D1836="Manual Review","Manual Review",IF($G1836="","No Data",IF(NOT(ISNUMBER($H1836)),"N/A",IF($H1836&lt;TODAY(),"Overdue",IF($H1836&lt;=TODAY()+30,"Due within 1 Month",IF($H1836&lt;=TODAY()+60,"Due within 2 Months","OK"))))))</f>
        <v>No Data</v>
      </c>
      <c r="K1836" s="13"/>
    </row>
    <row r="1837" customFormat="false" ht="15" hidden="false" customHeight="false" outlineLevel="0" collapsed="false">
      <c r="A1837" s="9" t="str">
        <f aca="false">Vessels!B21</f>
        <v>Vessel 17</v>
      </c>
      <c r="B1837" s="9" t="s">
        <v>42</v>
      </c>
      <c r="C1837" s="7" t="s">
        <v>80</v>
      </c>
      <c r="D1837" s="9" t="s">
        <v>45</v>
      </c>
      <c r="E1837" s="9" t="s">
        <v>82</v>
      </c>
      <c r="F1837" s="5" t="n">
        <v>24</v>
      </c>
      <c r="G1837" s="10"/>
      <c r="H1837" s="11" t="str">
        <f aca="false">IFERROR(IF($D1837="Manual Review","",IF($G1837="","",IF($D1837="Direct Expiry",$G1837,EDATE($G1837,$F1837)))),"Check Date")</f>
        <v/>
      </c>
      <c r="I1837" s="12" t="str">
        <f aca="true">IF($H1837="","",IF(ISNUMBER($H1837),$H1837-TODAY(),""))</f>
        <v/>
      </c>
      <c r="J1837" s="4" t="str">
        <f aca="true">IF($D1837="Manual Review","Manual Review",IF($G1837="","No Data",IF(NOT(ISNUMBER($H1837)),"N/A",IF($H1837&lt;TODAY(),"Overdue",IF($H1837&lt;=TODAY()+30,"Due within 1 Month",IF($H1837&lt;=TODAY()+60,"Due within 2 Months","OK"))))))</f>
        <v>No Data</v>
      </c>
      <c r="K1837" s="13"/>
    </row>
    <row r="1838" customFormat="false" ht="15" hidden="false" customHeight="false" outlineLevel="0" collapsed="false">
      <c r="A1838" s="9" t="str">
        <f aca="false">Vessels!B21</f>
        <v>Vessel 17</v>
      </c>
      <c r="B1838" s="9" t="s">
        <v>42</v>
      </c>
      <c r="C1838" s="7" t="s">
        <v>83</v>
      </c>
      <c r="D1838" s="9" t="s">
        <v>45</v>
      </c>
      <c r="E1838" s="9" t="s">
        <v>44</v>
      </c>
      <c r="F1838" s="5" t="n">
        <v>12</v>
      </c>
      <c r="G1838" s="10"/>
      <c r="H1838" s="11" t="str">
        <f aca="false">IFERROR(IF($D1838="Manual Review","",IF($G1838="","",IF($D1838="Direct Expiry",$G1838,EDATE($G1838,$F1838)))),"Check Date")</f>
        <v/>
      </c>
      <c r="I1838" s="12" t="str">
        <f aca="true">IF($H1838="","",IF(ISNUMBER($H1838),$H1838-TODAY(),""))</f>
        <v/>
      </c>
      <c r="J1838" s="4" t="str">
        <f aca="true">IF($D1838="Manual Review","Manual Review",IF($G1838="","No Data",IF(NOT(ISNUMBER($H1838)),"N/A",IF($H1838&lt;TODAY(),"Overdue",IF($H1838&lt;=TODAY()+30,"Due within 1 Month",IF($H1838&lt;=TODAY()+60,"Due within 2 Months","OK"))))))</f>
        <v>No Data</v>
      </c>
      <c r="K1838" s="13"/>
    </row>
    <row r="1839" customFormat="false" ht="15" hidden="false" customHeight="false" outlineLevel="0" collapsed="false">
      <c r="A1839" s="9" t="str">
        <f aca="false">Vessels!B21</f>
        <v>Vessel 17</v>
      </c>
      <c r="B1839" s="9" t="s">
        <v>42</v>
      </c>
      <c r="C1839" s="7" t="s">
        <v>83</v>
      </c>
      <c r="D1839" s="9" t="s">
        <v>45</v>
      </c>
      <c r="E1839" s="9" t="s">
        <v>84</v>
      </c>
      <c r="F1839" s="5" t="n">
        <v>60</v>
      </c>
      <c r="G1839" s="10"/>
      <c r="H1839" s="11" t="str">
        <f aca="false">IFERROR(IF($D1839="Manual Review","",IF($G1839="","",IF($D1839="Direct Expiry",$G1839,EDATE($G1839,$F1839)))),"Check Date")</f>
        <v/>
      </c>
      <c r="I1839" s="12" t="str">
        <f aca="true">IF($H1839="","",IF(ISNUMBER($H1839),$H1839-TODAY(),""))</f>
        <v/>
      </c>
      <c r="J1839" s="4" t="str">
        <f aca="true">IF($D1839="Manual Review","Manual Review",IF($G1839="","No Data",IF(NOT(ISNUMBER($H1839)),"N/A",IF($H1839&lt;TODAY(),"Overdue",IF($H1839&lt;=TODAY()+30,"Due within 1 Month",IF($H1839&lt;=TODAY()+60,"Due within 2 Months","OK"))))))</f>
        <v>No Data</v>
      </c>
      <c r="K1839" s="13"/>
    </row>
    <row r="1840" customFormat="false" ht="15" hidden="false" customHeight="false" outlineLevel="0" collapsed="false">
      <c r="A1840" s="9" t="str">
        <f aca="false">Vessels!B21</f>
        <v>Vessel 17</v>
      </c>
      <c r="B1840" s="9" t="s">
        <v>42</v>
      </c>
      <c r="C1840" s="7" t="s">
        <v>85</v>
      </c>
      <c r="D1840" s="9" t="s">
        <v>45</v>
      </c>
      <c r="E1840" s="9" t="s">
        <v>44</v>
      </c>
      <c r="F1840" s="5" t="n">
        <v>12</v>
      </c>
      <c r="G1840" s="10"/>
      <c r="H1840" s="11" t="str">
        <f aca="false">IFERROR(IF($D1840="Manual Review","",IF($G1840="","",IF($D1840="Direct Expiry",$G1840,EDATE($G1840,$F1840)))),"Check Date")</f>
        <v/>
      </c>
      <c r="I1840" s="12" t="str">
        <f aca="true">IF($H1840="","",IF(ISNUMBER($H1840),$H1840-TODAY(),""))</f>
        <v/>
      </c>
      <c r="J1840" s="4" t="str">
        <f aca="true">IF($D1840="Manual Review","Manual Review",IF($G1840="","No Data",IF(NOT(ISNUMBER($H1840)),"N/A",IF($H1840&lt;TODAY(),"Overdue",IF($H1840&lt;=TODAY()+30,"Due within 1 Month",IF($H1840&lt;=TODAY()+60,"Due within 2 Months","OK"))))))</f>
        <v>No Data</v>
      </c>
      <c r="K1840" s="13"/>
    </row>
    <row r="1841" customFormat="false" ht="15" hidden="false" customHeight="false" outlineLevel="0" collapsed="false">
      <c r="A1841" s="9" t="str">
        <f aca="false">Vessels!B21</f>
        <v>Vessel 17</v>
      </c>
      <c r="B1841" s="9" t="s">
        <v>42</v>
      </c>
      <c r="C1841" s="7" t="s">
        <v>85</v>
      </c>
      <c r="D1841" s="9" t="s">
        <v>45</v>
      </c>
      <c r="E1841" s="9" t="s">
        <v>84</v>
      </c>
      <c r="F1841" s="5" t="n">
        <v>60</v>
      </c>
      <c r="G1841" s="10"/>
      <c r="H1841" s="11" t="str">
        <f aca="false">IFERROR(IF($D1841="Manual Review","",IF($G1841="","",IF($D1841="Direct Expiry",$G1841,EDATE($G1841,$F1841)))),"Check Date")</f>
        <v/>
      </c>
      <c r="I1841" s="12" t="str">
        <f aca="true">IF($H1841="","",IF(ISNUMBER($H1841),$H1841-TODAY(),""))</f>
        <v/>
      </c>
      <c r="J1841" s="4" t="str">
        <f aca="true">IF($D1841="Manual Review","Manual Review",IF($G1841="","No Data",IF(NOT(ISNUMBER($H1841)),"N/A",IF($H1841&lt;TODAY(),"Overdue",IF($H1841&lt;=TODAY()+30,"Due within 1 Month",IF($H1841&lt;=TODAY()+60,"Due within 2 Months","OK"))))))</f>
        <v>No Data</v>
      </c>
      <c r="K1841" s="13"/>
    </row>
    <row r="1842" customFormat="false" ht="15" hidden="false" customHeight="false" outlineLevel="0" collapsed="false">
      <c r="A1842" s="9" t="str">
        <f aca="false">Vessels!B21</f>
        <v>Vessel 17</v>
      </c>
      <c r="B1842" s="9" t="s">
        <v>42</v>
      </c>
      <c r="C1842" s="7" t="s">
        <v>86</v>
      </c>
      <c r="D1842" s="9" t="s">
        <v>45</v>
      </c>
      <c r="E1842" s="9" t="s">
        <v>44</v>
      </c>
      <c r="F1842" s="5" t="n">
        <v>12</v>
      </c>
      <c r="G1842" s="10"/>
      <c r="H1842" s="11" t="str">
        <f aca="false">IFERROR(IF($D1842="Manual Review","",IF($G1842="","",IF($D1842="Direct Expiry",$G1842,EDATE($G1842,$F1842)))),"Check Date")</f>
        <v/>
      </c>
      <c r="I1842" s="12" t="str">
        <f aca="true">IF($H1842="","",IF(ISNUMBER($H1842),$H1842-TODAY(),""))</f>
        <v/>
      </c>
      <c r="J1842" s="4" t="str">
        <f aca="true">IF($D1842="Manual Review","Manual Review",IF($G1842="","No Data",IF(NOT(ISNUMBER($H1842)),"N/A",IF($H1842&lt;TODAY(),"Overdue",IF($H1842&lt;=TODAY()+30,"Due within 1 Month",IF($H1842&lt;=TODAY()+60,"Due within 2 Months","OK"))))))</f>
        <v>No Data</v>
      </c>
      <c r="K1842" s="13"/>
    </row>
    <row r="1843" customFormat="false" ht="15" hidden="false" customHeight="false" outlineLevel="0" collapsed="false">
      <c r="A1843" s="9" t="str">
        <f aca="false">Vessels!B21</f>
        <v>Vessel 17</v>
      </c>
      <c r="B1843" s="9" t="s">
        <v>42</v>
      </c>
      <c r="C1843" s="7" t="s">
        <v>87</v>
      </c>
      <c r="D1843" s="9" t="s">
        <v>45</v>
      </c>
      <c r="E1843" s="9" t="s">
        <v>44</v>
      </c>
      <c r="F1843" s="5" t="n">
        <v>12</v>
      </c>
      <c r="G1843" s="10"/>
      <c r="H1843" s="11" t="str">
        <f aca="false">IFERROR(IF($D1843="Manual Review","",IF($G1843="","",IF($D1843="Direct Expiry",$G1843,EDATE($G1843,$F1843)))),"Check Date")</f>
        <v/>
      </c>
      <c r="I1843" s="12" t="str">
        <f aca="true">IF($H1843="","",IF(ISNUMBER($H1843),$H1843-TODAY(),""))</f>
        <v/>
      </c>
      <c r="J1843" s="4" t="str">
        <f aca="true">IF($D1843="Manual Review","Manual Review",IF($G1843="","No Data",IF(NOT(ISNUMBER($H1843)),"N/A",IF($H1843&lt;TODAY(),"Overdue",IF($H1843&lt;=TODAY()+30,"Due within 1 Month",IF($H1843&lt;=TODAY()+60,"Due within 2 Months","OK"))))))</f>
        <v>No Data</v>
      </c>
      <c r="K1843" s="13"/>
    </row>
    <row r="1844" customFormat="false" ht="15" hidden="false" customHeight="false" outlineLevel="0" collapsed="false">
      <c r="A1844" s="9" t="str">
        <f aca="false">Vessels!B21</f>
        <v>Vessel 17</v>
      </c>
      <c r="B1844" s="9" t="s">
        <v>88</v>
      </c>
      <c r="C1844" s="7" t="s">
        <v>89</v>
      </c>
      <c r="D1844" s="9" t="s">
        <v>45</v>
      </c>
      <c r="E1844" s="9" t="s">
        <v>90</v>
      </c>
      <c r="F1844" s="5" t="n">
        <v>36</v>
      </c>
      <c r="G1844" s="10"/>
      <c r="H1844" s="11" t="str">
        <f aca="false">IFERROR(IF($D1844="Manual Review","",IF($G1844="","",IF($D1844="Direct Expiry",$G1844,EDATE($G1844,$F1844)))),"Check Date")</f>
        <v/>
      </c>
      <c r="I1844" s="12" t="str">
        <f aca="true">IF($H1844="","",IF(ISNUMBER($H1844),$H1844-TODAY(),""))</f>
        <v/>
      </c>
      <c r="J1844" s="4" t="str">
        <f aca="true">IF($D1844="Manual Review","Manual Review",IF($G1844="","No Data",IF(NOT(ISNUMBER($H1844)),"N/A",IF($H1844&lt;TODAY(),"Overdue",IF($H1844&lt;=TODAY()+30,"Due within 1 Month",IF($H1844&lt;=TODAY()+60,"Due within 2 Months","OK"))))))</f>
        <v>No Data</v>
      </c>
      <c r="K1844" s="13"/>
    </row>
    <row r="1845" customFormat="false" ht="15" hidden="false" customHeight="false" outlineLevel="0" collapsed="false">
      <c r="A1845" s="9" t="str">
        <f aca="false">Vessels!B21</f>
        <v>Vessel 17</v>
      </c>
      <c r="B1845" s="9" t="s">
        <v>88</v>
      </c>
      <c r="C1845" s="7" t="s">
        <v>91</v>
      </c>
      <c r="D1845" s="9" t="s">
        <v>45</v>
      </c>
      <c r="E1845" s="9" t="s">
        <v>44</v>
      </c>
      <c r="F1845" s="5" t="n">
        <v>12</v>
      </c>
      <c r="G1845" s="10"/>
      <c r="H1845" s="11" t="str">
        <f aca="false">IFERROR(IF($D1845="Manual Review","",IF($G1845="","",IF($D1845="Direct Expiry",$G1845,EDATE($G1845,$F1845)))),"Check Date")</f>
        <v/>
      </c>
      <c r="I1845" s="12" t="str">
        <f aca="true">IF($H1845="","",IF(ISNUMBER($H1845),$H1845-TODAY(),""))</f>
        <v/>
      </c>
      <c r="J1845" s="4" t="str">
        <f aca="true">IF($D1845="Manual Review","Manual Review",IF($G1845="","No Data",IF(NOT(ISNUMBER($H1845)),"N/A",IF($H1845&lt;TODAY(),"Overdue",IF($H1845&lt;=TODAY()+30,"Due within 1 Month",IF($H1845&lt;=TODAY()+60,"Due within 2 Months","OK"))))))</f>
        <v>No Data</v>
      </c>
      <c r="K1845" s="13"/>
    </row>
    <row r="1846" customFormat="false" ht="15" hidden="false" customHeight="false" outlineLevel="0" collapsed="false">
      <c r="A1846" s="9" t="str">
        <f aca="false">Vessels!B21</f>
        <v>Vessel 17</v>
      </c>
      <c r="B1846" s="9" t="s">
        <v>88</v>
      </c>
      <c r="C1846" s="7" t="s">
        <v>91</v>
      </c>
      <c r="D1846" s="9" t="s">
        <v>45</v>
      </c>
      <c r="E1846" s="9" t="s">
        <v>92</v>
      </c>
      <c r="F1846" s="5" t="n">
        <v>120</v>
      </c>
      <c r="G1846" s="10"/>
      <c r="H1846" s="11" t="str">
        <f aca="false">IFERROR(IF($D1846="Manual Review","",IF($G1846="","",IF($D1846="Direct Expiry",$G1846,EDATE($G1846,$F1846)))),"Check Date")</f>
        <v/>
      </c>
      <c r="I1846" s="12" t="str">
        <f aca="true">IF($H1846="","",IF(ISNUMBER($H1846),$H1846-TODAY(),""))</f>
        <v/>
      </c>
      <c r="J1846" s="4" t="str">
        <f aca="true">IF($D1846="Manual Review","Manual Review",IF($G1846="","No Data",IF(NOT(ISNUMBER($H1846)),"N/A",IF($H1846&lt;TODAY(),"Overdue",IF($H1846&lt;=TODAY()+30,"Due within 1 Month",IF($H1846&lt;=TODAY()+60,"Due within 2 Months","OK"))))))</f>
        <v>No Data</v>
      </c>
      <c r="K1846" s="13"/>
    </row>
    <row r="1847" customFormat="false" ht="15" hidden="false" customHeight="false" outlineLevel="0" collapsed="false">
      <c r="A1847" s="9" t="str">
        <f aca="false">Vessels!B21</f>
        <v>Vessel 17</v>
      </c>
      <c r="B1847" s="9" t="s">
        <v>88</v>
      </c>
      <c r="C1847" s="7" t="s">
        <v>93</v>
      </c>
      <c r="D1847" s="9" t="s">
        <v>45</v>
      </c>
      <c r="E1847" s="9" t="s">
        <v>44</v>
      </c>
      <c r="F1847" s="5" t="n">
        <v>12</v>
      </c>
      <c r="G1847" s="10"/>
      <c r="H1847" s="11" t="str">
        <f aca="false">IFERROR(IF($D1847="Manual Review","",IF($G1847="","",IF($D1847="Direct Expiry",$G1847,EDATE($G1847,$F1847)))),"Check Date")</f>
        <v/>
      </c>
      <c r="I1847" s="12" t="str">
        <f aca="true">IF($H1847="","",IF(ISNUMBER($H1847),$H1847-TODAY(),""))</f>
        <v/>
      </c>
      <c r="J1847" s="4" t="str">
        <f aca="true">IF($D1847="Manual Review","Manual Review",IF($G1847="","No Data",IF(NOT(ISNUMBER($H1847)),"N/A",IF($H1847&lt;TODAY(),"Overdue",IF($H1847&lt;=TODAY()+30,"Due within 1 Month",IF($H1847&lt;=TODAY()+60,"Due within 2 Months","OK"))))))</f>
        <v>No Data</v>
      </c>
      <c r="K1847" s="13"/>
    </row>
    <row r="1848" customFormat="false" ht="15" hidden="false" customHeight="false" outlineLevel="0" collapsed="false">
      <c r="A1848" s="9" t="str">
        <f aca="false">Vessels!B21</f>
        <v>Vessel 17</v>
      </c>
      <c r="B1848" s="9" t="s">
        <v>88</v>
      </c>
      <c r="C1848" s="7" t="s">
        <v>93</v>
      </c>
      <c r="D1848" s="9" t="s">
        <v>45</v>
      </c>
      <c r="E1848" s="9" t="s">
        <v>92</v>
      </c>
      <c r="F1848" s="5" t="n">
        <v>120</v>
      </c>
      <c r="G1848" s="10"/>
      <c r="H1848" s="11" t="str">
        <f aca="false">IFERROR(IF($D1848="Manual Review","",IF($G1848="","",IF($D1848="Direct Expiry",$G1848,EDATE($G1848,$F1848)))),"Check Date")</f>
        <v/>
      </c>
      <c r="I1848" s="12" t="str">
        <f aca="true">IF($H1848="","",IF(ISNUMBER($H1848),$H1848-TODAY(),""))</f>
        <v/>
      </c>
      <c r="J1848" s="4" t="str">
        <f aca="true">IF($D1848="Manual Review","Manual Review",IF($G1848="","No Data",IF(NOT(ISNUMBER($H1848)),"N/A",IF($H1848&lt;TODAY(),"Overdue",IF($H1848&lt;=TODAY()+30,"Due within 1 Month",IF($H1848&lt;=TODAY()+60,"Due within 2 Months","OK"))))))</f>
        <v>No Data</v>
      </c>
      <c r="K1848" s="13"/>
    </row>
    <row r="1849" customFormat="false" ht="15" hidden="false" customHeight="false" outlineLevel="0" collapsed="false">
      <c r="A1849" s="9" t="str">
        <f aca="false">Vessels!B21</f>
        <v>Vessel 17</v>
      </c>
      <c r="B1849" s="9" t="s">
        <v>88</v>
      </c>
      <c r="C1849" s="7" t="s">
        <v>94</v>
      </c>
      <c r="D1849" s="9" t="s">
        <v>45</v>
      </c>
      <c r="E1849" s="9" t="s">
        <v>44</v>
      </c>
      <c r="F1849" s="5" t="n">
        <v>12</v>
      </c>
      <c r="G1849" s="10"/>
      <c r="H1849" s="11" t="str">
        <f aca="false">IFERROR(IF($D1849="Manual Review","",IF($G1849="","",IF($D1849="Direct Expiry",$G1849,EDATE($G1849,$F1849)))),"Check Date")</f>
        <v/>
      </c>
      <c r="I1849" s="12" t="str">
        <f aca="true">IF($H1849="","",IF(ISNUMBER($H1849),$H1849-TODAY(),""))</f>
        <v/>
      </c>
      <c r="J1849" s="4" t="str">
        <f aca="true">IF($D1849="Manual Review","Manual Review",IF($G1849="","No Data",IF(NOT(ISNUMBER($H1849)),"N/A",IF($H1849&lt;TODAY(),"Overdue",IF($H1849&lt;=TODAY()+30,"Due within 1 Month",IF($H1849&lt;=TODAY()+60,"Due within 2 Months","OK"))))))</f>
        <v>No Data</v>
      </c>
      <c r="K1849" s="13"/>
    </row>
    <row r="1850" customFormat="false" ht="15" hidden="false" customHeight="false" outlineLevel="0" collapsed="false">
      <c r="A1850" s="9" t="str">
        <f aca="false">Vessels!B21</f>
        <v>Vessel 17</v>
      </c>
      <c r="B1850" s="9" t="s">
        <v>88</v>
      </c>
      <c r="C1850" s="7" t="s">
        <v>94</v>
      </c>
      <c r="D1850" s="9" t="s">
        <v>45</v>
      </c>
      <c r="E1850" s="9" t="s">
        <v>92</v>
      </c>
      <c r="F1850" s="5" t="n">
        <v>120</v>
      </c>
      <c r="G1850" s="10"/>
      <c r="H1850" s="11" t="str">
        <f aca="false">IFERROR(IF($D1850="Manual Review","",IF($G1850="","",IF($D1850="Direct Expiry",$G1850,EDATE($G1850,$F1850)))),"Check Date")</f>
        <v/>
      </c>
      <c r="I1850" s="12" t="str">
        <f aca="true">IF($H1850="","",IF(ISNUMBER($H1850),$H1850-TODAY(),""))</f>
        <v/>
      </c>
      <c r="J1850" s="4" t="str">
        <f aca="true">IF($D1850="Manual Review","Manual Review",IF($G1850="","No Data",IF(NOT(ISNUMBER($H1850)),"N/A",IF($H1850&lt;TODAY(),"Overdue",IF($H1850&lt;=TODAY()+30,"Due within 1 Month",IF($H1850&lt;=TODAY()+60,"Due within 2 Months","OK"))))))</f>
        <v>No Data</v>
      </c>
      <c r="K1850" s="13"/>
    </row>
    <row r="1851" customFormat="false" ht="15" hidden="false" customHeight="false" outlineLevel="0" collapsed="false">
      <c r="A1851" s="9" t="str">
        <f aca="false">Vessels!B21</f>
        <v>Vessel 17</v>
      </c>
      <c r="B1851" s="9" t="s">
        <v>88</v>
      </c>
      <c r="C1851" s="7" t="s">
        <v>95</v>
      </c>
      <c r="D1851" s="9" t="s">
        <v>45</v>
      </c>
      <c r="E1851" s="9" t="s">
        <v>44</v>
      </c>
      <c r="F1851" s="5" t="n">
        <v>12</v>
      </c>
      <c r="G1851" s="10"/>
      <c r="H1851" s="11" t="str">
        <f aca="false">IFERROR(IF($D1851="Manual Review","",IF($G1851="","",IF($D1851="Direct Expiry",$G1851,EDATE($G1851,$F1851)))),"Check Date")</f>
        <v/>
      </c>
      <c r="I1851" s="12" t="str">
        <f aca="true">IF($H1851="","",IF(ISNUMBER($H1851),$H1851-TODAY(),""))</f>
        <v/>
      </c>
      <c r="J1851" s="4" t="str">
        <f aca="true">IF($D1851="Manual Review","Manual Review",IF($G1851="","No Data",IF(NOT(ISNUMBER($H1851)),"N/A",IF($H1851&lt;TODAY(),"Overdue",IF($H1851&lt;=TODAY()+30,"Due within 1 Month",IF($H1851&lt;=TODAY()+60,"Due within 2 Months","OK"))))))</f>
        <v>No Data</v>
      </c>
      <c r="K1851" s="13"/>
    </row>
    <row r="1852" customFormat="false" ht="15" hidden="false" customHeight="false" outlineLevel="0" collapsed="false">
      <c r="A1852" s="9" t="str">
        <f aca="false">Vessels!B21</f>
        <v>Vessel 17</v>
      </c>
      <c r="B1852" s="9" t="s">
        <v>88</v>
      </c>
      <c r="C1852" s="7" t="s">
        <v>95</v>
      </c>
      <c r="D1852" s="9" t="s">
        <v>45</v>
      </c>
      <c r="E1852" s="9" t="s">
        <v>92</v>
      </c>
      <c r="F1852" s="5" t="n">
        <v>120</v>
      </c>
      <c r="G1852" s="10"/>
      <c r="H1852" s="11" t="str">
        <f aca="false">IFERROR(IF($D1852="Manual Review","",IF($G1852="","",IF($D1852="Direct Expiry",$G1852,EDATE($G1852,$F1852)))),"Check Date")</f>
        <v/>
      </c>
      <c r="I1852" s="12" t="str">
        <f aca="true">IF($H1852="","",IF(ISNUMBER($H1852),$H1852-TODAY(),""))</f>
        <v/>
      </c>
      <c r="J1852" s="4" t="str">
        <f aca="true">IF($D1852="Manual Review","Manual Review",IF($G1852="","No Data",IF(NOT(ISNUMBER($H1852)),"N/A",IF($H1852&lt;TODAY(),"Overdue",IF($H1852&lt;=TODAY()+30,"Due within 1 Month",IF($H1852&lt;=TODAY()+60,"Due within 2 Months","OK"))))))</f>
        <v>No Data</v>
      </c>
      <c r="K1852" s="13"/>
    </row>
    <row r="1853" customFormat="false" ht="15" hidden="false" customHeight="false" outlineLevel="0" collapsed="false">
      <c r="A1853" s="9" t="str">
        <f aca="false">Vessels!B21</f>
        <v>Vessel 17</v>
      </c>
      <c r="B1853" s="9" t="s">
        <v>88</v>
      </c>
      <c r="C1853" s="7" t="s">
        <v>96</v>
      </c>
      <c r="D1853" s="9" t="s">
        <v>45</v>
      </c>
      <c r="E1853" s="9" t="s">
        <v>44</v>
      </c>
      <c r="F1853" s="5" t="n">
        <v>12</v>
      </c>
      <c r="G1853" s="10"/>
      <c r="H1853" s="11" t="str">
        <f aca="false">IFERROR(IF($D1853="Manual Review","",IF($G1853="","",IF($D1853="Direct Expiry",$G1853,EDATE($G1853,$F1853)))),"Check Date")</f>
        <v/>
      </c>
      <c r="I1853" s="12" t="str">
        <f aca="true">IF($H1853="","",IF(ISNUMBER($H1853),$H1853-TODAY(),""))</f>
        <v/>
      </c>
      <c r="J1853" s="4" t="str">
        <f aca="true">IF($D1853="Manual Review","Manual Review",IF($G1853="","No Data",IF(NOT(ISNUMBER($H1853)),"N/A",IF($H1853&lt;TODAY(),"Overdue",IF($H1853&lt;=TODAY()+30,"Due within 1 Month",IF($H1853&lt;=TODAY()+60,"Due within 2 Months","OK"))))))</f>
        <v>No Data</v>
      </c>
      <c r="K1853" s="13"/>
    </row>
    <row r="1854" customFormat="false" ht="15" hidden="false" customHeight="false" outlineLevel="0" collapsed="false">
      <c r="A1854" s="9" t="str">
        <f aca="false">Vessels!B21</f>
        <v>Vessel 17</v>
      </c>
      <c r="B1854" s="9" t="s">
        <v>88</v>
      </c>
      <c r="C1854" s="7" t="s">
        <v>96</v>
      </c>
      <c r="D1854" s="9" t="s">
        <v>45</v>
      </c>
      <c r="E1854" s="9" t="s">
        <v>97</v>
      </c>
      <c r="F1854" s="5" t="n">
        <v>120</v>
      </c>
      <c r="G1854" s="10"/>
      <c r="H1854" s="11" t="str">
        <f aca="false">IFERROR(IF($D1854="Manual Review","",IF($G1854="","",IF($D1854="Direct Expiry",$G1854,EDATE($G1854,$F1854)))),"Check Date")</f>
        <v/>
      </c>
      <c r="I1854" s="12" t="str">
        <f aca="true">IF($H1854="","",IF(ISNUMBER($H1854),$H1854-TODAY(),""))</f>
        <v/>
      </c>
      <c r="J1854" s="4" t="str">
        <f aca="true">IF($D1854="Manual Review","Manual Review",IF($G1854="","No Data",IF(NOT(ISNUMBER($H1854)),"N/A",IF($H1854&lt;TODAY(),"Overdue",IF($H1854&lt;=TODAY()+30,"Due within 1 Month",IF($H1854&lt;=TODAY()+60,"Due within 2 Months","OK"))))))</f>
        <v>No Data</v>
      </c>
      <c r="K1854" s="13"/>
    </row>
    <row r="1855" customFormat="false" ht="15" hidden="false" customHeight="false" outlineLevel="0" collapsed="false">
      <c r="A1855" s="9" t="str">
        <f aca="false">Vessels!B21</f>
        <v>Vessel 17</v>
      </c>
      <c r="B1855" s="9" t="s">
        <v>88</v>
      </c>
      <c r="C1855" s="7" t="s">
        <v>98</v>
      </c>
      <c r="D1855" s="9" t="s">
        <v>45</v>
      </c>
      <c r="E1855" s="9" t="s">
        <v>44</v>
      </c>
      <c r="F1855" s="5" t="n">
        <v>12</v>
      </c>
      <c r="G1855" s="10"/>
      <c r="H1855" s="11" t="str">
        <f aca="false">IFERROR(IF($D1855="Manual Review","",IF($G1855="","",IF($D1855="Direct Expiry",$G1855,EDATE($G1855,$F1855)))),"Check Date")</f>
        <v/>
      </c>
      <c r="I1855" s="12" t="str">
        <f aca="true">IF($H1855="","",IF(ISNUMBER($H1855),$H1855-TODAY(),""))</f>
        <v/>
      </c>
      <c r="J1855" s="4" t="str">
        <f aca="true">IF($D1855="Manual Review","Manual Review",IF($G1855="","No Data",IF(NOT(ISNUMBER($H1855)),"N/A",IF($H1855&lt;TODAY(),"Overdue",IF($H1855&lt;=TODAY()+30,"Due within 1 Month",IF($H1855&lt;=TODAY()+60,"Due within 2 Months","OK"))))))</f>
        <v>No Data</v>
      </c>
      <c r="K1855" s="13"/>
    </row>
    <row r="1856" customFormat="false" ht="15" hidden="false" customHeight="false" outlineLevel="0" collapsed="false">
      <c r="A1856" s="9" t="str">
        <f aca="false">Vessels!B21</f>
        <v>Vessel 17</v>
      </c>
      <c r="B1856" s="9" t="s">
        <v>88</v>
      </c>
      <c r="C1856" s="7" t="s">
        <v>98</v>
      </c>
      <c r="D1856" s="9" t="s">
        <v>45</v>
      </c>
      <c r="E1856" s="9" t="s">
        <v>99</v>
      </c>
      <c r="F1856" s="5" t="n">
        <v>60</v>
      </c>
      <c r="G1856" s="10"/>
      <c r="H1856" s="11" t="str">
        <f aca="false">IFERROR(IF($D1856="Manual Review","",IF($G1856="","",IF($D1856="Direct Expiry",$G1856,EDATE($G1856,$F1856)))),"Check Date")</f>
        <v/>
      </c>
      <c r="I1856" s="12" t="str">
        <f aca="true">IF($H1856="","",IF(ISNUMBER($H1856),$H1856-TODAY(),""))</f>
        <v/>
      </c>
      <c r="J1856" s="4" t="str">
        <f aca="true">IF($D1856="Manual Review","Manual Review",IF($G1856="","No Data",IF(NOT(ISNUMBER($H1856)),"N/A",IF($H1856&lt;TODAY(),"Overdue",IF($H1856&lt;=TODAY()+30,"Due within 1 Month",IF($H1856&lt;=TODAY()+60,"Due within 2 Months","OK"))))))</f>
        <v>No Data</v>
      </c>
      <c r="K1856" s="13"/>
    </row>
    <row r="1857" customFormat="false" ht="15" hidden="false" customHeight="false" outlineLevel="0" collapsed="false">
      <c r="A1857" s="9" t="str">
        <f aca="false">Vessels!B21</f>
        <v>Vessel 17</v>
      </c>
      <c r="B1857" s="9" t="s">
        <v>88</v>
      </c>
      <c r="C1857" s="7" t="s">
        <v>100</v>
      </c>
      <c r="D1857" s="9" t="s">
        <v>45</v>
      </c>
      <c r="E1857" s="9" t="s">
        <v>44</v>
      </c>
      <c r="F1857" s="5" t="n">
        <v>12</v>
      </c>
      <c r="G1857" s="10"/>
      <c r="H1857" s="11" t="str">
        <f aca="false">IFERROR(IF($D1857="Manual Review","",IF($G1857="","",IF($D1857="Direct Expiry",$G1857,EDATE($G1857,$F1857)))),"Check Date")</f>
        <v/>
      </c>
      <c r="I1857" s="12" t="str">
        <f aca="true">IF($H1857="","",IF(ISNUMBER($H1857),$H1857-TODAY(),""))</f>
        <v/>
      </c>
      <c r="J1857" s="4" t="str">
        <f aca="true">IF($D1857="Manual Review","Manual Review",IF($G1857="","No Data",IF(NOT(ISNUMBER($H1857)),"N/A",IF($H1857&lt;TODAY(),"Overdue",IF($H1857&lt;=TODAY()+30,"Due within 1 Month",IF($H1857&lt;=TODAY()+60,"Due within 2 Months","OK"))))))</f>
        <v>No Data</v>
      </c>
      <c r="K1857" s="13"/>
    </row>
    <row r="1858" customFormat="false" ht="15" hidden="false" customHeight="false" outlineLevel="0" collapsed="false">
      <c r="A1858" s="9" t="str">
        <f aca="false">Vessels!B21</f>
        <v>Vessel 17</v>
      </c>
      <c r="B1858" s="9" t="s">
        <v>88</v>
      </c>
      <c r="C1858" s="7" t="s">
        <v>100</v>
      </c>
      <c r="D1858" s="9" t="s">
        <v>45</v>
      </c>
      <c r="E1858" s="9" t="s">
        <v>99</v>
      </c>
      <c r="F1858" s="5" t="n">
        <v>60</v>
      </c>
      <c r="G1858" s="10"/>
      <c r="H1858" s="11" t="str">
        <f aca="false">IFERROR(IF($D1858="Manual Review","",IF($G1858="","",IF($D1858="Direct Expiry",$G1858,EDATE($G1858,$F1858)))),"Check Date")</f>
        <v/>
      </c>
      <c r="I1858" s="12" t="str">
        <f aca="true">IF($H1858="","",IF(ISNUMBER($H1858),$H1858-TODAY(),""))</f>
        <v/>
      </c>
      <c r="J1858" s="4" t="str">
        <f aca="true">IF($D1858="Manual Review","Manual Review",IF($G1858="","No Data",IF(NOT(ISNUMBER($H1858)),"N/A",IF($H1858&lt;TODAY(),"Overdue",IF($H1858&lt;=TODAY()+30,"Due within 1 Month",IF($H1858&lt;=TODAY()+60,"Due within 2 Months","OK"))))))</f>
        <v>No Data</v>
      </c>
      <c r="K1858" s="13"/>
    </row>
    <row r="1859" customFormat="false" ht="15" hidden="false" customHeight="false" outlineLevel="0" collapsed="false">
      <c r="A1859" s="9" t="str">
        <f aca="false">Vessels!B21</f>
        <v>Vessel 17</v>
      </c>
      <c r="B1859" s="9" t="s">
        <v>88</v>
      </c>
      <c r="C1859" s="7" t="s">
        <v>101</v>
      </c>
      <c r="D1859" s="9" t="s">
        <v>45</v>
      </c>
      <c r="E1859" s="9" t="s">
        <v>44</v>
      </c>
      <c r="F1859" s="5" t="n">
        <v>12</v>
      </c>
      <c r="G1859" s="10"/>
      <c r="H1859" s="11" t="str">
        <f aca="false">IFERROR(IF($D1859="Manual Review","",IF($G1859="","",IF($D1859="Direct Expiry",$G1859,EDATE($G1859,$F1859)))),"Check Date")</f>
        <v/>
      </c>
      <c r="I1859" s="12" t="str">
        <f aca="true">IF($H1859="","",IF(ISNUMBER($H1859),$H1859-TODAY(),""))</f>
        <v/>
      </c>
      <c r="J1859" s="4" t="str">
        <f aca="true">IF($D1859="Manual Review","Manual Review",IF($G1859="","No Data",IF(NOT(ISNUMBER($H1859)),"N/A",IF($H1859&lt;TODAY(),"Overdue",IF($H1859&lt;=TODAY()+30,"Due within 1 Month",IF($H1859&lt;=TODAY()+60,"Due within 2 Months","OK"))))))</f>
        <v>No Data</v>
      </c>
      <c r="K1859" s="13"/>
    </row>
    <row r="1860" customFormat="false" ht="23.85" hidden="false" customHeight="false" outlineLevel="0" collapsed="false">
      <c r="A1860" s="9" t="str">
        <f aca="false">Vessels!B21</f>
        <v>Vessel 17</v>
      </c>
      <c r="B1860" s="9" t="s">
        <v>88</v>
      </c>
      <c r="C1860" s="7" t="s">
        <v>102</v>
      </c>
      <c r="D1860" s="9" t="s">
        <v>45</v>
      </c>
      <c r="E1860" s="9" t="s">
        <v>44</v>
      </c>
      <c r="F1860" s="5" t="n">
        <v>12</v>
      </c>
      <c r="G1860" s="10"/>
      <c r="H1860" s="11" t="str">
        <f aca="false">IFERROR(IF($D1860="Manual Review","",IF($G1860="","",IF($D1860="Direct Expiry",$G1860,EDATE($G1860,$F1860)))),"Check Date")</f>
        <v/>
      </c>
      <c r="I1860" s="12" t="str">
        <f aca="true">IF($H1860="","",IF(ISNUMBER($H1860),$H1860-TODAY(),""))</f>
        <v/>
      </c>
      <c r="J1860" s="4" t="str">
        <f aca="true">IF($D1860="Manual Review","Manual Review",IF($G1860="","No Data",IF(NOT(ISNUMBER($H1860)),"N/A",IF($H1860&lt;TODAY(),"Overdue",IF($H1860&lt;=TODAY()+30,"Due within 1 Month",IF($H1860&lt;=TODAY()+60,"Due within 2 Months","OK"))))))</f>
        <v>No Data</v>
      </c>
      <c r="K1860" s="13"/>
    </row>
    <row r="1861" customFormat="false" ht="23.85" hidden="false" customHeight="false" outlineLevel="0" collapsed="false">
      <c r="A1861" s="9" t="str">
        <f aca="false">Vessels!B21</f>
        <v>Vessel 17</v>
      </c>
      <c r="B1861" s="9" t="s">
        <v>88</v>
      </c>
      <c r="C1861" s="7" t="s">
        <v>102</v>
      </c>
      <c r="D1861" s="9" t="s">
        <v>45</v>
      </c>
      <c r="E1861" s="9" t="s">
        <v>97</v>
      </c>
      <c r="F1861" s="5" t="n">
        <v>120</v>
      </c>
      <c r="G1861" s="10"/>
      <c r="H1861" s="11" t="str">
        <f aca="false">IFERROR(IF($D1861="Manual Review","",IF($G1861="","",IF($D1861="Direct Expiry",$G1861,EDATE($G1861,$F1861)))),"Check Date")</f>
        <v/>
      </c>
      <c r="I1861" s="12" t="str">
        <f aca="true">IF($H1861="","",IF(ISNUMBER($H1861),$H1861-TODAY(),""))</f>
        <v/>
      </c>
      <c r="J1861" s="4" t="str">
        <f aca="true">IF($D1861="Manual Review","Manual Review",IF($G1861="","No Data",IF(NOT(ISNUMBER($H1861)),"N/A",IF($H1861&lt;TODAY(),"Overdue",IF($H1861&lt;=TODAY()+30,"Due within 1 Month",IF($H1861&lt;=TODAY()+60,"Due within 2 Months","OK"))))))</f>
        <v>No Data</v>
      </c>
      <c r="K1861" s="13"/>
    </row>
    <row r="1862" customFormat="false" ht="15" hidden="false" customHeight="false" outlineLevel="0" collapsed="false">
      <c r="A1862" s="9" t="str">
        <f aca="false">Vessels!B21</f>
        <v>Vessel 17</v>
      </c>
      <c r="B1862" s="9" t="s">
        <v>88</v>
      </c>
      <c r="C1862" s="7" t="s">
        <v>103</v>
      </c>
      <c r="D1862" s="9" t="s">
        <v>45</v>
      </c>
      <c r="E1862" s="9" t="s">
        <v>44</v>
      </c>
      <c r="F1862" s="5" t="n">
        <v>12</v>
      </c>
      <c r="G1862" s="10"/>
      <c r="H1862" s="11" t="str">
        <f aca="false">IFERROR(IF($D1862="Manual Review","",IF($G1862="","",IF($D1862="Direct Expiry",$G1862,EDATE($G1862,$F1862)))),"Check Date")</f>
        <v/>
      </c>
      <c r="I1862" s="12" t="str">
        <f aca="true">IF($H1862="","",IF(ISNUMBER($H1862),$H1862-TODAY(),""))</f>
        <v/>
      </c>
      <c r="J1862" s="4" t="str">
        <f aca="true">IF($D1862="Manual Review","Manual Review",IF($G1862="","No Data",IF(NOT(ISNUMBER($H1862)),"N/A",IF($H1862&lt;TODAY(),"Overdue",IF($H1862&lt;=TODAY()+30,"Due within 1 Month",IF($H1862&lt;=TODAY()+60,"Due within 2 Months","OK"))))))</f>
        <v>No Data</v>
      </c>
      <c r="K1862" s="13"/>
    </row>
    <row r="1863" customFormat="false" ht="15" hidden="false" customHeight="false" outlineLevel="0" collapsed="false">
      <c r="A1863" s="9" t="str">
        <f aca="false">Vessels!B21</f>
        <v>Vessel 17</v>
      </c>
      <c r="B1863" s="9" t="s">
        <v>88</v>
      </c>
      <c r="C1863" s="7" t="s">
        <v>103</v>
      </c>
      <c r="D1863" s="9" t="s">
        <v>45</v>
      </c>
      <c r="E1863" s="9" t="s">
        <v>97</v>
      </c>
      <c r="F1863" s="5" t="n">
        <v>120</v>
      </c>
      <c r="G1863" s="10"/>
      <c r="H1863" s="11" t="str">
        <f aca="false">IFERROR(IF($D1863="Manual Review","",IF($G1863="","",IF($D1863="Direct Expiry",$G1863,EDATE($G1863,$F1863)))),"Check Date")</f>
        <v/>
      </c>
      <c r="I1863" s="12" t="str">
        <f aca="true">IF($H1863="","",IF(ISNUMBER($H1863),$H1863-TODAY(),""))</f>
        <v/>
      </c>
      <c r="J1863" s="4" t="str">
        <f aca="true">IF($D1863="Manual Review","Manual Review",IF($G1863="","No Data",IF(NOT(ISNUMBER($H1863)),"N/A",IF($H1863&lt;TODAY(),"Overdue",IF($H1863&lt;=TODAY()+30,"Due within 1 Month",IF($H1863&lt;=TODAY()+60,"Due within 2 Months","OK"))))))</f>
        <v>No Data</v>
      </c>
      <c r="K1863" s="13"/>
    </row>
    <row r="1864" customFormat="false" ht="15" hidden="false" customHeight="false" outlineLevel="0" collapsed="false">
      <c r="A1864" s="9" t="str">
        <f aca="false">Vessels!B21</f>
        <v>Vessel 17</v>
      </c>
      <c r="B1864" s="9" t="s">
        <v>88</v>
      </c>
      <c r="C1864" s="7" t="s">
        <v>104</v>
      </c>
      <c r="D1864" s="9" t="s">
        <v>45</v>
      </c>
      <c r="E1864" s="9" t="s">
        <v>44</v>
      </c>
      <c r="F1864" s="5" t="n">
        <v>12</v>
      </c>
      <c r="G1864" s="10"/>
      <c r="H1864" s="11" t="str">
        <f aca="false">IFERROR(IF($D1864="Manual Review","",IF($G1864="","",IF($D1864="Direct Expiry",$G1864,EDATE($G1864,$F1864)))),"Check Date")</f>
        <v/>
      </c>
      <c r="I1864" s="12" t="str">
        <f aca="true">IF($H1864="","",IF(ISNUMBER($H1864),$H1864-TODAY(),""))</f>
        <v/>
      </c>
      <c r="J1864" s="4" t="str">
        <f aca="true">IF($D1864="Manual Review","Manual Review",IF($G1864="","No Data",IF(NOT(ISNUMBER($H1864)),"N/A",IF($H1864&lt;TODAY(),"Overdue",IF($H1864&lt;=TODAY()+30,"Due within 1 Month",IF($H1864&lt;=TODAY()+60,"Due within 2 Months","OK"))))))</f>
        <v>No Data</v>
      </c>
      <c r="K1864" s="13"/>
    </row>
    <row r="1865" customFormat="false" ht="15" hidden="false" customHeight="false" outlineLevel="0" collapsed="false">
      <c r="A1865" s="9" t="str">
        <f aca="false">Vessels!B21</f>
        <v>Vessel 17</v>
      </c>
      <c r="B1865" s="9" t="s">
        <v>88</v>
      </c>
      <c r="C1865" s="7" t="s">
        <v>105</v>
      </c>
      <c r="D1865" s="9" t="s">
        <v>45</v>
      </c>
      <c r="E1865" s="9" t="s">
        <v>44</v>
      </c>
      <c r="F1865" s="5" t="n">
        <v>12</v>
      </c>
      <c r="G1865" s="10"/>
      <c r="H1865" s="11" t="str">
        <f aca="false">IFERROR(IF($D1865="Manual Review","",IF($G1865="","",IF($D1865="Direct Expiry",$G1865,EDATE($G1865,$F1865)))),"Check Date")</f>
        <v/>
      </c>
      <c r="I1865" s="12" t="str">
        <f aca="true">IF($H1865="","",IF(ISNUMBER($H1865),$H1865-TODAY(),""))</f>
        <v/>
      </c>
      <c r="J1865" s="4" t="str">
        <f aca="true">IF($D1865="Manual Review","Manual Review",IF($G1865="","No Data",IF(NOT(ISNUMBER($H1865)),"N/A",IF($H1865&lt;TODAY(),"Overdue",IF($H1865&lt;=TODAY()+30,"Due within 1 Month",IF($H1865&lt;=TODAY()+60,"Due within 2 Months","OK"))))))</f>
        <v>No Data</v>
      </c>
      <c r="K1865" s="13"/>
    </row>
    <row r="1866" customFormat="false" ht="15" hidden="false" customHeight="false" outlineLevel="0" collapsed="false">
      <c r="A1866" s="9" t="str">
        <f aca="false">Vessels!B21</f>
        <v>Vessel 17</v>
      </c>
      <c r="B1866" s="9" t="s">
        <v>88</v>
      </c>
      <c r="C1866" s="7" t="s">
        <v>106</v>
      </c>
      <c r="D1866" s="9" t="s">
        <v>45</v>
      </c>
      <c r="E1866" s="9" t="s">
        <v>44</v>
      </c>
      <c r="F1866" s="5" t="n">
        <v>12</v>
      </c>
      <c r="G1866" s="10"/>
      <c r="H1866" s="11" t="str">
        <f aca="false">IFERROR(IF($D1866="Manual Review","",IF($G1866="","",IF($D1866="Direct Expiry",$G1866,EDATE($G1866,$F1866)))),"Check Date")</f>
        <v/>
      </c>
      <c r="I1866" s="12" t="str">
        <f aca="true">IF($H1866="","",IF(ISNUMBER($H1866),$H1866-TODAY(),""))</f>
        <v/>
      </c>
      <c r="J1866" s="4" t="str">
        <f aca="true">IF($D1866="Manual Review","Manual Review",IF($G1866="","No Data",IF(NOT(ISNUMBER($H1866)),"N/A",IF($H1866&lt;TODAY(),"Overdue",IF($H1866&lt;=TODAY()+30,"Due within 1 Month",IF($H1866&lt;=TODAY()+60,"Due within 2 Months","OK"))))))</f>
        <v>No Data</v>
      </c>
      <c r="K1866" s="13"/>
    </row>
    <row r="1867" customFormat="false" ht="15" hidden="false" customHeight="false" outlineLevel="0" collapsed="false">
      <c r="A1867" s="9" t="str">
        <f aca="false">Vessels!B21</f>
        <v>Vessel 17</v>
      </c>
      <c r="B1867" s="9" t="s">
        <v>88</v>
      </c>
      <c r="C1867" s="7" t="s">
        <v>107</v>
      </c>
      <c r="D1867" s="9" t="s">
        <v>45</v>
      </c>
      <c r="E1867" s="9" t="s">
        <v>44</v>
      </c>
      <c r="F1867" s="5" t="n">
        <v>12</v>
      </c>
      <c r="G1867" s="10"/>
      <c r="H1867" s="11" t="str">
        <f aca="false">IFERROR(IF($D1867="Manual Review","",IF($G1867="","",IF($D1867="Direct Expiry",$G1867,EDATE($G1867,$F1867)))),"Check Date")</f>
        <v/>
      </c>
      <c r="I1867" s="12" t="str">
        <f aca="true">IF($H1867="","",IF(ISNUMBER($H1867),$H1867-TODAY(),""))</f>
        <v/>
      </c>
      <c r="J1867" s="4" t="str">
        <f aca="true">IF($D1867="Manual Review","Manual Review",IF($G1867="","No Data",IF(NOT(ISNUMBER($H1867)),"N/A",IF($H1867&lt;TODAY(),"Overdue",IF($H1867&lt;=TODAY()+30,"Due within 1 Month",IF($H1867&lt;=TODAY()+60,"Due within 2 Months","OK"))))))</f>
        <v>No Data</v>
      </c>
      <c r="K1867" s="13"/>
    </row>
    <row r="1868" customFormat="false" ht="15" hidden="false" customHeight="false" outlineLevel="0" collapsed="false">
      <c r="A1868" s="9" t="str">
        <f aca="false">Vessels!B21</f>
        <v>Vessel 17</v>
      </c>
      <c r="B1868" s="9" t="s">
        <v>88</v>
      </c>
      <c r="C1868" s="7" t="s">
        <v>108</v>
      </c>
      <c r="D1868" s="9" t="s">
        <v>45</v>
      </c>
      <c r="E1868" s="9" t="s">
        <v>109</v>
      </c>
      <c r="F1868" s="5" t="n">
        <v>12</v>
      </c>
      <c r="G1868" s="10"/>
      <c r="H1868" s="11" t="str">
        <f aca="false">IFERROR(IF($D1868="Manual Review","",IF($G1868="","",IF($D1868="Direct Expiry",$G1868,EDATE($G1868,$F1868)))),"Check Date")</f>
        <v/>
      </c>
      <c r="I1868" s="12" t="str">
        <f aca="true">IF($H1868="","",IF(ISNUMBER($H1868),$H1868-TODAY(),""))</f>
        <v/>
      </c>
      <c r="J1868" s="4" t="str">
        <f aca="true">IF($D1868="Manual Review","Manual Review",IF($G1868="","No Data",IF(NOT(ISNUMBER($H1868)),"N/A",IF($H1868&lt;TODAY(),"Overdue",IF($H1868&lt;=TODAY()+30,"Due within 1 Month",IF($H1868&lt;=TODAY()+60,"Due within 2 Months","OK"))))))</f>
        <v>No Data</v>
      </c>
      <c r="K1868" s="13"/>
    </row>
    <row r="1869" customFormat="false" ht="15" hidden="false" customHeight="false" outlineLevel="0" collapsed="false">
      <c r="A1869" s="9" t="str">
        <f aca="false">Vessels!B21</f>
        <v>Vessel 17</v>
      </c>
      <c r="B1869" s="9" t="s">
        <v>88</v>
      </c>
      <c r="C1869" s="7" t="s">
        <v>108</v>
      </c>
      <c r="D1869" s="9" t="s">
        <v>45</v>
      </c>
      <c r="E1869" s="9" t="s">
        <v>110</v>
      </c>
      <c r="F1869" s="5" t="n">
        <v>60</v>
      </c>
      <c r="G1869" s="10"/>
      <c r="H1869" s="11" t="str">
        <f aca="false">IFERROR(IF($D1869="Manual Review","",IF($G1869="","",IF($D1869="Direct Expiry",$G1869,EDATE($G1869,$F1869)))),"Check Date")</f>
        <v/>
      </c>
      <c r="I1869" s="12" t="str">
        <f aca="true">IF($H1869="","",IF(ISNUMBER($H1869),$H1869-TODAY(),""))</f>
        <v/>
      </c>
      <c r="J1869" s="4" t="str">
        <f aca="true">IF($D1869="Manual Review","Manual Review",IF($G1869="","No Data",IF(NOT(ISNUMBER($H1869)),"N/A",IF($H1869&lt;TODAY(),"Overdue",IF($H1869&lt;=TODAY()+30,"Due within 1 Month",IF($H1869&lt;=TODAY()+60,"Due within 2 Months","OK"))))))</f>
        <v>No Data</v>
      </c>
      <c r="K1869" s="13"/>
    </row>
    <row r="1870" customFormat="false" ht="15" hidden="false" customHeight="false" outlineLevel="0" collapsed="false">
      <c r="A1870" s="9" t="str">
        <f aca="false">Vessels!B21</f>
        <v>Vessel 17</v>
      </c>
      <c r="B1870" s="9" t="s">
        <v>88</v>
      </c>
      <c r="C1870" s="7" t="s">
        <v>111</v>
      </c>
      <c r="D1870" s="9" t="s">
        <v>45</v>
      </c>
      <c r="E1870" s="9" t="s">
        <v>44</v>
      </c>
      <c r="F1870" s="5" t="n">
        <v>12</v>
      </c>
      <c r="G1870" s="10"/>
      <c r="H1870" s="11" t="str">
        <f aca="false">IFERROR(IF($D1870="Manual Review","",IF($G1870="","",IF($D1870="Direct Expiry",$G1870,EDATE($G1870,$F1870)))),"Check Date")</f>
        <v/>
      </c>
      <c r="I1870" s="12" t="str">
        <f aca="true">IF($H1870="","",IF(ISNUMBER($H1870),$H1870-TODAY(),""))</f>
        <v/>
      </c>
      <c r="J1870" s="4" t="str">
        <f aca="true">IF($D1870="Manual Review","Manual Review",IF($G1870="","No Data",IF(NOT(ISNUMBER($H1870)),"N/A",IF($H1870&lt;TODAY(),"Overdue",IF($H1870&lt;=TODAY()+30,"Due within 1 Month",IF($H1870&lt;=TODAY()+60,"Due within 2 Months","OK"))))))</f>
        <v>No Data</v>
      </c>
      <c r="K1870" s="13"/>
    </row>
    <row r="1871" customFormat="false" ht="15" hidden="false" customHeight="false" outlineLevel="0" collapsed="false">
      <c r="A1871" s="9" t="str">
        <f aca="false">Vessels!B21</f>
        <v>Vessel 17</v>
      </c>
      <c r="B1871" s="9" t="s">
        <v>88</v>
      </c>
      <c r="C1871" s="7" t="s">
        <v>112</v>
      </c>
      <c r="D1871" s="9" t="s">
        <v>45</v>
      </c>
      <c r="E1871" s="9" t="s">
        <v>44</v>
      </c>
      <c r="F1871" s="5" t="n">
        <v>12</v>
      </c>
      <c r="G1871" s="10"/>
      <c r="H1871" s="11" t="str">
        <f aca="false">IFERROR(IF($D1871="Manual Review","",IF($G1871="","",IF($D1871="Direct Expiry",$G1871,EDATE($G1871,$F1871)))),"Check Date")</f>
        <v/>
      </c>
      <c r="I1871" s="12" t="str">
        <f aca="true">IF($H1871="","",IF(ISNUMBER($H1871),$H1871-TODAY(),""))</f>
        <v/>
      </c>
      <c r="J1871" s="4" t="str">
        <f aca="true">IF($D1871="Manual Review","Manual Review",IF($G1871="","No Data",IF(NOT(ISNUMBER($H1871)),"N/A",IF($H1871&lt;TODAY(),"Overdue",IF($H1871&lt;=TODAY()+30,"Due within 1 Month",IF($H1871&lt;=TODAY()+60,"Due within 2 Months","OK"))))))</f>
        <v>No Data</v>
      </c>
      <c r="K1871" s="13"/>
    </row>
    <row r="1872" customFormat="false" ht="15" hidden="false" customHeight="false" outlineLevel="0" collapsed="false">
      <c r="A1872" s="9" t="str">
        <f aca="false">Vessels!B21</f>
        <v>Vessel 17</v>
      </c>
      <c r="B1872" s="9" t="s">
        <v>88</v>
      </c>
      <c r="C1872" s="7" t="s">
        <v>113</v>
      </c>
      <c r="D1872" s="9" t="s">
        <v>115</v>
      </c>
      <c r="E1872" s="9" t="s">
        <v>114</v>
      </c>
      <c r="F1872" s="5"/>
      <c r="G1872" s="10"/>
      <c r="H1872" s="11" t="str">
        <f aca="false">IFERROR(IF($D1872="Manual Review","",IF($G1872="","",IF($D1872="Direct Expiry",$G1872,EDATE($G1872,$F1872)))),"Check Date")</f>
        <v/>
      </c>
      <c r="I1872" s="12" t="str">
        <f aca="true">IF($H1872="","",IF(ISNUMBER($H1872),$H1872-TODAY(),""))</f>
        <v/>
      </c>
      <c r="J1872" s="4" t="str">
        <f aca="true">IF($D1872="Manual Review","Manual Review",IF($G1872="","No Data",IF(NOT(ISNUMBER($H1872)),"N/A",IF($H1872&lt;TODAY(),"Overdue",IF($H1872&lt;=TODAY()+30,"Due within 1 Month",IF($H1872&lt;=TODAY()+60,"Due within 2 Months","OK"))))))</f>
        <v>Manual Review</v>
      </c>
      <c r="K1872" s="13"/>
    </row>
    <row r="1873" customFormat="false" ht="15" hidden="false" customHeight="false" outlineLevel="0" collapsed="false">
      <c r="A1873" s="9" t="str">
        <f aca="false">Vessels!B21</f>
        <v>Vessel 17</v>
      </c>
      <c r="B1873" s="9" t="s">
        <v>88</v>
      </c>
      <c r="C1873" s="7" t="s">
        <v>116</v>
      </c>
      <c r="D1873" s="9" t="s">
        <v>115</v>
      </c>
      <c r="E1873" s="9" t="s">
        <v>114</v>
      </c>
      <c r="F1873" s="5"/>
      <c r="G1873" s="10"/>
      <c r="H1873" s="11" t="str">
        <f aca="false">IFERROR(IF($D1873="Manual Review","",IF($G1873="","",IF($D1873="Direct Expiry",$G1873,EDATE($G1873,$F1873)))),"Check Date")</f>
        <v/>
      </c>
      <c r="I1873" s="12" t="str">
        <f aca="true">IF($H1873="","",IF(ISNUMBER($H1873),$H1873-TODAY(),""))</f>
        <v/>
      </c>
      <c r="J1873" s="4" t="str">
        <f aca="true">IF($D1873="Manual Review","Manual Review",IF($G1873="","No Data",IF(NOT(ISNUMBER($H1873)),"N/A",IF($H1873&lt;TODAY(),"Overdue",IF($H1873&lt;=TODAY()+30,"Due within 1 Month",IF($H1873&lt;=TODAY()+60,"Due within 2 Months","OK"))))))</f>
        <v>Manual Review</v>
      </c>
      <c r="K1873" s="13"/>
    </row>
    <row r="1874" customFormat="false" ht="15" hidden="false" customHeight="false" outlineLevel="0" collapsed="false">
      <c r="A1874" s="9" t="str">
        <f aca="false">Vessels!B21</f>
        <v>Vessel 17</v>
      </c>
      <c r="B1874" s="9" t="s">
        <v>117</v>
      </c>
      <c r="C1874" s="7" t="s">
        <v>118</v>
      </c>
      <c r="D1874" s="9" t="s">
        <v>59</v>
      </c>
      <c r="E1874" s="9" t="s">
        <v>119</v>
      </c>
      <c r="F1874" s="5"/>
      <c r="G1874" s="10"/>
      <c r="H1874" s="11" t="str">
        <f aca="false">IFERROR(IF($D1874="Manual Review","",IF($G1874="","",IF($D1874="Direct Expiry",$G1874,EDATE($G1874,$F1874)))),"Check Date")</f>
        <v/>
      </c>
      <c r="I1874" s="12" t="str">
        <f aca="true">IF($H1874="","",IF(ISNUMBER($H1874),$H1874-TODAY(),""))</f>
        <v/>
      </c>
      <c r="J1874" s="4" t="str">
        <f aca="true">IF($D1874="Manual Review","Manual Review",IF($G1874="","No Data",IF(NOT(ISNUMBER($H1874)),"N/A",IF($H1874&lt;TODAY(),"Overdue",IF($H1874&lt;=TODAY()+30,"Due within 1 Month",IF($H1874&lt;=TODAY()+60,"Due within 2 Months","OK"))))))</f>
        <v>No Data</v>
      </c>
      <c r="K1874" s="13"/>
    </row>
    <row r="1875" customFormat="false" ht="15" hidden="false" customHeight="false" outlineLevel="0" collapsed="false">
      <c r="A1875" s="9" t="str">
        <f aca="false">Vessels!B21</f>
        <v>Vessel 17</v>
      </c>
      <c r="B1875" s="9" t="s">
        <v>117</v>
      </c>
      <c r="C1875" s="7" t="s">
        <v>120</v>
      </c>
      <c r="D1875" s="9" t="s">
        <v>45</v>
      </c>
      <c r="E1875" s="9" t="s">
        <v>44</v>
      </c>
      <c r="F1875" s="5" t="n">
        <v>12</v>
      </c>
      <c r="G1875" s="10"/>
      <c r="H1875" s="11" t="str">
        <f aca="false">IFERROR(IF($D1875="Manual Review","",IF($G1875="","",IF($D1875="Direct Expiry",$G1875,EDATE($G1875,$F1875)))),"Check Date")</f>
        <v/>
      </c>
      <c r="I1875" s="12" t="str">
        <f aca="true">IF($H1875="","",IF(ISNUMBER($H1875),$H1875-TODAY(),""))</f>
        <v/>
      </c>
      <c r="J1875" s="4" t="str">
        <f aca="true">IF($D1875="Manual Review","Manual Review",IF($G1875="","No Data",IF(NOT(ISNUMBER($H1875)),"N/A",IF($H1875&lt;TODAY(),"Overdue",IF($H1875&lt;=TODAY()+30,"Due within 1 Month",IF($H1875&lt;=TODAY()+60,"Due within 2 Months","OK"))))))</f>
        <v>No Data</v>
      </c>
      <c r="K1875" s="13"/>
    </row>
    <row r="1876" customFormat="false" ht="15" hidden="false" customHeight="false" outlineLevel="0" collapsed="false">
      <c r="A1876" s="9" t="str">
        <f aca="false">Vessels!B21</f>
        <v>Vessel 17</v>
      </c>
      <c r="B1876" s="9" t="s">
        <v>117</v>
      </c>
      <c r="C1876" s="7" t="s">
        <v>121</v>
      </c>
      <c r="D1876" s="9" t="s">
        <v>45</v>
      </c>
      <c r="E1876" s="9" t="s">
        <v>44</v>
      </c>
      <c r="F1876" s="5" t="n">
        <v>12</v>
      </c>
      <c r="G1876" s="10"/>
      <c r="H1876" s="11" t="str">
        <f aca="false">IFERROR(IF($D1876="Manual Review","",IF($G1876="","",IF($D1876="Direct Expiry",$G1876,EDATE($G1876,$F1876)))),"Check Date")</f>
        <v/>
      </c>
      <c r="I1876" s="12" t="str">
        <f aca="true">IF($H1876="","",IF(ISNUMBER($H1876),$H1876-TODAY(),""))</f>
        <v/>
      </c>
      <c r="J1876" s="4" t="str">
        <f aca="true">IF($D1876="Manual Review","Manual Review",IF($G1876="","No Data",IF(NOT(ISNUMBER($H1876)),"N/A",IF($H1876&lt;TODAY(),"Overdue",IF($H1876&lt;=TODAY()+30,"Due within 1 Month",IF($H1876&lt;=TODAY()+60,"Due within 2 Months","OK"))))))</f>
        <v>No Data</v>
      </c>
      <c r="K1876" s="13"/>
    </row>
    <row r="1877" customFormat="false" ht="15" hidden="false" customHeight="false" outlineLevel="0" collapsed="false">
      <c r="A1877" s="9" t="str">
        <f aca="false">Vessels!B21</f>
        <v>Vessel 17</v>
      </c>
      <c r="B1877" s="9" t="s">
        <v>117</v>
      </c>
      <c r="C1877" s="7" t="s">
        <v>122</v>
      </c>
      <c r="D1877" s="9" t="s">
        <v>45</v>
      </c>
      <c r="E1877" s="9" t="s">
        <v>123</v>
      </c>
      <c r="F1877" s="5" t="n">
        <v>24</v>
      </c>
      <c r="G1877" s="10"/>
      <c r="H1877" s="11" t="str">
        <f aca="false">IFERROR(IF($D1877="Manual Review","",IF($G1877="","",IF($D1877="Direct Expiry",$G1877,EDATE($G1877,$F1877)))),"Check Date")</f>
        <v/>
      </c>
      <c r="I1877" s="12" t="str">
        <f aca="true">IF($H1877="","",IF(ISNUMBER($H1877),$H1877-TODAY(),""))</f>
        <v/>
      </c>
      <c r="J1877" s="4" t="str">
        <f aca="true">IF($D1877="Manual Review","Manual Review",IF($G1877="","No Data",IF(NOT(ISNUMBER($H1877)),"N/A",IF($H1877&lt;TODAY(),"Overdue",IF($H1877&lt;=TODAY()+30,"Due within 1 Month",IF($H1877&lt;=TODAY()+60,"Due within 2 Months","OK"))))))</f>
        <v>No Data</v>
      </c>
      <c r="K1877" s="13"/>
    </row>
    <row r="1878" customFormat="false" ht="15" hidden="false" customHeight="false" outlineLevel="0" collapsed="false">
      <c r="A1878" s="9" t="str">
        <f aca="false">Vessels!B21</f>
        <v>Vessel 17</v>
      </c>
      <c r="B1878" s="9" t="s">
        <v>117</v>
      </c>
      <c r="C1878" s="7" t="s">
        <v>124</v>
      </c>
      <c r="D1878" s="9" t="s">
        <v>59</v>
      </c>
      <c r="E1878" s="9" t="s">
        <v>58</v>
      </c>
      <c r="F1878" s="5"/>
      <c r="G1878" s="10"/>
      <c r="H1878" s="11" t="str">
        <f aca="false">IFERROR(IF($D1878="Manual Review","",IF($G1878="","",IF($D1878="Direct Expiry",$G1878,EDATE($G1878,$F1878)))),"Check Date")</f>
        <v/>
      </c>
      <c r="I1878" s="12" t="str">
        <f aca="true">IF($H1878="","",IF(ISNUMBER($H1878),$H1878-TODAY(),""))</f>
        <v/>
      </c>
      <c r="J1878" s="4" t="str">
        <f aca="true">IF($D1878="Manual Review","Manual Review",IF($G1878="","No Data",IF(NOT(ISNUMBER($H1878)),"N/A",IF($H1878&lt;TODAY(),"Overdue",IF($H1878&lt;=TODAY()+30,"Due within 1 Month",IF($H1878&lt;=TODAY()+60,"Due within 2 Months","OK"))))))</f>
        <v>No Data</v>
      </c>
      <c r="K1878" s="13"/>
    </row>
    <row r="1879" customFormat="false" ht="15" hidden="false" customHeight="false" outlineLevel="0" collapsed="false">
      <c r="A1879" s="9" t="str">
        <f aca="false">Vessels!B21</f>
        <v>Vessel 17</v>
      </c>
      <c r="B1879" s="9" t="s">
        <v>117</v>
      </c>
      <c r="C1879" s="7" t="s">
        <v>125</v>
      </c>
      <c r="D1879" s="9" t="s">
        <v>59</v>
      </c>
      <c r="E1879" s="9" t="s">
        <v>58</v>
      </c>
      <c r="F1879" s="5"/>
      <c r="G1879" s="10"/>
      <c r="H1879" s="11" t="str">
        <f aca="false">IFERROR(IF($D1879="Manual Review","",IF($G1879="","",IF($D1879="Direct Expiry",$G1879,EDATE($G1879,$F1879)))),"Check Date")</f>
        <v/>
      </c>
      <c r="I1879" s="12" t="str">
        <f aca="true">IF($H1879="","",IF(ISNUMBER($H1879),$H1879-TODAY(),""))</f>
        <v/>
      </c>
      <c r="J1879" s="4" t="str">
        <f aca="true">IF($D1879="Manual Review","Manual Review",IF($G1879="","No Data",IF(NOT(ISNUMBER($H1879)),"N/A",IF($H1879&lt;TODAY(),"Overdue",IF($H1879&lt;=TODAY()+30,"Due within 1 Month",IF($H1879&lt;=TODAY()+60,"Due within 2 Months","OK"))))))</f>
        <v>No Data</v>
      </c>
      <c r="K1879" s="13"/>
    </row>
    <row r="1880" customFormat="false" ht="15" hidden="false" customHeight="false" outlineLevel="0" collapsed="false">
      <c r="A1880" s="9" t="str">
        <f aca="false">Vessels!B21</f>
        <v>Vessel 17</v>
      </c>
      <c r="B1880" s="9" t="s">
        <v>117</v>
      </c>
      <c r="C1880" s="7" t="s">
        <v>126</v>
      </c>
      <c r="D1880" s="9" t="s">
        <v>45</v>
      </c>
      <c r="E1880" s="9" t="s">
        <v>44</v>
      </c>
      <c r="F1880" s="5" t="n">
        <v>12</v>
      </c>
      <c r="G1880" s="10"/>
      <c r="H1880" s="11" t="str">
        <f aca="false">IFERROR(IF($D1880="Manual Review","",IF($G1880="","",IF($D1880="Direct Expiry",$G1880,EDATE($G1880,$F1880)))),"Check Date")</f>
        <v/>
      </c>
      <c r="I1880" s="12" t="str">
        <f aca="true">IF($H1880="","",IF(ISNUMBER($H1880),$H1880-TODAY(),""))</f>
        <v/>
      </c>
      <c r="J1880" s="4" t="str">
        <f aca="true">IF($D1880="Manual Review","Manual Review",IF($G1880="","No Data",IF(NOT(ISNUMBER($H1880)),"N/A",IF($H1880&lt;TODAY(),"Overdue",IF($H1880&lt;=TODAY()+30,"Due within 1 Month",IF($H1880&lt;=TODAY()+60,"Due within 2 Months","OK"))))))</f>
        <v>No Data</v>
      </c>
      <c r="K1880" s="13"/>
    </row>
    <row r="1881" customFormat="false" ht="15" hidden="false" customHeight="false" outlineLevel="0" collapsed="false">
      <c r="A1881" s="9" t="str">
        <f aca="false">Vessels!B21</f>
        <v>Vessel 17</v>
      </c>
      <c r="B1881" s="9" t="s">
        <v>117</v>
      </c>
      <c r="C1881" s="7" t="s">
        <v>127</v>
      </c>
      <c r="D1881" s="9" t="s">
        <v>59</v>
      </c>
      <c r="E1881" s="9" t="s">
        <v>58</v>
      </c>
      <c r="F1881" s="5"/>
      <c r="G1881" s="10"/>
      <c r="H1881" s="11" t="str">
        <f aca="false">IFERROR(IF($D1881="Manual Review","",IF($G1881="","",IF($D1881="Direct Expiry",$G1881,EDATE($G1881,$F1881)))),"Check Date")</f>
        <v/>
      </c>
      <c r="I1881" s="12" t="str">
        <f aca="true">IF($H1881="","",IF(ISNUMBER($H1881),$H1881-TODAY(),""))</f>
        <v/>
      </c>
      <c r="J1881" s="4" t="str">
        <f aca="true">IF($D1881="Manual Review","Manual Review",IF($G1881="","No Data",IF(NOT(ISNUMBER($H1881)),"N/A",IF($H1881&lt;TODAY(),"Overdue",IF($H1881&lt;=TODAY()+30,"Due within 1 Month",IF($H1881&lt;=TODAY()+60,"Due within 2 Months","OK"))))))</f>
        <v>No Data</v>
      </c>
      <c r="K1881" s="13"/>
    </row>
    <row r="1882" customFormat="false" ht="15" hidden="false" customHeight="false" outlineLevel="0" collapsed="false">
      <c r="A1882" s="9" t="str">
        <f aca="false">Vessels!B21</f>
        <v>Vessel 17</v>
      </c>
      <c r="B1882" s="9" t="s">
        <v>117</v>
      </c>
      <c r="C1882" s="7" t="s">
        <v>128</v>
      </c>
      <c r="D1882" s="9" t="s">
        <v>59</v>
      </c>
      <c r="E1882" s="9" t="s">
        <v>58</v>
      </c>
      <c r="F1882" s="5"/>
      <c r="G1882" s="10"/>
      <c r="H1882" s="11" t="str">
        <f aca="false">IFERROR(IF($D1882="Manual Review","",IF($G1882="","",IF($D1882="Direct Expiry",$G1882,EDATE($G1882,$F1882)))),"Check Date")</f>
        <v/>
      </c>
      <c r="I1882" s="12" t="str">
        <f aca="true">IF($H1882="","",IF(ISNUMBER($H1882),$H1882-TODAY(),""))</f>
        <v/>
      </c>
      <c r="J1882" s="4" t="str">
        <f aca="true">IF($D1882="Manual Review","Manual Review",IF($G1882="","No Data",IF(NOT(ISNUMBER($H1882)),"N/A",IF($H1882&lt;TODAY(),"Overdue",IF($H1882&lt;=TODAY()+30,"Due within 1 Month",IF($H1882&lt;=TODAY()+60,"Due within 2 Months","OK"))))))</f>
        <v>No Data</v>
      </c>
      <c r="K1882" s="13"/>
    </row>
    <row r="1883" customFormat="false" ht="15" hidden="false" customHeight="false" outlineLevel="0" collapsed="false">
      <c r="A1883" s="9" t="str">
        <f aca="false">Vessels!B21</f>
        <v>Vessel 17</v>
      </c>
      <c r="B1883" s="9" t="s">
        <v>117</v>
      </c>
      <c r="C1883" s="7" t="s">
        <v>129</v>
      </c>
      <c r="D1883" s="9" t="s">
        <v>59</v>
      </c>
      <c r="E1883" s="9" t="s">
        <v>58</v>
      </c>
      <c r="F1883" s="5"/>
      <c r="G1883" s="10"/>
      <c r="H1883" s="11" t="str">
        <f aca="false">IFERROR(IF($D1883="Manual Review","",IF($G1883="","",IF($D1883="Direct Expiry",$G1883,EDATE($G1883,$F1883)))),"Check Date")</f>
        <v/>
      </c>
      <c r="I1883" s="12" t="str">
        <f aca="true">IF($H1883="","",IF(ISNUMBER($H1883),$H1883-TODAY(),""))</f>
        <v/>
      </c>
      <c r="J1883" s="4" t="str">
        <f aca="true">IF($D1883="Manual Review","Manual Review",IF($G1883="","No Data",IF(NOT(ISNUMBER($H1883)),"N/A",IF($H1883&lt;TODAY(),"Overdue",IF($H1883&lt;=TODAY()+30,"Due within 1 Month",IF($H1883&lt;=TODAY()+60,"Due within 2 Months","OK"))))))</f>
        <v>No Data</v>
      </c>
      <c r="K1883" s="13"/>
    </row>
    <row r="1884" customFormat="false" ht="15" hidden="false" customHeight="false" outlineLevel="0" collapsed="false">
      <c r="A1884" s="9" t="str">
        <f aca="false">Vessels!B21</f>
        <v>Vessel 17</v>
      </c>
      <c r="B1884" s="9" t="s">
        <v>117</v>
      </c>
      <c r="C1884" s="7" t="s">
        <v>130</v>
      </c>
      <c r="D1884" s="9" t="s">
        <v>45</v>
      </c>
      <c r="E1884" s="9" t="s">
        <v>44</v>
      </c>
      <c r="F1884" s="5" t="n">
        <v>12</v>
      </c>
      <c r="G1884" s="10"/>
      <c r="H1884" s="11" t="str">
        <f aca="false">IFERROR(IF($D1884="Manual Review","",IF($G1884="","",IF($D1884="Direct Expiry",$G1884,EDATE($G1884,$F1884)))),"Check Date")</f>
        <v/>
      </c>
      <c r="I1884" s="12" t="str">
        <f aca="true">IF($H1884="","",IF(ISNUMBER($H1884),$H1884-TODAY(),""))</f>
        <v/>
      </c>
      <c r="J1884" s="4" t="str">
        <f aca="true">IF($D1884="Manual Review","Manual Review",IF($G1884="","No Data",IF(NOT(ISNUMBER($H1884)),"N/A",IF($H1884&lt;TODAY(),"Overdue",IF($H1884&lt;=TODAY()+30,"Due within 1 Month",IF($H1884&lt;=TODAY()+60,"Due within 2 Months","OK"))))))</f>
        <v>No Data</v>
      </c>
      <c r="K1884" s="13"/>
    </row>
    <row r="1885" customFormat="false" ht="15" hidden="false" customHeight="false" outlineLevel="0" collapsed="false">
      <c r="A1885" s="9" t="str">
        <f aca="false">Vessels!B21</f>
        <v>Vessel 17</v>
      </c>
      <c r="B1885" s="9" t="s">
        <v>117</v>
      </c>
      <c r="C1885" s="7" t="s">
        <v>131</v>
      </c>
      <c r="D1885" s="9" t="s">
        <v>45</v>
      </c>
      <c r="E1885" s="9" t="s">
        <v>44</v>
      </c>
      <c r="F1885" s="5" t="n">
        <v>12</v>
      </c>
      <c r="G1885" s="10"/>
      <c r="H1885" s="11" t="str">
        <f aca="false">IFERROR(IF($D1885="Manual Review","",IF($G1885="","",IF($D1885="Direct Expiry",$G1885,EDATE($G1885,$F1885)))),"Check Date")</f>
        <v/>
      </c>
      <c r="I1885" s="12" t="str">
        <f aca="true">IF($H1885="","",IF(ISNUMBER($H1885),$H1885-TODAY(),""))</f>
        <v/>
      </c>
      <c r="J1885" s="4" t="str">
        <f aca="true">IF($D1885="Manual Review","Manual Review",IF($G1885="","No Data",IF(NOT(ISNUMBER($H1885)),"N/A",IF($H1885&lt;TODAY(),"Overdue",IF($H1885&lt;=TODAY()+30,"Due within 1 Month",IF($H1885&lt;=TODAY()+60,"Due within 2 Months","OK"))))))</f>
        <v>No Data</v>
      </c>
      <c r="K1885" s="13"/>
    </row>
    <row r="1886" customFormat="false" ht="15" hidden="false" customHeight="false" outlineLevel="0" collapsed="false">
      <c r="A1886" s="9" t="str">
        <f aca="false">Vessels!B21</f>
        <v>Vessel 17</v>
      </c>
      <c r="B1886" s="9" t="s">
        <v>117</v>
      </c>
      <c r="C1886" s="7" t="s">
        <v>132</v>
      </c>
      <c r="D1886" s="9" t="s">
        <v>45</v>
      </c>
      <c r="E1886" s="9" t="s">
        <v>44</v>
      </c>
      <c r="F1886" s="5" t="n">
        <v>12</v>
      </c>
      <c r="G1886" s="10"/>
      <c r="H1886" s="11" t="str">
        <f aca="false">IFERROR(IF($D1886="Manual Review","",IF($G1886="","",IF($D1886="Direct Expiry",$G1886,EDATE($G1886,$F1886)))),"Check Date")</f>
        <v/>
      </c>
      <c r="I1886" s="12" t="str">
        <f aca="true">IF($H1886="","",IF(ISNUMBER($H1886),$H1886-TODAY(),""))</f>
        <v/>
      </c>
      <c r="J1886" s="4" t="str">
        <f aca="true">IF($D1886="Manual Review","Manual Review",IF($G1886="","No Data",IF(NOT(ISNUMBER($H1886)),"N/A",IF($H1886&lt;TODAY(),"Overdue",IF($H1886&lt;=TODAY()+30,"Due within 1 Month",IF($H1886&lt;=TODAY()+60,"Due within 2 Months","OK"))))))</f>
        <v>No Data</v>
      </c>
      <c r="K1886" s="13"/>
    </row>
    <row r="1887" customFormat="false" ht="15" hidden="false" customHeight="false" outlineLevel="0" collapsed="false">
      <c r="A1887" s="9" t="str">
        <f aca="false">Vessels!B21</f>
        <v>Vessel 17</v>
      </c>
      <c r="B1887" s="9" t="s">
        <v>117</v>
      </c>
      <c r="C1887" s="7" t="s">
        <v>133</v>
      </c>
      <c r="D1887" s="9" t="s">
        <v>45</v>
      </c>
      <c r="E1887" s="9" t="s">
        <v>44</v>
      </c>
      <c r="F1887" s="5" t="n">
        <v>12</v>
      </c>
      <c r="G1887" s="10"/>
      <c r="H1887" s="11" t="str">
        <f aca="false">IFERROR(IF($D1887="Manual Review","",IF($G1887="","",IF($D1887="Direct Expiry",$G1887,EDATE($G1887,$F1887)))),"Check Date")</f>
        <v/>
      </c>
      <c r="I1887" s="12" t="str">
        <f aca="true">IF($H1887="","",IF(ISNUMBER($H1887),$H1887-TODAY(),""))</f>
        <v/>
      </c>
      <c r="J1887" s="4" t="str">
        <f aca="true">IF($D1887="Manual Review","Manual Review",IF($G1887="","No Data",IF(NOT(ISNUMBER($H1887)),"N/A",IF($H1887&lt;TODAY(),"Overdue",IF($H1887&lt;=TODAY()+30,"Due within 1 Month",IF($H1887&lt;=TODAY()+60,"Due within 2 Months","OK"))))))</f>
        <v>No Data</v>
      </c>
      <c r="K1887" s="13"/>
    </row>
    <row r="1888" customFormat="false" ht="15" hidden="false" customHeight="false" outlineLevel="0" collapsed="false">
      <c r="A1888" s="9" t="str">
        <f aca="false">Vessels!B21</f>
        <v>Vessel 17</v>
      </c>
      <c r="B1888" s="9" t="s">
        <v>117</v>
      </c>
      <c r="C1888" s="7" t="s">
        <v>134</v>
      </c>
      <c r="D1888" s="9" t="s">
        <v>45</v>
      </c>
      <c r="E1888" s="9" t="s">
        <v>44</v>
      </c>
      <c r="F1888" s="5" t="n">
        <v>12</v>
      </c>
      <c r="G1888" s="10"/>
      <c r="H1888" s="11" t="str">
        <f aca="false">IFERROR(IF($D1888="Manual Review","",IF($G1888="","",IF($D1888="Direct Expiry",$G1888,EDATE($G1888,$F1888)))),"Check Date")</f>
        <v/>
      </c>
      <c r="I1888" s="12" t="str">
        <f aca="true">IF($H1888="","",IF(ISNUMBER($H1888),$H1888-TODAY(),""))</f>
        <v/>
      </c>
      <c r="J1888" s="4" t="str">
        <f aca="true">IF($D1888="Manual Review","Manual Review",IF($G1888="","No Data",IF(NOT(ISNUMBER($H1888)),"N/A",IF($H1888&lt;TODAY(),"Overdue",IF($H1888&lt;=TODAY()+30,"Due within 1 Month",IF($H1888&lt;=TODAY()+60,"Due within 2 Months","OK"))))))</f>
        <v>No Data</v>
      </c>
      <c r="K1888" s="13"/>
    </row>
    <row r="1889" customFormat="false" ht="15" hidden="false" customHeight="false" outlineLevel="0" collapsed="false">
      <c r="A1889" s="9" t="str">
        <f aca="false">Vessels!B21</f>
        <v>Vessel 17</v>
      </c>
      <c r="B1889" s="9" t="s">
        <v>117</v>
      </c>
      <c r="C1889" s="7" t="s">
        <v>135</v>
      </c>
      <c r="D1889" s="9" t="s">
        <v>45</v>
      </c>
      <c r="E1889" s="9" t="s">
        <v>44</v>
      </c>
      <c r="F1889" s="5" t="n">
        <v>12</v>
      </c>
      <c r="G1889" s="10"/>
      <c r="H1889" s="11" t="str">
        <f aca="false">IFERROR(IF($D1889="Manual Review","",IF($G1889="","",IF($D1889="Direct Expiry",$G1889,EDATE($G1889,$F1889)))),"Check Date")</f>
        <v/>
      </c>
      <c r="I1889" s="12" t="str">
        <f aca="true">IF($H1889="","",IF(ISNUMBER($H1889),$H1889-TODAY(),""))</f>
        <v/>
      </c>
      <c r="J1889" s="4" t="str">
        <f aca="true">IF($D1889="Manual Review","Manual Review",IF($G1889="","No Data",IF(NOT(ISNUMBER($H1889)),"N/A",IF($H1889&lt;TODAY(),"Overdue",IF($H1889&lt;=TODAY()+30,"Due within 1 Month",IF($H1889&lt;=TODAY()+60,"Due within 2 Months","OK"))))))</f>
        <v>No Data</v>
      </c>
      <c r="K1889" s="13"/>
    </row>
    <row r="1890" customFormat="false" ht="15" hidden="false" customHeight="false" outlineLevel="0" collapsed="false">
      <c r="A1890" s="9" t="str">
        <f aca="false">Vessels!B21</f>
        <v>Vessel 17</v>
      </c>
      <c r="B1890" s="9" t="s">
        <v>136</v>
      </c>
      <c r="C1890" s="7" t="s">
        <v>137</v>
      </c>
      <c r="D1890" s="9" t="s">
        <v>45</v>
      </c>
      <c r="E1890" s="9" t="s">
        <v>44</v>
      </c>
      <c r="F1890" s="5" t="n">
        <v>12</v>
      </c>
      <c r="G1890" s="10"/>
      <c r="H1890" s="11" t="str">
        <f aca="false">IFERROR(IF($D1890="Manual Review","",IF($G1890="","",IF($D1890="Direct Expiry",$G1890,EDATE($G1890,$F1890)))),"Check Date")</f>
        <v/>
      </c>
      <c r="I1890" s="12" t="str">
        <f aca="true">IF($H1890="","",IF(ISNUMBER($H1890),$H1890-TODAY(),""))</f>
        <v/>
      </c>
      <c r="J1890" s="4" t="str">
        <f aca="true">IF($D1890="Manual Review","Manual Review",IF($G1890="","No Data",IF(NOT(ISNUMBER($H1890)),"N/A",IF($H1890&lt;TODAY(),"Overdue",IF($H1890&lt;=TODAY()+30,"Due within 1 Month",IF($H1890&lt;=TODAY()+60,"Due within 2 Months","OK"))))))</f>
        <v>No Data</v>
      </c>
      <c r="K1890" s="13"/>
    </row>
    <row r="1891" customFormat="false" ht="15" hidden="false" customHeight="false" outlineLevel="0" collapsed="false">
      <c r="A1891" s="9" t="str">
        <f aca="false">Vessels!B21</f>
        <v>Vessel 17</v>
      </c>
      <c r="B1891" s="9" t="s">
        <v>136</v>
      </c>
      <c r="C1891" s="7" t="s">
        <v>138</v>
      </c>
      <c r="D1891" s="9" t="s">
        <v>45</v>
      </c>
      <c r="E1891" s="9" t="s">
        <v>44</v>
      </c>
      <c r="F1891" s="5" t="n">
        <v>12</v>
      </c>
      <c r="G1891" s="10"/>
      <c r="H1891" s="11" t="str">
        <f aca="false">IFERROR(IF($D1891="Manual Review","",IF($G1891="","",IF($D1891="Direct Expiry",$G1891,EDATE($G1891,$F1891)))),"Check Date")</f>
        <v/>
      </c>
      <c r="I1891" s="12" t="str">
        <f aca="true">IF($H1891="","",IF(ISNUMBER($H1891),$H1891-TODAY(),""))</f>
        <v/>
      </c>
      <c r="J1891" s="4" t="str">
        <f aca="true">IF($D1891="Manual Review","Manual Review",IF($G1891="","No Data",IF(NOT(ISNUMBER($H1891)),"N/A",IF($H1891&lt;TODAY(),"Overdue",IF($H1891&lt;=TODAY()+30,"Due within 1 Month",IF($H1891&lt;=TODAY()+60,"Due within 2 Months","OK"))))))</f>
        <v>No Data</v>
      </c>
      <c r="K1891" s="13"/>
    </row>
    <row r="1892" customFormat="false" ht="15" hidden="false" customHeight="false" outlineLevel="0" collapsed="false">
      <c r="A1892" s="9" t="str">
        <f aca="false">Vessels!B21</f>
        <v>Vessel 17</v>
      </c>
      <c r="B1892" s="9" t="s">
        <v>136</v>
      </c>
      <c r="C1892" s="7" t="s">
        <v>139</v>
      </c>
      <c r="D1892" s="9" t="s">
        <v>45</v>
      </c>
      <c r="E1892" s="9" t="s">
        <v>140</v>
      </c>
      <c r="F1892" s="5" t="n">
        <v>12</v>
      </c>
      <c r="G1892" s="10"/>
      <c r="H1892" s="11" t="str">
        <f aca="false">IFERROR(IF($D1892="Manual Review","",IF($G1892="","",IF($D1892="Direct Expiry",$G1892,EDATE($G1892,$F1892)))),"Check Date")</f>
        <v/>
      </c>
      <c r="I1892" s="12" t="str">
        <f aca="true">IF($H1892="","",IF(ISNUMBER($H1892),$H1892-TODAY(),""))</f>
        <v/>
      </c>
      <c r="J1892" s="4" t="str">
        <f aca="true">IF($D1892="Manual Review","Manual Review",IF($G1892="","No Data",IF(NOT(ISNUMBER($H1892)),"N/A",IF($H1892&lt;TODAY(),"Overdue",IF($H1892&lt;=TODAY()+30,"Due within 1 Month",IF($H1892&lt;=TODAY()+60,"Due within 2 Months","OK"))))))</f>
        <v>No Data</v>
      </c>
      <c r="K1892" s="13"/>
    </row>
    <row r="1893" customFormat="false" ht="15" hidden="false" customHeight="false" outlineLevel="0" collapsed="false">
      <c r="A1893" s="9" t="str">
        <f aca="false">Vessels!B21</f>
        <v>Vessel 17</v>
      </c>
      <c r="B1893" s="9" t="s">
        <v>136</v>
      </c>
      <c r="C1893" s="7" t="s">
        <v>141</v>
      </c>
      <c r="D1893" s="9" t="s">
        <v>45</v>
      </c>
      <c r="E1893" s="9" t="s">
        <v>44</v>
      </c>
      <c r="F1893" s="5" t="n">
        <v>12</v>
      </c>
      <c r="G1893" s="10"/>
      <c r="H1893" s="11" t="str">
        <f aca="false">IFERROR(IF($D1893="Manual Review","",IF($G1893="","",IF($D1893="Direct Expiry",$G1893,EDATE($G1893,$F1893)))),"Check Date")</f>
        <v/>
      </c>
      <c r="I1893" s="12" t="str">
        <f aca="true">IF($H1893="","",IF(ISNUMBER($H1893),$H1893-TODAY(),""))</f>
        <v/>
      </c>
      <c r="J1893" s="4" t="str">
        <f aca="true">IF($D1893="Manual Review","Manual Review",IF($G1893="","No Data",IF(NOT(ISNUMBER($H1893)),"N/A",IF($H1893&lt;TODAY(),"Overdue",IF($H1893&lt;=TODAY()+30,"Due within 1 Month",IF($H1893&lt;=TODAY()+60,"Due within 2 Months","OK"))))))</f>
        <v>No Data</v>
      </c>
      <c r="K1893" s="13"/>
    </row>
    <row r="1894" customFormat="false" ht="15" hidden="false" customHeight="false" outlineLevel="0" collapsed="false">
      <c r="A1894" s="9" t="str">
        <f aca="false">Vessels!B21</f>
        <v>Vessel 17</v>
      </c>
      <c r="B1894" s="9" t="s">
        <v>136</v>
      </c>
      <c r="C1894" s="7" t="s">
        <v>142</v>
      </c>
      <c r="D1894" s="9" t="s">
        <v>115</v>
      </c>
      <c r="E1894" s="9" t="s">
        <v>143</v>
      </c>
      <c r="F1894" s="5"/>
      <c r="G1894" s="10"/>
      <c r="H1894" s="11" t="str">
        <f aca="false">IFERROR(IF($D1894="Manual Review","",IF($G1894="","",IF($D1894="Direct Expiry",$G1894,EDATE($G1894,$F1894)))),"Check Date")</f>
        <v/>
      </c>
      <c r="I1894" s="12" t="str">
        <f aca="true">IF($H1894="","",IF(ISNUMBER($H1894),$H1894-TODAY(),""))</f>
        <v/>
      </c>
      <c r="J1894" s="4" t="str">
        <f aca="true">IF($D1894="Manual Review","Manual Review",IF($G1894="","No Data",IF(NOT(ISNUMBER($H1894)),"N/A",IF($H1894&lt;TODAY(),"Overdue",IF($H1894&lt;=TODAY()+30,"Due within 1 Month",IF($H1894&lt;=TODAY()+60,"Due within 2 Months","OK"))))))</f>
        <v>Manual Review</v>
      </c>
      <c r="K1894" s="13"/>
    </row>
    <row r="1895" customFormat="false" ht="15" hidden="false" customHeight="false" outlineLevel="0" collapsed="false">
      <c r="A1895" s="9" t="str">
        <f aca="false">Vessels!B21</f>
        <v>Vessel 17</v>
      </c>
      <c r="B1895" s="9" t="s">
        <v>136</v>
      </c>
      <c r="C1895" s="7" t="s">
        <v>144</v>
      </c>
      <c r="D1895" s="9" t="s">
        <v>45</v>
      </c>
      <c r="E1895" s="9" t="s">
        <v>44</v>
      </c>
      <c r="F1895" s="5" t="n">
        <v>12</v>
      </c>
      <c r="G1895" s="10"/>
      <c r="H1895" s="11" t="str">
        <f aca="false">IFERROR(IF($D1895="Manual Review","",IF($G1895="","",IF($D1895="Direct Expiry",$G1895,EDATE($G1895,$F1895)))),"Check Date")</f>
        <v/>
      </c>
      <c r="I1895" s="12" t="str">
        <f aca="true">IF($H1895="","",IF(ISNUMBER($H1895),$H1895-TODAY(),""))</f>
        <v/>
      </c>
      <c r="J1895" s="4" t="str">
        <f aca="true">IF($D1895="Manual Review","Manual Review",IF($G1895="","No Data",IF(NOT(ISNUMBER($H1895)),"N/A",IF($H1895&lt;TODAY(),"Overdue",IF($H1895&lt;=TODAY()+30,"Due within 1 Month",IF($H1895&lt;=TODAY()+60,"Due within 2 Months","OK"))))))</f>
        <v>No Data</v>
      </c>
      <c r="K1895" s="13"/>
    </row>
    <row r="1896" customFormat="false" ht="15" hidden="false" customHeight="false" outlineLevel="0" collapsed="false">
      <c r="A1896" s="9" t="str">
        <f aca="false">Vessels!B21</f>
        <v>Vessel 17</v>
      </c>
      <c r="B1896" s="9" t="s">
        <v>136</v>
      </c>
      <c r="C1896" s="7" t="s">
        <v>145</v>
      </c>
      <c r="D1896" s="9" t="s">
        <v>45</v>
      </c>
      <c r="E1896" s="9" t="s">
        <v>44</v>
      </c>
      <c r="F1896" s="5" t="n">
        <v>12</v>
      </c>
      <c r="G1896" s="10"/>
      <c r="H1896" s="11" t="str">
        <f aca="false">IFERROR(IF($D1896="Manual Review","",IF($G1896="","",IF($D1896="Direct Expiry",$G1896,EDATE($G1896,$F1896)))),"Check Date")</f>
        <v/>
      </c>
      <c r="I1896" s="12" t="str">
        <f aca="true">IF($H1896="","",IF(ISNUMBER($H1896),$H1896-TODAY(),""))</f>
        <v/>
      </c>
      <c r="J1896" s="4" t="str">
        <f aca="true">IF($D1896="Manual Review","Manual Review",IF($G1896="","No Data",IF(NOT(ISNUMBER($H1896)),"N/A",IF($H1896&lt;TODAY(),"Overdue",IF($H1896&lt;=TODAY()+30,"Due within 1 Month",IF($H1896&lt;=TODAY()+60,"Due within 2 Months","OK"))))))</f>
        <v>No Data</v>
      </c>
      <c r="K1896" s="13"/>
    </row>
    <row r="1897" customFormat="false" ht="15" hidden="false" customHeight="false" outlineLevel="0" collapsed="false">
      <c r="A1897" s="9" t="str">
        <f aca="false">Vessels!B21</f>
        <v>Vessel 17</v>
      </c>
      <c r="B1897" s="9" t="s">
        <v>136</v>
      </c>
      <c r="C1897" s="7" t="s">
        <v>146</v>
      </c>
      <c r="D1897" s="9" t="s">
        <v>45</v>
      </c>
      <c r="E1897" s="9" t="s">
        <v>44</v>
      </c>
      <c r="F1897" s="5" t="n">
        <v>12</v>
      </c>
      <c r="G1897" s="10"/>
      <c r="H1897" s="11" t="str">
        <f aca="false">IFERROR(IF($D1897="Manual Review","",IF($G1897="","",IF($D1897="Direct Expiry",$G1897,EDATE($G1897,$F1897)))),"Check Date")</f>
        <v/>
      </c>
      <c r="I1897" s="12" t="str">
        <f aca="true">IF($H1897="","",IF(ISNUMBER($H1897),$H1897-TODAY(),""))</f>
        <v/>
      </c>
      <c r="J1897" s="4" t="str">
        <f aca="true">IF($D1897="Manual Review","Manual Review",IF($G1897="","No Data",IF(NOT(ISNUMBER($H1897)),"N/A",IF($H1897&lt;TODAY(),"Overdue",IF($H1897&lt;=TODAY()+30,"Due within 1 Month",IF($H1897&lt;=TODAY()+60,"Due within 2 Months","OK"))))))</f>
        <v>No Data</v>
      </c>
      <c r="K1897" s="13"/>
    </row>
    <row r="1898" customFormat="false" ht="15" hidden="false" customHeight="false" outlineLevel="0" collapsed="false">
      <c r="A1898" s="9" t="str">
        <f aca="false">Vessels!B21</f>
        <v>Vessel 17</v>
      </c>
      <c r="B1898" s="9" t="s">
        <v>136</v>
      </c>
      <c r="C1898" s="7" t="s">
        <v>147</v>
      </c>
      <c r="D1898" s="9" t="s">
        <v>45</v>
      </c>
      <c r="E1898" s="9" t="s">
        <v>44</v>
      </c>
      <c r="F1898" s="5" t="n">
        <v>12</v>
      </c>
      <c r="G1898" s="10"/>
      <c r="H1898" s="11" t="str">
        <f aca="false">IFERROR(IF($D1898="Manual Review","",IF($G1898="","",IF($D1898="Direct Expiry",$G1898,EDATE($G1898,$F1898)))),"Check Date")</f>
        <v/>
      </c>
      <c r="I1898" s="12" t="str">
        <f aca="true">IF($H1898="","",IF(ISNUMBER($H1898),$H1898-TODAY(),""))</f>
        <v/>
      </c>
      <c r="J1898" s="4" t="str">
        <f aca="true">IF($D1898="Manual Review","Manual Review",IF($G1898="","No Data",IF(NOT(ISNUMBER($H1898)),"N/A",IF($H1898&lt;TODAY(),"Overdue",IF($H1898&lt;=TODAY()+30,"Due within 1 Month",IF($H1898&lt;=TODAY()+60,"Due within 2 Months","OK"))))))</f>
        <v>No Data</v>
      </c>
      <c r="K1898" s="13"/>
    </row>
    <row r="1899" customFormat="false" ht="15" hidden="false" customHeight="false" outlineLevel="0" collapsed="false">
      <c r="A1899" s="9" t="str">
        <f aca="false">Vessels!B21</f>
        <v>Vessel 17</v>
      </c>
      <c r="B1899" s="9" t="s">
        <v>136</v>
      </c>
      <c r="C1899" s="7" t="s">
        <v>148</v>
      </c>
      <c r="D1899" s="9" t="s">
        <v>45</v>
      </c>
      <c r="E1899" s="9" t="s">
        <v>44</v>
      </c>
      <c r="F1899" s="5" t="n">
        <v>12</v>
      </c>
      <c r="G1899" s="10"/>
      <c r="H1899" s="11" t="str">
        <f aca="false">IFERROR(IF($D1899="Manual Review","",IF($G1899="","",IF($D1899="Direct Expiry",$G1899,EDATE($G1899,$F1899)))),"Check Date")</f>
        <v/>
      </c>
      <c r="I1899" s="12" t="str">
        <f aca="true">IF($H1899="","",IF(ISNUMBER($H1899),$H1899-TODAY(),""))</f>
        <v/>
      </c>
      <c r="J1899" s="4" t="str">
        <f aca="true">IF($D1899="Manual Review","Manual Review",IF($G1899="","No Data",IF(NOT(ISNUMBER($H1899)),"N/A",IF($H1899&lt;TODAY(),"Overdue",IF($H1899&lt;=TODAY()+30,"Due within 1 Month",IF($H1899&lt;=TODAY()+60,"Due within 2 Months","OK"))))))</f>
        <v>No Data</v>
      </c>
      <c r="K1899" s="13"/>
    </row>
    <row r="1900" customFormat="false" ht="15" hidden="false" customHeight="false" outlineLevel="0" collapsed="false">
      <c r="A1900" s="9" t="str">
        <f aca="false">Vessels!B21</f>
        <v>Vessel 17</v>
      </c>
      <c r="B1900" s="9" t="s">
        <v>136</v>
      </c>
      <c r="C1900" s="7" t="s">
        <v>149</v>
      </c>
      <c r="D1900" s="9" t="s">
        <v>45</v>
      </c>
      <c r="E1900" s="9" t="s">
        <v>44</v>
      </c>
      <c r="F1900" s="5" t="n">
        <v>12</v>
      </c>
      <c r="G1900" s="10"/>
      <c r="H1900" s="11" t="str">
        <f aca="false">IFERROR(IF($D1900="Manual Review","",IF($G1900="","",IF($D1900="Direct Expiry",$G1900,EDATE($G1900,$F1900)))),"Check Date")</f>
        <v/>
      </c>
      <c r="I1900" s="12" t="str">
        <f aca="true">IF($H1900="","",IF(ISNUMBER($H1900),$H1900-TODAY(),""))</f>
        <v/>
      </c>
      <c r="J1900" s="4" t="str">
        <f aca="true">IF($D1900="Manual Review","Manual Review",IF($G1900="","No Data",IF(NOT(ISNUMBER($H1900)),"N/A",IF($H1900&lt;TODAY(),"Overdue",IF($H1900&lt;=TODAY()+30,"Due within 1 Month",IF($H1900&lt;=TODAY()+60,"Due within 2 Months","OK"))))))</f>
        <v>No Data</v>
      </c>
      <c r="K1900" s="13"/>
    </row>
    <row r="1901" customFormat="false" ht="15" hidden="false" customHeight="false" outlineLevel="0" collapsed="false">
      <c r="A1901" s="9" t="str">
        <f aca="false">Vessels!B21</f>
        <v>Vessel 17</v>
      </c>
      <c r="B1901" s="9" t="s">
        <v>136</v>
      </c>
      <c r="C1901" s="7" t="s">
        <v>150</v>
      </c>
      <c r="D1901" s="9" t="s">
        <v>45</v>
      </c>
      <c r="E1901" s="9" t="s">
        <v>44</v>
      </c>
      <c r="F1901" s="5" t="n">
        <v>12</v>
      </c>
      <c r="G1901" s="10"/>
      <c r="H1901" s="11" t="str">
        <f aca="false">IFERROR(IF($D1901="Manual Review","",IF($G1901="","",IF($D1901="Direct Expiry",$G1901,EDATE($G1901,$F1901)))),"Check Date")</f>
        <v/>
      </c>
      <c r="I1901" s="12" t="str">
        <f aca="true">IF($H1901="","",IF(ISNUMBER($H1901),$H1901-TODAY(),""))</f>
        <v/>
      </c>
      <c r="J1901" s="4" t="str">
        <f aca="true">IF($D1901="Manual Review","Manual Review",IF($G1901="","No Data",IF(NOT(ISNUMBER($H1901)),"N/A",IF($H1901&lt;TODAY(),"Overdue",IF($H1901&lt;=TODAY()+30,"Due within 1 Month",IF($H1901&lt;=TODAY()+60,"Due within 2 Months","OK"))))))</f>
        <v>No Data</v>
      </c>
      <c r="K1901" s="13"/>
    </row>
    <row r="1902" customFormat="false" ht="15" hidden="false" customHeight="false" outlineLevel="0" collapsed="false">
      <c r="A1902" s="9" t="str">
        <f aca="false">Vessels!B21</f>
        <v>Vessel 17</v>
      </c>
      <c r="B1902" s="9" t="s">
        <v>136</v>
      </c>
      <c r="C1902" s="7" t="s">
        <v>151</v>
      </c>
      <c r="D1902" s="9" t="s">
        <v>45</v>
      </c>
      <c r="E1902" s="9" t="s">
        <v>44</v>
      </c>
      <c r="F1902" s="5" t="n">
        <v>12</v>
      </c>
      <c r="G1902" s="10"/>
      <c r="H1902" s="11" t="str">
        <f aca="false">IFERROR(IF($D1902="Manual Review","",IF($G1902="","",IF($D1902="Direct Expiry",$G1902,EDATE($G1902,$F1902)))),"Check Date")</f>
        <v/>
      </c>
      <c r="I1902" s="12" t="str">
        <f aca="true">IF($H1902="","",IF(ISNUMBER($H1902),$H1902-TODAY(),""))</f>
        <v/>
      </c>
      <c r="J1902" s="4" t="str">
        <f aca="true">IF($D1902="Manual Review","Manual Review",IF($G1902="","No Data",IF(NOT(ISNUMBER($H1902)),"N/A",IF($H1902&lt;TODAY(),"Overdue",IF($H1902&lt;=TODAY()+30,"Due within 1 Month",IF($H1902&lt;=TODAY()+60,"Due within 2 Months","OK"))))))</f>
        <v>No Data</v>
      </c>
      <c r="K1902" s="13"/>
    </row>
    <row r="1903" customFormat="false" ht="15" hidden="false" customHeight="false" outlineLevel="0" collapsed="false">
      <c r="A1903" s="9" t="str">
        <f aca="false">Vessels!B21</f>
        <v>Vessel 17</v>
      </c>
      <c r="B1903" s="9" t="s">
        <v>136</v>
      </c>
      <c r="C1903" s="7" t="s">
        <v>152</v>
      </c>
      <c r="D1903" s="9" t="s">
        <v>45</v>
      </c>
      <c r="E1903" s="9" t="s">
        <v>44</v>
      </c>
      <c r="F1903" s="5" t="n">
        <v>12</v>
      </c>
      <c r="G1903" s="10"/>
      <c r="H1903" s="11" t="str">
        <f aca="false">IFERROR(IF($D1903="Manual Review","",IF($G1903="","",IF($D1903="Direct Expiry",$G1903,EDATE($G1903,$F1903)))),"Check Date")</f>
        <v/>
      </c>
      <c r="I1903" s="12" t="str">
        <f aca="true">IF($H1903="","",IF(ISNUMBER($H1903),$H1903-TODAY(),""))</f>
        <v/>
      </c>
      <c r="J1903" s="4" t="str">
        <f aca="true">IF($D1903="Manual Review","Manual Review",IF($G1903="","No Data",IF(NOT(ISNUMBER($H1903)),"N/A",IF($H1903&lt;TODAY(),"Overdue",IF($H1903&lt;=TODAY()+30,"Due within 1 Month",IF($H1903&lt;=TODAY()+60,"Due within 2 Months","OK"))))))</f>
        <v>No Data</v>
      </c>
      <c r="K1903" s="13"/>
    </row>
    <row r="1904" customFormat="false" ht="15" hidden="false" customHeight="false" outlineLevel="0" collapsed="false">
      <c r="A1904" s="9" t="str">
        <f aca="false">Vessels!B21</f>
        <v>Vessel 17</v>
      </c>
      <c r="B1904" s="9" t="s">
        <v>136</v>
      </c>
      <c r="C1904" s="7" t="s">
        <v>153</v>
      </c>
      <c r="D1904" s="9" t="s">
        <v>45</v>
      </c>
      <c r="E1904" s="9" t="s">
        <v>44</v>
      </c>
      <c r="F1904" s="5" t="n">
        <v>12</v>
      </c>
      <c r="G1904" s="10"/>
      <c r="H1904" s="11" t="str">
        <f aca="false">IFERROR(IF($D1904="Manual Review","",IF($G1904="","",IF($D1904="Direct Expiry",$G1904,EDATE($G1904,$F1904)))),"Check Date")</f>
        <v/>
      </c>
      <c r="I1904" s="12" t="str">
        <f aca="true">IF($H1904="","",IF(ISNUMBER($H1904),$H1904-TODAY(),""))</f>
        <v/>
      </c>
      <c r="J1904" s="4" t="str">
        <f aca="true">IF($D1904="Manual Review","Manual Review",IF($G1904="","No Data",IF(NOT(ISNUMBER($H1904)),"N/A",IF($H1904&lt;TODAY(),"Overdue",IF($H1904&lt;=TODAY()+30,"Due within 1 Month",IF($H1904&lt;=TODAY()+60,"Due within 2 Months","OK"))))))</f>
        <v>No Data</v>
      </c>
      <c r="K1904" s="13"/>
    </row>
    <row r="1905" customFormat="false" ht="15" hidden="false" customHeight="false" outlineLevel="0" collapsed="false">
      <c r="A1905" s="9" t="str">
        <f aca="false">Vessels!B21</f>
        <v>Vessel 17</v>
      </c>
      <c r="B1905" s="9" t="s">
        <v>136</v>
      </c>
      <c r="C1905" s="7" t="s">
        <v>154</v>
      </c>
      <c r="D1905" s="9" t="s">
        <v>45</v>
      </c>
      <c r="E1905" s="9" t="s">
        <v>44</v>
      </c>
      <c r="F1905" s="5" t="n">
        <v>12</v>
      </c>
      <c r="G1905" s="10"/>
      <c r="H1905" s="11" t="str">
        <f aca="false">IFERROR(IF($D1905="Manual Review","",IF($G1905="","",IF($D1905="Direct Expiry",$G1905,EDATE($G1905,$F1905)))),"Check Date")</f>
        <v/>
      </c>
      <c r="I1905" s="12" t="str">
        <f aca="true">IF($H1905="","",IF(ISNUMBER($H1905),$H1905-TODAY(),""))</f>
        <v/>
      </c>
      <c r="J1905" s="4" t="str">
        <f aca="true">IF($D1905="Manual Review","Manual Review",IF($G1905="","No Data",IF(NOT(ISNUMBER($H1905)),"N/A",IF($H1905&lt;TODAY(),"Overdue",IF($H1905&lt;=TODAY()+30,"Due within 1 Month",IF($H1905&lt;=TODAY()+60,"Due within 2 Months","OK"))))))</f>
        <v>No Data</v>
      </c>
      <c r="K1905" s="13"/>
    </row>
    <row r="1906" customFormat="false" ht="15" hidden="false" customHeight="false" outlineLevel="0" collapsed="false">
      <c r="A1906" s="9" t="str">
        <f aca="false">Vessels!B21</f>
        <v>Vessel 17</v>
      </c>
      <c r="B1906" s="9" t="s">
        <v>136</v>
      </c>
      <c r="C1906" s="7" t="s">
        <v>155</v>
      </c>
      <c r="D1906" s="9" t="s">
        <v>45</v>
      </c>
      <c r="E1906" s="9" t="s">
        <v>44</v>
      </c>
      <c r="F1906" s="5" t="n">
        <v>12</v>
      </c>
      <c r="G1906" s="10"/>
      <c r="H1906" s="11" t="str">
        <f aca="false">IFERROR(IF($D1906="Manual Review","",IF($G1906="","",IF($D1906="Direct Expiry",$G1906,EDATE($G1906,$F1906)))),"Check Date")</f>
        <v/>
      </c>
      <c r="I1906" s="12" t="str">
        <f aca="true">IF($H1906="","",IF(ISNUMBER($H1906),$H1906-TODAY(),""))</f>
        <v/>
      </c>
      <c r="J1906" s="4" t="str">
        <f aca="true">IF($D1906="Manual Review","Manual Review",IF($G1906="","No Data",IF(NOT(ISNUMBER($H1906)),"N/A",IF($H1906&lt;TODAY(),"Overdue",IF($H1906&lt;=TODAY()+30,"Due within 1 Month",IF($H1906&lt;=TODAY()+60,"Due within 2 Months","OK"))))))</f>
        <v>No Data</v>
      </c>
      <c r="K1906" s="13"/>
    </row>
    <row r="1907" customFormat="false" ht="15" hidden="false" customHeight="false" outlineLevel="0" collapsed="false">
      <c r="A1907" s="9" t="str">
        <f aca="false">Vessels!B21</f>
        <v>Vessel 17</v>
      </c>
      <c r="B1907" s="9" t="s">
        <v>136</v>
      </c>
      <c r="C1907" s="7" t="s">
        <v>156</v>
      </c>
      <c r="D1907" s="9" t="s">
        <v>45</v>
      </c>
      <c r="E1907" s="9" t="s">
        <v>44</v>
      </c>
      <c r="F1907" s="5" t="n">
        <v>12</v>
      </c>
      <c r="G1907" s="10"/>
      <c r="H1907" s="11" t="str">
        <f aca="false">IFERROR(IF($D1907="Manual Review","",IF($G1907="","",IF($D1907="Direct Expiry",$G1907,EDATE($G1907,$F1907)))),"Check Date")</f>
        <v/>
      </c>
      <c r="I1907" s="12" t="str">
        <f aca="true">IF($H1907="","",IF(ISNUMBER($H1907),$H1907-TODAY(),""))</f>
        <v/>
      </c>
      <c r="J1907" s="4" t="str">
        <f aca="true">IF($D1907="Manual Review","Manual Review",IF($G1907="","No Data",IF(NOT(ISNUMBER($H1907)),"N/A",IF($H1907&lt;TODAY(),"Overdue",IF($H1907&lt;=TODAY()+30,"Due within 1 Month",IF($H1907&lt;=TODAY()+60,"Due within 2 Months","OK"))))))</f>
        <v>No Data</v>
      </c>
      <c r="K1907" s="13"/>
    </row>
    <row r="1908" customFormat="false" ht="15" hidden="false" customHeight="false" outlineLevel="0" collapsed="false">
      <c r="A1908" s="9" t="str">
        <f aca="false">Vessels!B21</f>
        <v>Vessel 17</v>
      </c>
      <c r="B1908" s="9" t="s">
        <v>136</v>
      </c>
      <c r="C1908" s="7" t="s">
        <v>157</v>
      </c>
      <c r="D1908" s="9" t="s">
        <v>45</v>
      </c>
      <c r="E1908" s="9" t="s">
        <v>44</v>
      </c>
      <c r="F1908" s="5" t="n">
        <v>12</v>
      </c>
      <c r="G1908" s="10"/>
      <c r="H1908" s="11" t="str">
        <f aca="false">IFERROR(IF($D1908="Manual Review","",IF($G1908="","",IF($D1908="Direct Expiry",$G1908,EDATE($G1908,$F1908)))),"Check Date")</f>
        <v/>
      </c>
      <c r="I1908" s="12" t="str">
        <f aca="true">IF($H1908="","",IF(ISNUMBER($H1908),$H1908-TODAY(),""))</f>
        <v/>
      </c>
      <c r="J1908" s="4" t="str">
        <f aca="true">IF($D1908="Manual Review","Manual Review",IF($G1908="","No Data",IF(NOT(ISNUMBER($H1908)),"N/A",IF($H1908&lt;TODAY(),"Overdue",IF($H1908&lt;=TODAY()+30,"Due within 1 Month",IF($H1908&lt;=TODAY()+60,"Due within 2 Months","OK"))))))</f>
        <v>No Data</v>
      </c>
      <c r="K1908" s="13"/>
    </row>
    <row r="1909" customFormat="false" ht="15" hidden="false" customHeight="false" outlineLevel="0" collapsed="false">
      <c r="A1909" s="9" t="str">
        <f aca="false">Vessels!B22</f>
        <v>Vessel 18</v>
      </c>
      <c r="B1909" s="9" t="s">
        <v>42</v>
      </c>
      <c r="C1909" s="7" t="s">
        <v>43</v>
      </c>
      <c r="D1909" s="9" t="s">
        <v>45</v>
      </c>
      <c r="E1909" s="9" t="s">
        <v>44</v>
      </c>
      <c r="F1909" s="5" t="n">
        <v>12</v>
      </c>
      <c r="G1909" s="10"/>
      <c r="H1909" s="11" t="str">
        <f aca="false">IFERROR(IF($D1909="Manual Review","",IF($G1909="","",IF($D1909="Direct Expiry",$G1909,EDATE($G1909,$F1909)))),"Check Date")</f>
        <v/>
      </c>
      <c r="I1909" s="12" t="str">
        <f aca="true">IF($H1909="","",IF(ISNUMBER($H1909),$H1909-TODAY(),""))</f>
        <v/>
      </c>
      <c r="J1909" s="4" t="str">
        <f aca="true">IF($D1909="Manual Review","Manual Review",IF($G1909="","No Data",IF(NOT(ISNUMBER($H1909)),"N/A",IF($H1909&lt;TODAY(),"Overdue",IF($H1909&lt;=TODAY()+30,"Due within 1 Month",IF($H1909&lt;=TODAY()+60,"Due within 2 Months","OK"))))))</f>
        <v>No Data</v>
      </c>
      <c r="K1909" s="13"/>
    </row>
    <row r="1910" customFormat="false" ht="15" hidden="false" customHeight="false" outlineLevel="0" collapsed="false">
      <c r="A1910" s="9" t="str">
        <f aca="false">Vessels!B22</f>
        <v>Vessel 18</v>
      </c>
      <c r="B1910" s="9" t="s">
        <v>42</v>
      </c>
      <c r="C1910" s="7" t="s">
        <v>43</v>
      </c>
      <c r="D1910" s="9" t="s">
        <v>45</v>
      </c>
      <c r="E1910" s="9" t="s">
        <v>46</v>
      </c>
      <c r="F1910" s="5" t="n">
        <v>60</v>
      </c>
      <c r="G1910" s="10"/>
      <c r="H1910" s="11" t="str">
        <f aca="false">IFERROR(IF($D1910="Manual Review","",IF($G1910="","",IF($D1910="Direct Expiry",$G1910,EDATE($G1910,$F1910)))),"Check Date")</f>
        <v/>
      </c>
      <c r="I1910" s="12" t="str">
        <f aca="true">IF($H1910="","",IF(ISNUMBER($H1910),$H1910-TODAY(),""))</f>
        <v/>
      </c>
      <c r="J1910" s="4" t="str">
        <f aca="true">IF($D1910="Manual Review","Manual Review",IF($G1910="","No Data",IF(NOT(ISNUMBER($H1910)),"N/A",IF($H1910&lt;TODAY(),"Overdue",IF($H1910&lt;=TODAY()+30,"Due within 1 Month",IF($H1910&lt;=TODAY()+60,"Due within 2 Months","OK"))))))</f>
        <v>No Data</v>
      </c>
      <c r="K1910" s="13"/>
    </row>
    <row r="1911" customFormat="false" ht="15" hidden="false" customHeight="false" outlineLevel="0" collapsed="false">
      <c r="A1911" s="9" t="str">
        <f aca="false">Vessels!B22</f>
        <v>Vessel 18</v>
      </c>
      <c r="B1911" s="9" t="s">
        <v>42</v>
      </c>
      <c r="C1911" s="7" t="s">
        <v>47</v>
      </c>
      <c r="D1911" s="9" t="s">
        <v>45</v>
      </c>
      <c r="E1911" s="9" t="s">
        <v>44</v>
      </c>
      <c r="F1911" s="5" t="n">
        <v>12</v>
      </c>
      <c r="G1911" s="10"/>
      <c r="H1911" s="11" t="str">
        <f aca="false">IFERROR(IF($D1911="Manual Review","",IF($G1911="","",IF($D1911="Direct Expiry",$G1911,EDATE($G1911,$F1911)))),"Check Date")</f>
        <v/>
      </c>
      <c r="I1911" s="12" t="str">
        <f aca="true">IF($H1911="","",IF(ISNUMBER($H1911),$H1911-TODAY(),""))</f>
        <v/>
      </c>
      <c r="J1911" s="4" t="str">
        <f aca="true">IF($D1911="Manual Review","Manual Review",IF($G1911="","No Data",IF(NOT(ISNUMBER($H1911)),"N/A",IF($H1911&lt;TODAY(),"Overdue",IF($H1911&lt;=TODAY()+30,"Due within 1 Month",IF($H1911&lt;=TODAY()+60,"Due within 2 Months","OK"))))))</f>
        <v>No Data</v>
      </c>
      <c r="K1911" s="13"/>
    </row>
    <row r="1912" customFormat="false" ht="15" hidden="false" customHeight="false" outlineLevel="0" collapsed="false">
      <c r="A1912" s="9" t="str">
        <f aca="false">Vessels!B22</f>
        <v>Vessel 18</v>
      </c>
      <c r="B1912" s="9" t="s">
        <v>42</v>
      </c>
      <c r="C1912" s="7" t="s">
        <v>47</v>
      </c>
      <c r="D1912" s="9" t="s">
        <v>45</v>
      </c>
      <c r="E1912" s="9" t="s">
        <v>46</v>
      </c>
      <c r="F1912" s="5" t="n">
        <v>60</v>
      </c>
      <c r="G1912" s="10"/>
      <c r="H1912" s="11" t="str">
        <f aca="false">IFERROR(IF($D1912="Manual Review","",IF($G1912="","",IF($D1912="Direct Expiry",$G1912,EDATE($G1912,$F1912)))),"Check Date")</f>
        <v/>
      </c>
      <c r="I1912" s="12" t="str">
        <f aca="true">IF($H1912="","",IF(ISNUMBER($H1912),$H1912-TODAY(),""))</f>
        <v/>
      </c>
      <c r="J1912" s="4" t="str">
        <f aca="true">IF($D1912="Manual Review","Manual Review",IF($G1912="","No Data",IF(NOT(ISNUMBER($H1912)),"N/A",IF($H1912&lt;TODAY(),"Overdue",IF($H1912&lt;=TODAY()+30,"Due within 1 Month",IF($H1912&lt;=TODAY()+60,"Due within 2 Months","OK"))))))</f>
        <v>No Data</v>
      </c>
      <c r="K1912" s="13"/>
    </row>
    <row r="1913" customFormat="false" ht="15" hidden="false" customHeight="false" outlineLevel="0" collapsed="false">
      <c r="A1913" s="9" t="str">
        <f aca="false">Vessels!B22</f>
        <v>Vessel 18</v>
      </c>
      <c r="B1913" s="9" t="s">
        <v>42</v>
      </c>
      <c r="C1913" s="7" t="s">
        <v>48</v>
      </c>
      <c r="D1913" s="9" t="s">
        <v>45</v>
      </c>
      <c r="E1913" s="9" t="s">
        <v>44</v>
      </c>
      <c r="F1913" s="5" t="n">
        <v>12</v>
      </c>
      <c r="G1913" s="10"/>
      <c r="H1913" s="11" t="str">
        <f aca="false">IFERROR(IF($D1913="Manual Review","",IF($G1913="","",IF($D1913="Direct Expiry",$G1913,EDATE($G1913,$F1913)))),"Check Date")</f>
        <v/>
      </c>
      <c r="I1913" s="12" t="str">
        <f aca="true">IF($H1913="","",IF(ISNUMBER($H1913),$H1913-TODAY(),""))</f>
        <v/>
      </c>
      <c r="J1913" s="4" t="str">
        <f aca="true">IF($D1913="Manual Review","Manual Review",IF($G1913="","No Data",IF(NOT(ISNUMBER($H1913)),"N/A",IF($H1913&lt;TODAY(),"Overdue",IF($H1913&lt;=TODAY()+30,"Due within 1 Month",IF($H1913&lt;=TODAY()+60,"Due within 2 Months","OK"))))))</f>
        <v>No Data</v>
      </c>
      <c r="K1913" s="13"/>
    </row>
    <row r="1914" customFormat="false" ht="15" hidden="false" customHeight="false" outlineLevel="0" collapsed="false">
      <c r="A1914" s="9" t="str">
        <f aca="false">Vessels!B22</f>
        <v>Vessel 18</v>
      </c>
      <c r="B1914" s="9" t="s">
        <v>42</v>
      </c>
      <c r="C1914" s="7" t="s">
        <v>48</v>
      </c>
      <c r="D1914" s="9" t="s">
        <v>45</v>
      </c>
      <c r="E1914" s="9" t="s">
        <v>49</v>
      </c>
      <c r="F1914" s="5" t="n">
        <v>60</v>
      </c>
      <c r="G1914" s="10"/>
      <c r="H1914" s="11" t="str">
        <f aca="false">IFERROR(IF($D1914="Manual Review","",IF($G1914="","",IF($D1914="Direct Expiry",$G1914,EDATE($G1914,$F1914)))),"Check Date")</f>
        <v/>
      </c>
      <c r="I1914" s="12" t="str">
        <f aca="true">IF($H1914="","",IF(ISNUMBER($H1914),$H1914-TODAY(),""))</f>
        <v/>
      </c>
      <c r="J1914" s="4" t="str">
        <f aca="true">IF($D1914="Manual Review","Manual Review",IF($G1914="","No Data",IF(NOT(ISNUMBER($H1914)),"N/A",IF($H1914&lt;TODAY(),"Overdue",IF($H1914&lt;=TODAY()+30,"Due within 1 Month",IF($H1914&lt;=TODAY()+60,"Due within 2 Months","OK"))))))</f>
        <v>No Data</v>
      </c>
      <c r="K1914" s="13"/>
    </row>
    <row r="1915" customFormat="false" ht="15" hidden="false" customHeight="false" outlineLevel="0" collapsed="false">
      <c r="A1915" s="9" t="str">
        <f aca="false">Vessels!B22</f>
        <v>Vessel 18</v>
      </c>
      <c r="B1915" s="9" t="s">
        <v>42</v>
      </c>
      <c r="C1915" s="7" t="s">
        <v>50</v>
      </c>
      <c r="D1915" s="9" t="s">
        <v>45</v>
      </c>
      <c r="E1915" s="9" t="s">
        <v>44</v>
      </c>
      <c r="F1915" s="5" t="n">
        <v>12</v>
      </c>
      <c r="G1915" s="10"/>
      <c r="H1915" s="11" t="str">
        <f aca="false">IFERROR(IF($D1915="Manual Review","",IF($G1915="","",IF($D1915="Direct Expiry",$G1915,EDATE($G1915,$F1915)))),"Check Date")</f>
        <v/>
      </c>
      <c r="I1915" s="12" t="str">
        <f aca="true">IF($H1915="","",IF(ISNUMBER($H1915),$H1915-TODAY(),""))</f>
        <v/>
      </c>
      <c r="J1915" s="4" t="str">
        <f aca="true">IF($D1915="Manual Review","Manual Review",IF($G1915="","No Data",IF(NOT(ISNUMBER($H1915)),"N/A",IF($H1915&lt;TODAY(),"Overdue",IF($H1915&lt;=TODAY()+30,"Due within 1 Month",IF($H1915&lt;=TODAY()+60,"Due within 2 Months","OK"))))))</f>
        <v>No Data</v>
      </c>
      <c r="K1915" s="13"/>
    </row>
    <row r="1916" customFormat="false" ht="15" hidden="false" customHeight="false" outlineLevel="0" collapsed="false">
      <c r="A1916" s="9" t="str">
        <f aca="false">Vessels!B22</f>
        <v>Vessel 18</v>
      </c>
      <c r="B1916" s="9" t="s">
        <v>42</v>
      </c>
      <c r="C1916" s="7" t="s">
        <v>50</v>
      </c>
      <c r="D1916" s="9" t="s">
        <v>45</v>
      </c>
      <c r="E1916" s="9" t="s">
        <v>49</v>
      </c>
      <c r="F1916" s="5" t="n">
        <v>60</v>
      </c>
      <c r="G1916" s="10"/>
      <c r="H1916" s="11" t="str">
        <f aca="false">IFERROR(IF($D1916="Manual Review","",IF($G1916="","",IF($D1916="Direct Expiry",$G1916,EDATE($G1916,$F1916)))),"Check Date")</f>
        <v/>
      </c>
      <c r="I1916" s="12" t="str">
        <f aca="true">IF($H1916="","",IF(ISNUMBER($H1916),$H1916-TODAY(),""))</f>
        <v/>
      </c>
      <c r="J1916" s="4" t="str">
        <f aca="true">IF($D1916="Manual Review","Manual Review",IF($G1916="","No Data",IF(NOT(ISNUMBER($H1916)),"N/A",IF($H1916&lt;TODAY(),"Overdue",IF($H1916&lt;=TODAY()+30,"Due within 1 Month",IF($H1916&lt;=TODAY()+60,"Due within 2 Months","OK"))))))</f>
        <v>No Data</v>
      </c>
      <c r="K1916" s="13"/>
    </row>
    <row r="1917" customFormat="false" ht="15" hidden="false" customHeight="false" outlineLevel="0" collapsed="false">
      <c r="A1917" s="9" t="str">
        <f aca="false">Vessels!B22</f>
        <v>Vessel 18</v>
      </c>
      <c r="B1917" s="9" t="s">
        <v>42</v>
      </c>
      <c r="C1917" s="7" t="s">
        <v>51</v>
      </c>
      <c r="D1917" s="9" t="s">
        <v>45</v>
      </c>
      <c r="E1917" s="9" t="s">
        <v>46</v>
      </c>
      <c r="F1917" s="5" t="n">
        <v>60</v>
      </c>
      <c r="G1917" s="10"/>
      <c r="H1917" s="11" t="str">
        <f aca="false">IFERROR(IF($D1917="Manual Review","",IF($G1917="","",IF($D1917="Direct Expiry",$G1917,EDATE($G1917,$F1917)))),"Check Date")</f>
        <v/>
      </c>
      <c r="I1917" s="12" t="str">
        <f aca="true">IF($H1917="","",IF(ISNUMBER($H1917),$H1917-TODAY(),""))</f>
        <v/>
      </c>
      <c r="J1917" s="4" t="str">
        <f aca="true">IF($D1917="Manual Review","Manual Review",IF($G1917="","No Data",IF(NOT(ISNUMBER($H1917)),"N/A",IF($H1917&lt;TODAY(),"Overdue",IF($H1917&lt;=TODAY()+30,"Due within 1 Month",IF($H1917&lt;=TODAY()+60,"Due within 2 Months","OK"))))))</f>
        <v>No Data</v>
      </c>
      <c r="K1917" s="13"/>
    </row>
    <row r="1918" customFormat="false" ht="15" hidden="false" customHeight="false" outlineLevel="0" collapsed="false">
      <c r="A1918" s="9" t="str">
        <f aca="false">Vessels!B22</f>
        <v>Vessel 18</v>
      </c>
      <c r="B1918" s="9" t="s">
        <v>42</v>
      </c>
      <c r="C1918" s="7" t="s">
        <v>52</v>
      </c>
      <c r="D1918" s="9" t="s">
        <v>45</v>
      </c>
      <c r="E1918" s="9" t="s">
        <v>46</v>
      </c>
      <c r="F1918" s="5" t="n">
        <v>60</v>
      </c>
      <c r="G1918" s="10"/>
      <c r="H1918" s="11" t="str">
        <f aca="false">IFERROR(IF($D1918="Manual Review","",IF($G1918="","",IF($D1918="Direct Expiry",$G1918,EDATE($G1918,$F1918)))),"Check Date")</f>
        <v/>
      </c>
      <c r="I1918" s="12" t="str">
        <f aca="true">IF($H1918="","",IF(ISNUMBER($H1918),$H1918-TODAY(),""))</f>
        <v/>
      </c>
      <c r="J1918" s="4" t="str">
        <f aca="true">IF($D1918="Manual Review","Manual Review",IF($G1918="","No Data",IF(NOT(ISNUMBER($H1918)),"N/A",IF($H1918&lt;TODAY(),"Overdue",IF($H1918&lt;=TODAY()+30,"Due within 1 Month",IF($H1918&lt;=TODAY()+60,"Due within 2 Months","OK"))))))</f>
        <v>No Data</v>
      </c>
      <c r="K1918" s="13"/>
    </row>
    <row r="1919" customFormat="false" ht="15" hidden="false" customHeight="false" outlineLevel="0" collapsed="false">
      <c r="A1919" s="9" t="str">
        <f aca="false">Vessels!B22</f>
        <v>Vessel 18</v>
      </c>
      <c r="B1919" s="9" t="s">
        <v>42</v>
      </c>
      <c r="C1919" s="7" t="s">
        <v>53</v>
      </c>
      <c r="D1919" s="9" t="s">
        <v>45</v>
      </c>
      <c r="E1919" s="9" t="s">
        <v>46</v>
      </c>
      <c r="F1919" s="5" t="n">
        <v>60</v>
      </c>
      <c r="G1919" s="10"/>
      <c r="H1919" s="11" t="str">
        <f aca="false">IFERROR(IF($D1919="Manual Review","",IF($G1919="","",IF($D1919="Direct Expiry",$G1919,EDATE($G1919,$F1919)))),"Check Date")</f>
        <v/>
      </c>
      <c r="I1919" s="12" t="str">
        <f aca="true">IF($H1919="","",IF(ISNUMBER($H1919),$H1919-TODAY(),""))</f>
        <v/>
      </c>
      <c r="J1919" s="4" t="str">
        <f aca="true">IF($D1919="Manual Review","Manual Review",IF($G1919="","No Data",IF(NOT(ISNUMBER($H1919)),"N/A",IF($H1919&lt;TODAY(),"Overdue",IF($H1919&lt;=TODAY()+30,"Due within 1 Month",IF($H1919&lt;=TODAY()+60,"Due within 2 Months","OK"))))))</f>
        <v>No Data</v>
      </c>
      <c r="K1919" s="13"/>
    </row>
    <row r="1920" customFormat="false" ht="15" hidden="false" customHeight="false" outlineLevel="0" collapsed="false">
      <c r="A1920" s="9" t="str">
        <f aca="false">Vessels!B22</f>
        <v>Vessel 18</v>
      </c>
      <c r="B1920" s="9" t="s">
        <v>42</v>
      </c>
      <c r="C1920" s="7" t="s">
        <v>54</v>
      </c>
      <c r="D1920" s="9" t="s">
        <v>45</v>
      </c>
      <c r="E1920" s="9" t="s">
        <v>46</v>
      </c>
      <c r="F1920" s="5" t="n">
        <v>60</v>
      </c>
      <c r="G1920" s="10"/>
      <c r="H1920" s="11" t="str">
        <f aca="false">IFERROR(IF($D1920="Manual Review","",IF($G1920="","",IF($D1920="Direct Expiry",$G1920,EDATE($G1920,$F1920)))),"Check Date")</f>
        <v/>
      </c>
      <c r="I1920" s="12" t="str">
        <f aca="true">IF($H1920="","",IF(ISNUMBER($H1920),$H1920-TODAY(),""))</f>
        <v/>
      </c>
      <c r="J1920" s="4" t="str">
        <f aca="true">IF($D1920="Manual Review","Manual Review",IF($G1920="","No Data",IF(NOT(ISNUMBER($H1920)),"N/A",IF($H1920&lt;TODAY(),"Overdue",IF($H1920&lt;=TODAY()+30,"Due within 1 Month",IF($H1920&lt;=TODAY()+60,"Due within 2 Months","OK"))))))</f>
        <v>No Data</v>
      </c>
      <c r="K1920" s="13"/>
    </row>
    <row r="1921" customFormat="false" ht="15" hidden="false" customHeight="false" outlineLevel="0" collapsed="false">
      <c r="A1921" s="9" t="str">
        <f aca="false">Vessels!B22</f>
        <v>Vessel 18</v>
      </c>
      <c r="B1921" s="9" t="s">
        <v>42</v>
      </c>
      <c r="C1921" s="7" t="s">
        <v>55</v>
      </c>
      <c r="D1921" s="9" t="s">
        <v>45</v>
      </c>
      <c r="E1921" s="9" t="s">
        <v>46</v>
      </c>
      <c r="F1921" s="5" t="n">
        <v>60</v>
      </c>
      <c r="G1921" s="10"/>
      <c r="H1921" s="11" t="str">
        <f aca="false">IFERROR(IF($D1921="Manual Review","",IF($G1921="","",IF($D1921="Direct Expiry",$G1921,EDATE($G1921,$F1921)))),"Check Date")</f>
        <v/>
      </c>
      <c r="I1921" s="12" t="str">
        <f aca="true">IF($H1921="","",IF(ISNUMBER($H1921),$H1921-TODAY(),""))</f>
        <v/>
      </c>
      <c r="J1921" s="4" t="str">
        <f aca="true">IF($D1921="Manual Review","Manual Review",IF($G1921="","No Data",IF(NOT(ISNUMBER($H1921)),"N/A",IF($H1921&lt;TODAY(),"Overdue",IF($H1921&lt;=TODAY()+30,"Due within 1 Month",IF($H1921&lt;=TODAY()+60,"Due within 2 Months","OK"))))))</f>
        <v>No Data</v>
      </c>
      <c r="K1921" s="13"/>
    </row>
    <row r="1922" customFormat="false" ht="15" hidden="false" customHeight="false" outlineLevel="0" collapsed="false">
      <c r="A1922" s="9" t="str">
        <f aca="false">Vessels!B22</f>
        <v>Vessel 18</v>
      </c>
      <c r="B1922" s="9" t="s">
        <v>42</v>
      </c>
      <c r="C1922" s="7" t="s">
        <v>56</v>
      </c>
      <c r="D1922" s="9" t="s">
        <v>45</v>
      </c>
      <c r="E1922" s="9" t="s">
        <v>46</v>
      </c>
      <c r="F1922" s="5" t="n">
        <v>60</v>
      </c>
      <c r="G1922" s="10"/>
      <c r="H1922" s="11" t="str">
        <f aca="false">IFERROR(IF($D1922="Manual Review","",IF($G1922="","",IF($D1922="Direct Expiry",$G1922,EDATE($G1922,$F1922)))),"Check Date")</f>
        <v/>
      </c>
      <c r="I1922" s="12" t="str">
        <f aca="true">IF($H1922="","",IF(ISNUMBER($H1922),$H1922-TODAY(),""))</f>
        <v/>
      </c>
      <c r="J1922" s="4" t="str">
        <f aca="true">IF($D1922="Manual Review","Manual Review",IF($G1922="","No Data",IF(NOT(ISNUMBER($H1922)),"N/A",IF($H1922&lt;TODAY(),"Overdue",IF($H1922&lt;=TODAY()+30,"Due within 1 Month",IF($H1922&lt;=TODAY()+60,"Due within 2 Months","OK"))))))</f>
        <v>No Data</v>
      </c>
      <c r="K1922" s="13"/>
    </row>
    <row r="1923" customFormat="false" ht="15" hidden="false" customHeight="false" outlineLevel="0" collapsed="false">
      <c r="A1923" s="9" t="str">
        <f aca="false">Vessels!B22</f>
        <v>Vessel 18</v>
      </c>
      <c r="B1923" s="9" t="s">
        <v>42</v>
      </c>
      <c r="C1923" s="7" t="s">
        <v>57</v>
      </c>
      <c r="D1923" s="9" t="s">
        <v>59</v>
      </c>
      <c r="E1923" s="9" t="s">
        <v>58</v>
      </c>
      <c r="F1923" s="5"/>
      <c r="G1923" s="10"/>
      <c r="H1923" s="11" t="str">
        <f aca="false">IFERROR(IF($D1923="Manual Review","",IF($G1923="","",IF($D1923="Direct Expiry",$G1923,EDATE($G1923,$F1923)))),"Check Date")</f>
        <v/>
      </c>
      <c r="I1923" s="12" t="str">
        <f aca="true">IF($H1923="","",IF(ISNUMBER($H1923),$H1923-TODAY(),""))</f>
        <v/>
      </c>
      <c r="J1923" s="4" t="str">
        <f aca="true">IF($D1923="Manual Review","Manual Review",IF($G1923="","No Data",IF(NOT(ISNUMBER($H1923)),"N/A",IF($H1923&lt;TODAY(),"Overdue",IF($H1923&lt;=TODAY()+30,"Due within 1 Month",IF($H1923&lt;=TODAY()+60,"Due within 2 Months","OK"))))))</f>
        <v>No Data</v>
      </c>
      <c r="K1923" s="13"/>
    </row>
    <row r="1924" customFormat="false" ht="15" hidden="false" customHeight="false" outlineLevel="0" collapsed="false">
      <c r="A1924" s="9" t="str">
        <f aca="false">Vessels!B22</f>
        <v>Vessel 18</v>
      </c>
      <c r="B1924" s="9" t="s">
        <v>42</v>
      </c>
      <c r="C1924" s="7" t="s">
        <v>60</v>
      </c>
      <c r="D1924" s="9" t="s">
        <v>45</v>
      </c>
      <c r="E1924" s="9" t="s">
        <v>44</v>
      </c>
      <c r="F1924" s="5" t="n">
        <v>12</v>
      </c>
      <c r="G1924" s="10"/>
      <c r="H1924" s="11" t="str">
        <f aca="false">IFERROR(IF($D1924="Manual Review","",IF($G1924="","",IF($D1924="Direct Expiry",$G1924,EDATE($G1924,$F1924)))),"Check Date")</f>
        <v/>
      </c>
      <c r="I1924" s="12" t="str">
        <f aca="true">IF($H1924="","",IF(ISNUMBER($H1924),$H1924-TODAY(),""))</f>
        <v/>
      </c>
      <c r="J1924" s="4" t="str">
        <f aca="true">IF($D1924="Manual Review","Manual Review",IF($G1924="","No Data",IF(NOT(ISNUMBER($H1924)),"N/A",IF($H1924&lt;TODAY(),"Overdue",IF($H1924&lt;=TODAY()+30,"Due within 1 Month",IF($H1924&lt;=TODAY()+60,"Due within 2 Months","OK"))))))</f>
        <v>No Data</v>
      </c>
      <c r="K1924" s="13"/>
    </row>
    <row r="1925" customFormat="false" ht="15" hidden="false" customHeight="false" outlineLevel="0" collapsed="false">
      <c r="A1925" s="9" t="str">
        <f aca="false">Vessels!B22</f>
        <v>Vessel 18</v>
      </c>
      <c r="B1925" s="9" t="s">
        <v>42</v>
      </c>
      <c r="C1925" s="7" t="s">
        <v>60</v>
      </c>
      <c r="D1925" s="9" t="s">
        <v>45</v>
      </c>
      <c r="E1925" s="9" t="s">
        <v>46</v>
      </c>
      <c r="F1925" s="5" t="n">
        <v>60</v>
      </c>
      <c r="G1925" s="10"/>
      <c r="H1925" s="11" t="str">
        <f aca="false">IFERROR(IF($D1925="Manual Review","",IF($G1925="","",IF($D1925="Direct Expiry",$G1925,EDATE($G1925,$F1925)))),"Check Date")</f>
        <v/>
      </c>
      <c r="I1925" s="12" t="str">
        <f aca="true">IF($H1925="","",IF(ISNUMBER($H1925),$H1925-TODAY(),""))</f>
        <v/>
      </c>
      <c r="J1925" s="4" t="str">
        <f aca="true">IF($D1925="Manual Review","Manual Review",IF($G1925="","No Data",IF(NOT(ISNUMBER($H1925)),"N/A",IF($H1925&lt;TODAY(),"Overdue",IF($H1925&lt;=TODAY()+30,"Due within 1 Month",IF($H1925&lt;=TODAY()+60,"Due within 2 Months","OK"))))))</f>
        <v>No Data</v>
      </c>
      <c r="K1925" s="13"/>
    </row>
    <row r="1926" customFormat="false" ht="15" hidden="false" customHeight="false" outlineLevel="0" collapsed="false">
      <c r="A1926" s="9" t="str">
        <f aca="false">Vessels!B22</f>
        <v>Vessel 18</v>
      </c>
      <c r="B1926" s="9" t="s">
        <v>42</v>
      </c>
      <c r="C1926" s="7" t="s">
        <v>61</v>
      </c>
      <c r="D1926" s="9" t="s">
        <v>45</v>
      </c>
      <c r="E1926" s="9" t="s">
        <v>44</v>
      </c>
      <c r="F1926" s="5" t="n">
        <v>12</v>
      </c>
      <c r="G1926" s="10"/>
      <c r="H1926" s="11" t="str">
        <f aca="false">IFERROR(IF($D1926="Manual Review","",IF($G1926="","",IF($D1926="Direct Expiry",$G1926,EDATE($G1926,$F1926)))),"Check Date")</f>
        <v/>
      </c>
      <c r="I1926" s="12" t="str">
        <f aca="true">IF($H1926="","",IF(ISNUMBER($H1926),$H1926-TODAY(),""))</f>
        <v/>
      </c>
      <c r="J1926" s="4" t="str">
        <f aca="true">IF($D1926="Manual Review","Manual Review",IF($G1926="","No Data",IF(NOT(ISNUMBER($H1926)),"N/A",IF($H1926&lt;TODAY(),"Overdue",IF($H1926&lt;=TODAY()+30,"Due within 1 Month",IF($H1926&lt;=TODAY()+60,"Due within 2 Months","OK"))))))</f>
        <v>No Data</v>
      </c>
      <c r="K1926" s="13"/>
    </row>
    <row r="1927" customFormat="false" ht="15" hidden="false" customHeight="false" outlineLevel="0" collapsed="false">
      <c r="A1927" s="9" t="str">
        <f aca="false">Vessels!B22</f>
        <v>Vessel 18</v>
      </c>
      <c r="B1927" s="9" t="s">
        <v>42</v>
      </c>
      <c r="C1927" s="7" t="s">
        <v>61</v>
      </c>
      <c r="D1927" s="9" t="s">
        <v>45</v>
      </c>
      <c r="E1927" s="9" t="s">
        <v>46</v>
      </c>
      <c r="F1927" s="5" t="n">
        <v>60</v>
      </c>
      <c r="G1927" s="10"/>
      <c r="H1927" s="11" t="str">
        <f aca="false">IFERROR(IF($D1927="Manual Review","",IF($G1927="","",IF($D1927="Direct Expiry",$G1927,EDATE($G1927,$F1927)))),"Check Date")</f>
        <v/>
      </c>
      <c r="I1927" s="12" t="str">
        <f aca="true">IF($H1927="","",IF(ISNUMBER($H1927),$H1927-TODAY(),""))</f>
        <v/>
      </c>
      <c r="J1927" s="4" t="str">
        <f aca="true">IF($D1927="Manual Review","Manual Review",IF($G1927="","No Data",IF(NOT(ISNUMBER($H1927)),"N/A",IF($H1927&lt;TODAY(),"Overdue",IF($H1927&lt;=TODAY()+30,"Due within 1 Month",IF($H1927&lt;=TODAY()+60,"Due within 2 Months","OK"))))))</f>
        <v>No Data</v>
      </c>
      <c r="K1927" s="13"/>
    </row>
    <row r="1928" customFormat="false" ht="15" hidden="false" customHeight="false" outlineLevel="0" collapsed="false">
      <c r="A1928" s="9" t="str">
        <f aca="false">Vessels!B22</f>
        <v>Vessel 18</v>
      </c>
      <c r="B1928" s="9" t="s">
        <v>42</v>
      </c>
      <c r="C1928" s="7" t="s">
        <v>62</v>
      </c>
      <c r="D1928" s="9" t="s">
        <v>45</v>
      </c>
      <c r="E1928" s="9" t="s">
        <v>44</v>
      </c>
      <c r="F1928" s="5" t="n">
        <v>12</v>
      </c>
      <c r="G1928" s="10"/>
      <c r="H1928" s="11" t="str">
        <f aca="false">IFERROR(IF($D1928="Manual Review","",IF($G1928="","",IF($D1928="Direct Expiry",$G1928,EDATE($G1928,$F1928)))),"Check Date")</f>
        <v/>
      </c>
      <c r="I1928" s="12" t="str">
        <f aca="true">IF($H1928="","",IF(ISNUMBER($H1928),$H1928-TODAY(),""))</f>
        <v/>
      </c>
      <c r="J1928" s="4" t="str">
        <f aca="true">IF($D1928="Manual Review","Manual Review",IF($G1928="","No Data",IF(NOT(ISNUMBER($H1928)),"N/A",IF($H1928&lt;TODAY(),"Overdue",IF($H1928&lt;=TODAY()+30,"Due within 1 Month",IF($H1928&lt;=TODAY()+60,"Due within 2 Months","OK"))))))</f>
        <v>No Data</v>
      </c>
      <c r="K1928" s="13"/>
    </row>
    <row r="1929" customFormat="false" ht="15" hidden="false" customHeight="false" outlineLevel="0" collapsed="false">
      <c r="A1929" s="9" t="str">
        <f aca="false">Vessels!B22</f>
        <v>Vessel 18</v>
      </c>
      <c r="B1929" s="9" t="s">
        <v>42</v>
      </c>
      <c r="C1929" s="7" t="s">
        <v>62</v>
      </c>
      <c r="D1929" s="9" t="s">
        <v>45</v>
      </c>
      <c r="E1929" s="9" t="s">
        <v>49</v>
      </c>
      <c r="F1929" s="5" t="n">
        <v>60</v>
      </c>
      <c r="G1929" s="10"/>
      <c r="H1929" s="11" t="str">
        <f aca="false">IFERROR(IF($D1929="Manual Review","",IF($G1929="","",IF($D1929="Direct Expiry",$G1929,EDATE($G1929,$F1929)))),"Check Date")</f>
        <v/>
      </c>
      <c r="I1929" s="12" t="str">
        <f aca="true">IF($H1929="","",IF(ISNUMBER($H1929),$H1929-TODAY(),""))</f>
        <v/>
      </c>
      <c r="J1929" s="4" t="str">
        <f aca="true">IF($D1929="Manual Review","Manual Review",IF($G1929="","No Data",IF(NOT(ISNUMBER($H1929)),"N/A",IF($H1929&lt;TODAY(),"Overdue",IF($H1929&lt;=TODAY()+30,"Due within 1 Month",IF($H1929&lt;=TODAY()+60,"Due within 2 Months","OK"))))))</f>
        <v>No Data</v>
      </c>
      <c r="K1929" s="13"/>
    </row>
    <row r="1930" customFormat="false" ht="15" hidden="false" customHeight="false" outlineLevel="0" collapsed="false">
      <c r="A1930" s="9" t="str">
        <f aca="false">Vessels!B22</f>
        <v>Vessel 18</v>
      </c>
      <c r="B1930" s="9" t="s">
        <v>42</v>
      </c>
      <c r="C1930" s="7" t="s">
        <v>63</v>
      </c>
      <c r="D1930" s="9" t="s">
        <v>45</v>
      </c>
      <c r="E1930" s="9" t="s">
        <v>44</v>
      </c>
      <c r="F1930" s="5" t="n">
        <v>12</v>
      </c>
      <c r="G1930" s="10"/>
      <c r="H1930" s="11" t="str">
        <f aca="false">IFERROR(IF($D1930="Manual Review","",IF($G1930="","",IF($D1930="Direct Expiry",$G1930,EDATE($G1930,$F1930)))),"Check Date")</f>
        <v/>
      </c>
      <c r="I1930" s="12" t="str">
        <f aca="true">IF($H1930="","",IF(ISNUMBER($H1930),$H1930-TODAY(),""))</f>
        <v/>
      </c>
      <c r="J1930" s="4" t="str">
        <f aca="true">IF($D1930="Manual Review","Manual Review",IF($G1930="","No Data",IF(NOT(ISNUMBER($H1930)),"N/A",IF($H1930&lt;TODAY(),"Overdue",IF($H1930&lt;=TODAY()+30,"Due within 1 Month",IF($H1930&lt;=TODAY()+60,"Due within 2 Months","OK"))))))</f>
        <v>No Data</v>
      </c>
      <c r="K1930" s="13"/>
    </row>
    <row r="1931" customFormat="false" ht="15" hidden="false" customHeight="false" outlineLevel="0" collapsed="false">
      <c r="A1931" s="9" t="str">
        <f aca="false">Vessels!B22</f>
        <v>Vessel 18</v>
      </c>
      <c r="B1931" s="9" t="s">
        <v>42</v>
      </c>
      <c r="C1931" s="7" t="s">
        <v>63</v>
      </c>
      <c r="D1931" s="9" t="s">
        <v>45</v>
      </c>
      <c r="E1931" s="9" t="s">
        <v>49</v>
      </c>
      <c r="F1931" s="5" t="n">
        <v>60</v>
      </c>
      <c r="G1931" s="10"/>
      <c r="H1931" s="11" t="str">
        <f aca="false">IFERROR(IF($D1931="Manual Review","",IF($G1931="","",IF($D1931="Direct Expiry",$G1931,EDATE($G1931,$F1931)))),"Check Date")</f>
        <v/>
      </c>
      <c r="I1931" s="12" t="str">
        <f aca="true">IF($H1931="","",IF(ISNUMBER($H1931),$H1931-TODAY(),""))</f>
        <v/>
      </c>
      <c r="J1931" s="4" t="str">
        <f aca="true">IF($D1931="Manual Review","Manual Review",IF($G1931="","No Data",IF(NOT(ISNUMBER($H1931)),"N/A",IF($H1931&lt;TODAY(),"Overdue",IF($H1931&lt;=TODAY()+30,"Due within 1 Month",IF($H1931&lt;=TODAY()+60,"Due within 2 Months","OK"))))))</f>
        <v>No Data</v>
      </c>
      <c r="K1931" s="13"/>
    </row>
    <row r="1932" customFormat="false" ht="15" hidden="false" customHeight="false" outlineLevel="0" collapsed="false">
      <c r="A1932" s="9" t="str">
        <f aca="false">Vessels!B22</f>
        <v>Vessel 18</v>
      </c>
      <c r="B1932" s="9" t="s">
        <v>42</v>
      </c>
      <c r="C1932" s="7" t="s">
        <v>64</v>
      </c>
      <c r="D1932" s="9" t="s">
        <v>45</v>
      </c>
      <c r="E1932" s="9" t="s">
        <v>46</v>
      </c>
      <c r="F1932" s="5" t="n">
        <v>60</v>
      </c>
      <c r="G1932" s="10"/>
      <c r="H1932" s="11" t="str">
        <f aca="false">IFERROR(IF($D1932="Manual Review","",IF($G1932="","",IF($D1932="Direct Expiry",$G1932,EDATE($G1932,$F1932)))),"Check Date")</f>
        <v/>
      </c>
      <c r="I1932" s="12" t="str">
        <f aca="true">IF($H1932="","",IF(ISNUMBER($H1932),$H1932-TODAY(),""))</f>
        <v/>
      </c>
      <c r="J1932" s="4" t="str">
        <f aca="true">IF($D1932="Manual Review","Manual Review",IF($G1932="","No Data",IF(NOT(ISNUMBER($H1932)),"N/A",IF($H1932&lt;TODAY(),"Overdue",IF($H1932&lt;=TODAY()+30,"Due within 1 Month",IF($H1932&lt;=TODAY()+60,"Due within 2 Months","OK"))))))</f>
        <v>No Data</v>
      </c>
      <c r="K1932" s="13"/>
    </row>
    <row r="1933" customFormat="false" ht="15" hidden="false" customHeight="false" outlineLevel="0" collapsed="false">
      <c r="A1933" s="9" t="str">
        <f aca="false">Vessels!B22</f>
        <v>Vessel 18</v>
      </c>
      <c r="B1933" s="9" t="s">
        <v>42</v>
      </c>
      <c r="C1933" s="7" t="s">
        <v>65</v>
      </c>
      <c r="D1933" s="9" t="s">
        <v>45</v>
      </c>
      <c r="E1933" s="9" t="s">
        <v>46</v>
      </c>
      <c r="F1933" s="5" t="n">
        <v>60</v>
      </c>
      <c r="G1933" s="10"/>
      <c r="H1933" s="11" t="str">
        <f aca="false">IFERROR(IF($D1933="Manual Review","",IF($G1933="","",IF($D1933="Direct Expiry",$G1933,EDATE($G1933,$F1933)))),"Check Date")</f>
        <v/>
      </c>
      <c r="I1933" s="12" t="str">
        <f aca="true">IF($H1933="","",IF(ISNUMBER($H1933),$H1933-TODAY(),""))</f>
        <v/>
      </c>
      <c r="J1933" s="4" t="str">
        <f aca="true">IF($D1933="Manual Review","Manual Review",IF($G1933="","No Data",IF(NOT(ISNUMBER($H1933)),"N/A",IF($H1933&lt;TODAY(),"Overdue",IF($H1933&lt;=TODAY()+30,"Due within 1 Month",IF($H1933&lt;=TODAY()+60,"Due within 2 Months","OK"))))))</f>
        <v>No Data</v>
      </c>
      <c r="K1933" s="13"/>
    </row>
    <row r="1934" customFormat="false" ht="15" hidden="false" customHeight="false" outlineLevel="0" collapsed="false">
      <c r="A1934" s="9" t="str">
        <f aca="false">Vessels!B22</f>
        <v>Vessel 18</v>
      </c>
      <c r="B1934" s="9" t="s">
        <v>42</v>
      </c>
      <c r="C1934" s="7" t="s">
        <v>66</v>
      </c>
      <c r="D1934" s="9" t="s">
        <v>45</v>
      </c>
      <c r="E1934" s="9" t="s">
        <v>46</v>
      </c>
      <c r="F1934" s="5" t="n">
        <v>60</v>
      </c>
      <c r="G1934" s="10"/>
      <c r="H1934" s="11" t="str">
        <f aca="false">IFERROR(IF($D1934="Manual Review","",IF($G1934="","",IF($D1934="Direct Expiry",$G1934,EDATE($G1934,$F1934)))),"Check Date")</f>
        <v/>
      </c>
      <c r="I1934" s="12" t="str">
        <f aca="true">IF($H1934="","",IF(ISNUMBER($H1934),$H1934-TODAY(),""))</f>
        <v/>
      </c>
      <c r="J1934" s="4" t="str">
        <f aca="true">IF($D1934="Manual Review","Manual Review",IF($G1934="","No Data",IF(NOT(ISNUMBER($H1934)),"N/A",IF($H1934&lt;TODAY(),"Overdue",IF($H1934&lt;=TODAY()+30,"Due within 1 Month",IF($H1934&lt;=TODAY()+60,"Due within 2 Months","OK"))))))</f>
        <v>No Data</v>
      </c>
      <c r="K1934" s="13"/>
    </row>
    <row r="1935" customFormat="false" ht="15" hidden="false" customHeight="false" outlineLevel="0" collapsed="false">
      <c r="A1935" s="9" t="str">
        <f aca="false">Vessels!B22</f>
        <v>Vessel 18</v>
      </c>
      <c r="B1935" s="9" t="s">
        <v>42</v>
      </c>
      <c r="C1935" s="7" t="s">
        <v>67</v>
      </c>
      <c r="D1935" s="9" t="s">
        <v>45</v>
      </c>
      <c r="E1935" s="9" t="s">
        <v>46</v>
      </c>
      <c r="F1935" s="5" t="n">
        <v>60</v>
      </c>
      <c r="G1935" s="10"/>
      <c r="H1935" s="11" t="str">
        <f aca="false">IFERROR(IF($D1935="Manual Review","",IF($G1935="","",IF($D1935="Direct Expiry",$G1935,EDATE($G1935,$F1935)))),"Check Date")</f>
        <v/>
      </c>
      <c r="I1935" s="12" t="str">
        <f aca="true">IF($H1935="","",IF(ISNUMBER($H1935),$H1935-TODAY(),""))</f>
        <v/>
      </c>
      <c r="J1935" s="4" t="str">
        <f aca="true">IF($D1935="Manual Review","Manual Review",IF($G1935="","No Data",IF(NOT(ISNUMBER($H1935)),"N/A",IF($H1935&lt;TODAY(),"Overdue",IF($H1935&lt;=TODAY()+30,"Due within 1 Month",IF($H1935&lt;=TODAY()+60,"Due within 2 Months","OK"))))))</f>
        <v>No Data</v>
      </c>
      <c r="K1935" s="13"/>
    </row>
    <row r="1936" customFormat="false" ht="15" hidden="false" customHeight="false" outlineLevel="0" collapsed="false">
      <c r="A1936" s="9" t="str">
        <f aca="false">Vessels!B22</f>
        <v>Vessel 18</v>
      </c>
      <c r="B1936" s="9" t="s">
        <v>42</v>
      </c>
      <c r="C1936" s="7" t="s">
        <v>68</v>
      </c>
      <c r="D1936" s="9" t="s">
        <v>45</v>
      </c>
      <c r="E1936" s="9" t="s">
        <v>46</v>
      </c>
      <c r="F1936" s="5" t="n">
        <v>60</v>
      </c>
      <c r="G1936" s="10"/>
      <c r="H1936" s="11" t="str">
        <f aca="false">IFERROR(IF($D1936="Manual Review","",IF($G1936="","",IF($D1936="Direct Expiry",$G1936,EDATE($G1936,$F1936)))),"Check Date")</f>
        <v/>
      </c>
      <c r="I1936" s="12" t="str">
        <f aca="true">IF($H1936="","",IF(ISNUMBER($H1936),$H1936-TODAY(),""))</f>
        <v/>
      </c>
      <c r="J1936" s="4" t="str">
        <f aca="true">IF($D1936="Manual Review","Manual Review",IF($G1936="","No Data",IF(NOT(ISNUMBER($H1936)),"N/A",IF($H1936&lt;TODAY(),"Overdue",IF($H1936&lt;=TODAY()+30,"Due within 1 Month",IF($H1936&lt;=TODAY()+60,"Due within 2 Months","OK"))))))</f>
        <v>No Data</v>
      </c>
      <c r="K1936" s="13"/>
    </row>
    <row r="1937" customFormat="false" ht="15" hidden="false" customHeight="false" outlineLevel="0" collapsed="false">
      <c r="A1937" s="9" t="str">
        <f aca="false">Vessels!B22</f>
        <v>Vessel 18</v>
      </c>
      <c r="B1937" s="9" t="s">
        <v>42</v>
      </c>
      <c r="C1937" s="7" t="s">
        <v>69</v>
      </c>
      <c r="D1937" s="9" t="s">
        <v>45</v>
      </c>
      <c r="E1937" s="9" t="s">
        <v>46</v>
      </c>
      <c r="F1937" s="5" t="n">
        <v>60</v>
      </c>
      <c r="G1937" s="10"/>
      <c r="H1937" s="11" t="str">
        <f aca="false">IFERROR(IF($D1937="Manual Review","",IF($G1937="","",IF($D1937="Direct Expiry",$G1937,EDATE($G1937,$F1937)))),"Check Date")</f>
        <v/>
      </c>
      <c r="I1937" s="12" t="str">
        <f aca="true">IF($H1937="","",IF(ISNUMBER($H1937),$H1937-TODAY(),""))</f>
        <v/>
      </c>
      <c r="J1937" s="4" t="str">
        <f aca="true">IF($D1937="Manual Review","Manual Review",IF($G1937="","No Data",IF(NOT(ISNUMBER($H1937)),"N/A",IF($H1937&lt;TODAY(),"Overdue",IF($H1937&lt;=TODAY()+30,"Due within 1 Month",IF($H1937&lt;=TODAY()+60,"Due within 2 Months","OK"))))))</f>
        <v>No Data</v>
      </c>
      <c r="K1937" s="13"/>
    </row>
    <row r="1938" customFormat="false" ht="15" hidden="false" customHeight="false" outlineLevel="0" collapsed="false">
      <c r="A1938" s="9" t="str">
        <f aca="false">Vessels!B22</f>
        <v>Vessel 18</v>
      </c>
      <c r="B1938" s="9" t="s">
        <v>42</v>
      </c>
      <c r="C1938" s="7" t="s">
        <v>70</v>
      </c>
      <c r="D1938" s="9" t="s">
        <v>59</v>
      </c>
      <c r="E1938" s="9" t="s">
        <v>58</v>
      </c>
      <c r="F1938" s="5"/>
      <c r="G1938" s="10"/>
      <c r="H1938" s="11" t="str">
        <f aca="false">IFERROR(IF($D1938="Manual Review","",IF($G1938="","",IF($D1938="Direct Expiry",$G1938,EDATE($G1938,$F1938)))),"Check Date")</f>
        <v/>
      </c>
      <c r="I1938" s="12" t="str">
        <f aca="true">IF($H1938="","",IF(ISNUMBER($H1938),$H1938-TODAY(),""))</f>
        <v/>
      </c>
      <c r="J1938" s="4" t="str">
        <f aca="true">IF($D1938="Manual Review","Manual Review",IF($G1938="","No Data",IF(NOT(ISNUMBER($H1938)),"N/A",IF($H1938&lt;TODAY(),"Overdue",IF($H1938&lt;=TODAY()+30,"Due within 1 Month",IF($H1938&lt;=TODAY()+60,"Due within 2 Months","OK"))))))</f>
        <v>No Data</v>
      </c>
      <c r="K1938" s="13"/>
    </row>
    <row r="1939" customFormat="false" ht="15" hidden="false" customHeight="false" outlineLevel="0" collapsed="false">
      <c r="A1939" s="9" t="str">
        <f aca="false">Vessels!B22</f>
        <v>Vessel 18</v>
      </c>
      <c r="B1939" s="9" t="s">
        <v>42</v>
      </c>
      <c r="C1939" s="7" t="s">
        <v>71</v>
      </c>
      <c r="D1939" s="9" t="s">
        <v>45</v>
      </c>
      <c r="E1939" s="9" t="s">
        <v>44</v>
      </c>
      <c r="F1939" s="5" t="n">
        <v>12</v>
      </c>
      <c r="G1939" s="10"/>
      <c r="H1939" s="11" t="str">
        <f aca="false">IFERROR(IF($D1939="Manual Review","",IF($G1939="","",IF($D1939="Direct Expiry",$G1939,EDATE($G1939,$F1939)))),"Check Date")</f>
        <v/>
      </c>
      <c r="I1939" s="12" t="str">
        <f aca="true">IF($H1939="","",IF(ISNUMBER($H1939),$H1939-TODAY(),""))</f>
        <v/>
      </c>
      <c r="J1939" s="4" t="str">
        <f aca="true">IF($D1939="Manual Review","Manual Review",IF($G1939="","No Data",IF(NOT(ISNUMBER($H1939)),"N/A",IF($H1939&lt;TODAY(),"Overdue",IF($H1939&lt;=TODAY()+30,"Due within 1 Month",IF($H1939&lt;=TODAY()+60,"Due within 2 Months","OK"))))))</f>
        <v>No Data</v>
      </c>
      <c r="K1939" s="13"/>
    </row>
    <row r="1940" customFormat="false" ht="15" hidden="false" customHeight="false" outlineLevel="0" collapsed="false">
      <c r="A1940" s="9" t="str">
        <f aca="false">Vessels!B22</f>
        <v>Vessel 18</v>
      </c>
      <c r="B1940" s="9" t="s">
        <v>42</v>
      </c>
      <c r="C1940" s="7" t="s">
        <v>72</v>
      </c>
      <c r="D1940" s="9" t="s">
        <v>59</v>
      </c>
      <c r="E1940" s="9" t="s">
        <v>58</v>
      </c>
      <c r="F1940" s="5"/>
      <c r="G1940" s="10"/>
      <c r="H1940" s="11" t="str">
        <f aca="false">IFERROR(IF($D1940="Manual Review","",IF($G1940="","",IF($D1940="Direct Expiry",$G1940,EDATE($G1940,$F1940)))),"Check Date")</f>
        <v/>
      </c>
      <c r="I1940" s="12" t="str">
        <f aca="true">IF($H1940="","",IF(ISNUMBER($H1940),$H1940-TODAY(),""))</f>
        <v/>
      </c>
      <c r="J1940" s="4" t="str">
        <f aca="true">IF($D1940="Manual Review","Manual Review",IF($G1940="","No Data",IF(NOT(ISNUMBER($H1940)),"N/A",IF($H1940&lt;TODAY(),"Overdue",IF($H1940&lt;=TODAY()+30,"Due within 1 Month",IF($H1940&lt;=TODAY()+60,"Due within 2 Months","OK"))))))</f>
        <v>No Data</v>
      </c>
      <c r="K1940" s="13"/>
    </row>
    <row r="1941" customFormat="false" ht="15" hidden="false" customHeight="false" outlineLevel="0" collapsed="false">
      <c r="A1941" s="9" t="str">
        <f aca="false">Vessels!B22</f>
        <v>Vessel 18</v>
      </c>
      <c r="B1941" s="9" t="s">
        <v>42</v>
      </c>
      <c r="C1941" s="7" t="s">
        <v>73</v>
      </c>
      <c r="D1941" s="9" t="s">
        <v>45</v>
      </c>
      <c r="E1941" s="9" t="s">
        <v>44</v>
      </c>
      <c r="F1941" s="5" t="n">
        <v>12</v>
      </c>
      <c r="G1941" s="10"/>
      <c r="H1941" s="11" t="str">
        <f aca="false">IFERROR(IF($D1941="Manual Review","",IF($G1941="","",IF($D1941="Direct Expiry",$G1941,EDATE($G1941,$F1941)))),"Check Date")</f>
        <v/>
      </c>
      <c r="I1941" s="12" t="str">
        <f aca="true">IF($H1941="","",IF(ISNUMBER($H1941),$H1941-TODAY(),""))</f>
        <v/>
      </c>
      <c r="J1941" s="4" t="str">
        <f aca="true">IF($D1941="Manual Review","Manual Review",IF($G1941="","No Data",IF(NOT(ISNUMBER($H1941)),"N/A",IF($H1941&lt;TODAY(),"Overdue",IF($H1941&lt;=TODAY()+30,"Due within 1 Month",IF($H1941&lt;=TODAY()+60,"Due within 2 Months","OK"))))))</f>
        <v>No Data</v>
      </c>
      <c r="K1941" s="13"/>
    </row>
    <row r="1942" customFormat="false" ht="15" hidden="false" customHeight="false" outlineLevel="0" collapsed="false">
      <c r="A1942" s="9" t="str">
        <f aca="false">Vessels!B22</f>
        <v>Vessel 18</v>
      </c>
      <c r="B1942" s="9" t="s">
        <v>42</v>
      </c>
      <c r="C1942" s="7" t="s">
        <v>74</v>
      </c>
      <c r="D1942" s="9" t="s">
        <v>59</v>
      </c>
      <c r="E1942" s="9" t="s">
        <v>58</v>
      </c>
      <c r="F1942" s="5"/>
      <c r="G1942" s="10"/>
      <c r="H1942" s="11" t="str">
        <f aca="false">IFERROR(IF($D1942="Manual Review","",IF($G1942="","",IF($D1942="Direct Expiry",$G1942,EDATE($G1942,$F1942)))),"Check Date")</f>
        <v/>
      </c>
      <c r="I1942" s="12" t="str">
        <f aca="true">IF($H1942="","",IF(ISNUMBER($H1942),$H1942-TODAY(),""))</f>
        <v/>
      </c>
      <c r="J1942" s="4" t="str">
        <f aca="true">IF($D1942="Manual Review","Manual Review",IF($G1942="","No Data",IF(NOT(ISNUMBER($H1942)),"N/A",IF($H1942&lt;TODAY(),"Overdue",IF($H1942&lt;=TODAY()+30,"Due within 1 Month",IF($H1942&lt;=TODAY()+60,"Due within 2 Months","OK"))))))</f>
        <v>No Data</v>
      </c>
      <c r="K1942" s="13"/>
    </row>
    <row r="1943" customFormat="false" ht="15" hidden="false" customHeight="false" outlineLevel="0" collapsed="false">
      <c r="A1943" s="9" t="str">
        <f aca="false">Vessels!B22</f>
        <v>Vessel 18</v>
      </c>
      <c r="B1943" s="9" t="s">
        <v>42</v>
      </c>
      <c r="C1943" s="7" t="s">
        <v>75</v>
      </c>
      <c r="D1943" s="9" t="s">
        <v>45</v>
      </c>
      <c r="E1943" s="9" t="s">
        <v>44</v>
      </c>
      <c r="F1943" s="5" t="n">
        <v>12</v>
      </c>
      <c r="G1943" s="10"/>
      <c r="H1943" s="11" t="str">
        <f aca="false">IFERROR(IF($D1943="Manual Review","",IF($G1943="","",IF($D1943="Direct Expiry",$G1943,EDATE($G1943,$F1943)))),"Check Date")</f>
        <v/>
      </c>
      <c r="I1943" s="12" t="str">
        <f aca="true">IF($H1943="","",IF(ISNUMBER($H1943),$H1943-TODAY(),""))</f>
        <v/>
      </c>
      <c r="J1943" s="4" t="str">
        <f aca="true">IF($D1943="Manual Review","Manual Review",IF($G1943="","No Data",IF(NOT(ISNUMBER($H1943)),"N/A",IF($H1943&lt;TODAY(),"Overdue",IF($H1943&lt;=TODAY()+30,"Due within 1 Month",IF($H1943&lt;=TODAY()+60,"Due within 2 Months","OK"))))))</f>
        <v>No Data</v>
      </c>
      <c r="K1943" s="13"/>
    </row>
    <row r="1944" customFormat="false" ht="15" hidden="false" customHeight="false" outlineLevel="0" collapsed="false">
      <c r="A1944" s="9" t="str">
        <f aca="false">Vessels!B22</f>
        <v>Vessel 18</v>
      </c>
      <c r="B1944" s="9" t="s">
        <v>42</v>
      </c>
      <c r="C1944" s="7" t="s">
        <v>76</v>
      </c>
      <c r="D1944" s="9" t="s">
        <v>59</v>
      </c>
      <c r="E1944" s="9" t="s">
        <v>58</v>
      </c>
      <c r="F1944" s="5"/>
      <c r="G1944" s="10"/>
      <c r="H1944" s="11" t="str">
        <f aca="false">IFERROR(IF($D1944="Manual Review","",IF($G1944="","",IF($D1944="Direct Expiry",$G1944,EDATE($G1944,$F1944)))),"Check Date")</f>
        <v/>
      </c>
      <c r="I1944" s="12" t="str">
        <f aca="true">IF($H1944="","",IF(ISNUMBER($H1944),$H1944-TODAY(),""))</f>
        <v/>
      </c>
      <c r="J1944" s="4" t="str">
        <f aca="true">IF($D1944="Manual Review","Manual Review",IF($G1944="","No Data",IF(NOT(ISNUMBER($H1944)),"N/A",IF($H1944&lt;TODAY(),"Overdue",IF($H1944&lt;=TODAY()+30,"Due within 1 Month",IF($H1944&lt;=TODAY()+60,"Due within 2 Months","OK"))))))</f>
        <v>No Data</v>
      </c>
      <c r="K1944" s="13"/>
    </row>
    <row r="1945" customFormat="false" ht="15" hidden="false" customHeight="false" outlineLevel="0" collapsed="false">
      <c r="A1945" s="9" t="str">
        <f aca="false">Vessels!B22</f>
        <v>Vessel 18</v>
      </c>
      <c r="B1945" s="9" t="s">
        <v>42</v>
      </c>
      <c r="C1945" s="7" t="s">
        <v>77</v>
      </c>
      <c r="D1945" s="9" t="s">
        <v>59</v>
      </c>
      <c r="E1945" s="9" t="s">
        <v>58</v>
      </c>
      <c r="F1945" s="5"/>
      <c r="G1945" s="10"/>
      <c r="H1945" s="11" t="str">
        <f aca="false">IFERROR(IF($D1945="Manual Review","",IF($G1945="","",IF($D1945="Direct Expiry",$G1945,EDATE($G1945,$F1945)))),"Check Date")</f>
        <v/>
      </c>
      <c r="I1945" s="12" t="str">
        <f aca="true">IF($H1945="","",IF(ISNUMBER($H1945),$H1945-TODAY(),""))</f>
        <v/>
      </c>
      <c r="J1945" s="4" t="str">
        <f aca="true">IF($D1945="Manual Review","Manual Review",IF($G1945="","No Data",IF(NOT(ISNUMBER($H1945)),"N/A",IF($H1945&lt;TODAY(),"Overdue",IF($H1945&lt;=TODAY()+30,"Due within 1 Month",IF($H1945&lt;=TODAY()+60,"Due within 2 Months","OK"))))))</f>
        <v>No Data</v>
      </c>
      <c r="K1945" s="13"/>
    </row>
    <row r="1946" customFormat="false" ht="15" hidden="false" customHeight="false" outlineLevel="0" collapsed="false">
      <c r="A1946" s="9" t="str">
        <f aca="false">Vessels!B22</f>
        <v>Vessel 18</v>
      </c>
      <c r="B1946" s="9" t="s">
        <v>42</v>
      </c>
      <c r="C1946" s="7" t="s">
        <v>78</v>
      </c>
      <c r="D1946" s="9" t="s">
        <v>59</v>
      </c>
      <c r="E1946" s="9" t="s">
        <v>58</v>
      </c>
      <c r="F1946" s="5"/>
      <c r="G1946" s="10"/>
      <c r="H1946" s="11" t="str">
        <f aca="false">IFERROR(IF($D1946="Manual Review","",IF($G1946="","",IF($D1946="Direct Expiry",$G1946,EDATE($G1946,$F1946)))),"Check Date")</f>
        <v/>
      </c>
      <c r="I1946" s="12" t="str">
        <f aca="true">IF($H1946="","",IF(ISNUMBER($H1946),$H1946-TODAY(),""))</f>
        <v/>
      </c>
      <c r="J1946" s="4" t="str">
        <f aca="true">IF($D1946="Manual Review","Manual Review",IF($G1946="","No Data",IF(NOT(ISNUMBER($H1946)),"N/A",IF($H1946&lt;TODAY(),"Overdue",IF($H1946&lt;=TODAY()+30,"Due within 1 Month",IF($H1946&lt;=TODAY()+60,"Due within 2 Months","OK"))))))</f>
        <v>No Data</v>
      </c>
      <c r="K1946" s="13"/>
    </row>
    <row r="1947" customFormat="false" ht="15" hidden="false" customHeight="false" outlineLevel="0" collapsed="false">
      <c r="A1947" s="9" t="str">
        <f aca="false">Vessels!B22</f>
        <v>Vessel 18</v>
      </c>
      <c r="B1947" s="9" t="s">
        <v>42</v>
      </c>
      <c r="C1947" s="7" t="s">
        <v>79</v>
      </c>
      <c r="D1947" s="9" t="s">
        <v>45</v>
      </c>
      <c r="E1947" s="9" t="s">
        <v>44</v>
      </c>
      <c r="F1947" s="5" t="n">
        <v>12</v>
      </c>
      <c r="G1947" s="10"/>
      <c r="H1947" s="11" t="str">
        <f aca="false">IFERROR(IF($D1947="Manual Review","",IF($G1947="","",IF($D1947="Direct Expiry",$G1947,EDATE($G1947,$F1947)))),"Check Date")</f>
        <v/>
      </c>
      <c r="I1947" s="12" t="str">
        <f aca="true">IF($H1947="","",IF(ISNUMBER($H1947),$H1947-TODAY(),""))</f>
        <v/>
      </c>
      <c r="J1947" s="4" t="str">
        <f aca="true">IF($D1947="Manual Review","Manual Review",IF($G1947="","No Data",IF(NOT(ISNUMBER($H1947)),"N/A",IF($H1947&lt;TODAY(),"Overdue",IF($H1947&lt;=TODAY()+30,"Due within 1 Month",IF($H1947&lt;=TODAY()+60,"Due within 2 Months","OK"))))))</f>
        <v>No Data</v>
      </c>
      <c r="K1947" s="13"/>
    </row>
    <row r="1948" customFormat="false" ht="15" hidden="false" customHeight="false" outlineLevel="0" collapsed="false">
      <c r="A1948" s="9" t="str">
        <f aca="false">Vessels!B22</f>
        <v>Vessel 18</v>
      </c>
      <c r="B1948" s="9" t="s">
        <v>42</v>
      </c>
      <c r="C1948" s="7" t="s">
        <v>80</v>
      </c>
      <c r="D1948" s="9" t="s">
        <v>45</v>
      </c>
      <c r="E1948" s="9" t="s">
        <v>81</v>
      </c>
      <c r="F1948" s="5" t="n">
        <v>36</v>
      </c>
      <c r="G1948" s="10"/>
      <c r="H1948" s="11" t="str">
        <f aca="false">IFERROR(IF($D1948="Manual Review","",IF($G1948="","",IF($D1948="Direct Expiry",$G1948,EDATE($G1948,$F1948)))),"Check Date")</f>
        <v/>
      </c>
      <c r="I1948" s="12" t="str">
        <f aca="true">IF($H1948="","",IF(ISNUMBER($H1948),$H1948-TODAY(),""))</f>
        <v/>
      </c>
      <c r="J1948" s="4" t="str">
        <f aca="true">IF($D1948="Manual Review","Manual Review",IF($G1948="","No Data",IF(NOT(ISNUMBER($H1948)),"N/A",IF($H1948&lt;TODAY(),"Overdue",IF($H1948&lt;=TODAY()+30,"Due within 1 Month",IF($H1948&lt;=TODAY()+60,"Due within 2 Months","OK"))))))</f>
        <v>No Data</v>
      </c>
      <c r="K1948" s="13"/>
    </row>
    <row r="1949" customFormat="false" ht="15" hidden="false" customHeight="false" outlineLevel="0" collapsed="false">
      <c r="A1949" s="9" t="str">
        <f aca="false">Vessels!B22</f>
        <v>Vessel 18</v>
      </c>
      <c r="B1949" s="9" t="s">
        <v>42</v>
      </c>
      <c r="C1949" s="7" t="s">
        <v>80</v>
      </c>
      <c r="D1949" s="9" t="s">
        <v>45</v>
      </c>
      <c r="E1949" s="9" t="s">
        <v>82</v>
      </c>
      <c r="F1949" s="5" t="n">
        <v>24</v>
      </c>
      <c r="G1949" s="10"/>
      <c r="H1949" s="11" t="str">
        <f aca="false">IFERROR(IF($D1949="Manual Review","",IF($G1949="","",IF($D1949="Direct Expiry",$G1949,EDATE($G1949,$F1949)))),"Check Date")</f>
        <v/>
      </c>
      <c r="I1949" s="12" t="str">
        <f aca="true">IF($H1949="","",IF(ISNUMBER($H1949),$H1949-TODAY(),""))</f>
        <v/>
      </c>
      <c r="J1949" s="4" t="str">
        <f aca="true">IF($D1949="Manual Review","Manual Review",IF($G1949="","No Data",IF(NOT(ISNUMBER($H1949)),"N/A",IF($H1949&lt;TODAY(),"Overdue",IF($H1949&lt;=TODAY()+30,"Due within 1 Month",IF($H1949&lt;=TODAY()+60,"Due within 2 Months","OK"))))))</f>
        <v>No Data</v>
      </c>
      <c r="K1949" s="13"/>
    </row>
    <row r="1950" customFormat="false" ht="15" hidden="false" customHeight="false" outlineLevel="0" collapsed="false">
      <c r="A1950" s="9" t="str">
        <f aca="false">Vessels!B22</f>
        <v>Vessel 18</v>
      </c>
      <c r="B1950" s="9" t="s">
        <v>42</v>
      </c>
      <c r="C1950" s="7" t="s">
        <v>83</v>
      </c>
      <c r="D1950" s="9" t="s">
        <v>45</v>
      </c>
      <c r="E1950" s="9" t="s">
        <v>44</v>
      </c>
      <c r="F1950" s="5" t="n">
        <v>12</v>
      </c>
      <c r="G1950" s="10"/>
      <c r="H1950" s="11" t="str">
        <f aca="false">IFERROR(IF($D1950="Manual Review","",IF($G1950="","",IF($D1950="Direct Expiry",$G1950,EDATE($G1950,$F1950)))),"Check Date")</f>
        <v/>
      </c>
      <c r="I1950" s="12" t="str">
        <f aca="true">IF($H1950="","",IF(ISNUMBER($H1950),$H1950-TODAY(),""))</f>
        <v/>
      </c>
      <c r="J1950" s="4" t="str">
        <f aca="true">IF($D1950="Manual Review","Manual Review",IF($G1950="","No Data",IF(NOT(ISNUMBER($H1950)),"N/A",IF($H1950&lt;TODAY(),"Overdue",IF($H1950&lt;=TODAY()+30,"Due within 1 Month",IF($H1950&lt;=TODAY()+60,"Due within 2 Months","OK"))))))</f>
        <v>No Data</v>
      </c>
      <c r="K1950" s="13"/>
    </row>
    <row r="1951" customFormat="false" ht="15" hidden="false" customHeight="false" outlineLevel="0" collapsed="false">
      <c r="A1951" s="9" t="str">
        <f aca="false">Vessels!B22</f>
        <v>Vessel 18</v>
      </c>
      <c r="B1951" s="9" t="s">
        <v>42</v>
      </c>
      <c r="C1951" s="7" t="s">
        <v>83</v>
      </c>
      <c r="D1951" s="9" t="s">
        <v>45</v>
      </c>
      <c r="E1951" s="9" t="s">
        <v>84</v>
      </c>
      <c r="F1951" s="5" t="n">
        <v>60</v>
      </c>
      <c r="G1951" s="10"/>
      <c r="H1951" s="11" t="str">
        <f aca="false">IFERROR(IF($D1951="Manual Review","",IF($G1951="","",IF($D1951="Direct Expiry",$G1951,EDATE($G1951,$F1951)))),"Check Date")</f>
        <v/>
      </c>
      <c r="I1951" s="12" t="str">
        <f aca="true">IF($H1951="","",IF(ISNUMBER($H1951),$H1951-TODAY(),""))</f>
        <v/>
      </c>
      <c r="J1951" s="4" t="str">
        <f aca="true">IF($D1951="Manual Review","Manual Review",IF($G1951="","No Data",IF(NOT(ISNUMBER($H1951)),"N/A",IF($H1951&lt;TODAY(),"Overdue",IF($H1951&lt;=TODAY()+30,"Due within 1 Month",IF($H1951&lt;=TODAY()+60,"Due within 2 Months","OK"))))))</f>
        <v>No Data</v>
      </c>
      <c r="K1951" s="13"/>
    </row>
    <row r="1952" customFormat="false" ht="15" hidden="false" customHeight="false" outlineLevel="0" collapsed="false">
      <c r="A1952" s="9" t="str">
        <f aca="false">Vessels!B22</f>
        <v>Vessel 18</v>
      </c>
      <c r="B1952" s="9" t="s">
        <v>42</v>
      </c>
      <c r="C1952" s="7" t="s">
        <v>85</v>
      </c>
      <c r="D1952" s="9" t="s">
        <v>45</v>
      </c>
      <c r="E1952" s="9" t="s">
        <v>44</v>
      </c>
      <c r="F1952" s="5" t="n">
        <v>12</v>
      </c>
      <c r="G1952" s="10"/>
      <c r="H1952" s="11" t="str">
        <f aca="false">IFERROR(IF($D1952="Manual Review","",IF($G1952="","",IF($D1952="Direct Expiry",$G1952,EDATE($G1952,$F1952)))),"Check Date")</f>
        <v/>
      </c>
      <c r="I1952" s="12" t="str">
        <f aca="true">IF($H1952="","",IF(ISNUMBER($H1952),$H1952-TODAY(),""))</f>
        <v/>
      </c>
      <c r="J1952" s="4" t="str">
        <f aca="true">IF($D1952="Manual Review","Manual Review",IF($G1952="","No Data",IF(NOT(ISNUMBER($H1952)),"N/A",IF($H1952&lt;TODAY(),"Overdue",IF($H1952&lt;=TODAY()+30,"Due within 1 Month",IF($H1952&lt;=TODAY()+60,"Due within 2 Months","OK"))))))</f>
        <v>No Data</v>
      </c>
      <c r="K1952" s="13"/>
    </row>
    <row r="1953" customFormat="false" ht="15" hidden="false" customHeight="false" outlineLevel="0" collapsed="false">
      <c r="A1953" s="9" t="str">
        <f aca="false">Vessels!B22</f>
        <v>Vessel 18</v>
      </c>
      <c r="B1953" s="9" t="s">
        <v>42</v>
      </c>
      <c r="C1953" s="7" t="s">
        <v>85</v>
      </c>
      <c r="D1953" s="9" t="s">
        <v>45</v>
      </c>
      <c r="E1953" s="9" t="s">
        <v>84</v>
      </c>
      <c r="F1953" s="5" t="n">
        <v>60</v>
      </c>
      <c r="G1953" s="10"/>
      <c r="H1953" s="11" t="str">
        <f aca="false">IFERROR(IF($D1953="Manual Review","",IF($G1953="","",IF($D1953="Direct Expiry",$G1953,EDATE($G1953,$F1953)))),"Check Date")</f>
        <v/>
      </c>
      <c r="I1953" s="12" t="str">
        <f aca="true">IF($H1953="","",IF(ISNUMBER($H1953),$H1953-TODAY(),""))</f>
        <v/>
      </c>
      <c r="J1953" s="4" t="str">
        <f aca="true">IF($D1953="Manual Review","Manual Review",IF($G1953="","No Data",IF(NOT(ISNUMBER($H1953)),"N/A",IF($H1953&lt;TODAY(),"Overdue",IF($H1953&lt;=TODAY()+30,"Due within 1 Month",IF($H1953&lt;=TODAY()+60,"Due within 2 Months","OK"))))))</f>
        <v>No Data</v>
      </c>
      <c r="K1953" s="13"/>
    </row>
    <row r="1954" customFormat="false" ht="15" hidden="false" customHeight="false" outlineLevel="0" collapsed="false">
      <c r="A1954" s="9" t="str">
        <f aca="false">Vessels!B22</f>
        <v>Vessel 18</v>
      </c>
      <c r="B1954" s="9" t="s">
        <v>42</v>
      </c>
      <c r="C1954" s="7" t="s">
        <v>86</v>
      </c>
      <c r="D1954" s="9" t="s">
        <v>45</v>
      </c>
      <c r="E1954" s="9" t="s">
        <v>44</v>
      </c>
      <c r="F1954" s="5" t="n">
        <v>12</v>
      </c>
      <c r="G1954" s="10"/>
      <c r="H1954" s="11" t="str">
        <f aca="false">IFERROR(IF($D1954="Manual Review","",IF($G1954="","",IF($D1954="Direct Expiry",$G1954,EDATE($G1954,$F1954)))),"Check Date")</f>
        <v/>
      </c>
      <c r="I1954" s="12" t="str">
        <f aca="true">IF($H1954="","",IF(ISNUMBER($H1954),$H1954-TODAY(),""))</f>
        <v/>
      </c>
      <c r="J1954" s="4" t="str">
        <f aca="true">IF($D1954="Manual Review","Manual Review",IF($G1954="","No Data",IF(NOT(ISNUMBER($H1954)),"N/A",IF($H1954&lt;TODAY(),"Overdue",IF($H1954&lt;=TODAY()+30,"Due within 1 Month",IF($H1954&lt;=TODAY()+60,"Due within 2 Months","OK"))))))</f>
        <v>No Data</v>
      </c>
      <c r="K1954" s="13"/>
    </row>
    <row r="1955" customFormat="false" ht="15" hidden="false" customHeight="false" outlineLevel="0" collapsed="false">
      <c r="A1955" s="9" t="str">
        <f aca="false">Vessels!B22</f>
        <v>Vessel 18</v>
      </c>
      <c r="B1955" s="9" t="s">
        <v>42</v>
      </c>
      <c r="C1955" s="7" t="s">
        <v>87</v>
      </c>
      <c r="D1955" s="9" t="s">
        <v>45</v>
      </c>
      <c r="E1955" s="9" t="s">
        <v>44</v>
      </c>
      <c r="F1955" s="5" t="n">
        <v>12</v>
      </c>
      <c r="G1955" s="10"/>
      <c r="H1955" s="11" t="str">
        <f aca="false">IFERROR(IF($D1955="Manual Review","",IF($G1955="","",IF($D1955="Direct Expiry",$G1955,EDATE($G1955,$F1955)))),"Check Date")</f>
        <v/>
      </c>
      <c r="I1955" s="12" t="str">
        <f aca="true">IF($H1955="","",IF(ISNUMBER($H1955),$H1955-TODAY(),""))</f>
        <v/>
      </c>
      <c r="J1955" s="4" t="str">
        <f aca="true">IF($D1955="Manual Review","Manual Review",IF($G1955="","No Data",IF(NOT(ISNUMBER($H1955)),"N/A",IF($H1955&lt;TODAY(),"Overdue",IF($H1955&lt;=TODAY()+30,"Due within 1 Month",IF($H1955&lt;=TODAY()+60,"Due within 2 Months","OK"))))))</f>
        <v>No Data</v>
      </c>
      <c r="K1955" s="13"/>
    </row>
    <row r="1956" customFormat="false" ht="15" hidden="false" customHeight="false" outlineLevel="0" collapsed="false">
      <c r="A1956" s="9" t="str">
        <f aca="false">Vessels!B22</f>
        <v>Vessel 18</v>
      </c>
      <c r="B1956" s="9" t="s">
        <v>88</v>
      </c>
      <c r="C1956" s="7" t="s">
        <v>89</v>
      </c>
      <c r="D1956" s="9" t="s">
        <v>45</v>
      </c>
      <c r="E1956" s="9" t="s">
        <v>90</v>
      </c>
      <c r="F1956" s="5" t="n">
        <v>36</v>
      </c>
      <c r="G1956" s="10"/>
      <c r="H1956" s="11" t="str">
        <f aca="false">IFERROR(IF($D1956="Manual Review","",IF($G1956="","",IF($D1956="Direct Expiry",$G1956,EDATE($G1956,$F1956)))),"Check Date")</f>
        <v/>
      </c>
      <c r="I1956" s="12" t="str">
        <f aca="true">IF($H1956="","",IF(ISNUMBER($H1956),$H1956-TODAY(),""))</f>
        <v/>
      </c>
      <c r="J1956" s="4" t="str">
        <f aca="true">IF($D1956="Manual Review","Manual Review",IF($G1956="","No Data",IF(NOT(ISNUMBER($H1956)),"N/A",IF($H1956&lt;TODAY(),"Overdue",IF($H1956&lt;=TODAY()+30,"Due within 1 Month",IF($H1956&lt;=TODAY()+60,"Due within 2 Months","OK"))))))</f>
        <v>No Data</v>
      </c>
      <c r="K1956" s="13"/>
    </row>
    <row r="1957" customFormat="false" ht="15" hidden="false" customHeight="false" outlineLevel="0" collapsed="false">
      <c r="A1957" s="9" t="str">
        <f aca="false">Vessels!B22</f>
        <v>Vessel 18</v>
      </c>
      <c r="B1957" s="9" t="s">
        <v>88</v>
      </c>
      <c r="C1957" s="7" t="s">
        <v>91</v>
      </c>
      <c r="D1957" s="9" t="s">
        <v>45</v>
      </c>
      <c r="E1957" s="9" t="s">
        <v>44</v>
      </c>
      <c r="F1957" s="5" t="n">
        <v>12</v>
      </c>
      <c r="G1957" s="10"/>
      <c r="H1957" s="11" t="str">
        <f aca="false">IFERROR(IF($D1957="Manual Review","",IF($G1957="","",IF($D1957="Direct Expiry",$G1957,EDATE($G1957,$F1957)))),"Check Date")</f>
        <v/>
      </c>
      <c r="I1957" s="12" t="str">
        <f aca="true">IF($H1957="","",IF(ISNUMBER($H1957),$H1957-TODAY(),""))</f>
        <v/>
      </c>
      <c r="J1957" s="4" t="str">
        <f aca="true">IF($D1957="Manual Review","Manual Review",IF($G1957="","No Data",IF(NOT(ISNUMBER($H1957)),"N/A",IF($H1957&lt;TODAY(),"Overdue",IF($H1957&lt;=TODAY()+30,"Due within 1 Month",IF($H1957&lt;=TODAY()+60,"Due within 2 Months","OK"))))))</f>
        <v>No Data</v>
      </c>
      <c r="K1957" s="13"/>
    </row>
    <row r="1958" customFormat="false" ht="15" hidden="false" customHeight="false" outlineLevel="0" collapsed="false">
      <c r="A1958" s="9" t="str">
        <f aca="false">Vessels!B22</f>
        <v>Vessel 18</v>
      </c>
      <c r="B1958" s="9" t="s">
        <v>88</v>
      </c>
      <c r="C1958" s="7" t="s">
        <v>91</v>
      </c>
      <c r="D1958" s="9" t="s">
        <v>45</v>
      </c>
      <c r="E1958" s="9" t="s">
        <v>92</v>
      </c>
      <c r="F1958" s="5" t="n">
        <v>120</v>
      </c>
      <c r="G1958" s="10"/>
      <c r="H1958" s="11" t="str">
        <f aca="false">IFERROR(IF($D1958="Manual Review","",IF($G1958="","",IF($D1958="Direct Expiry",$G1958,EDATE($G1958,$F1958)))),"Check Date")</f>
        <v/>
      </c>
      <c r="I1958" s="12" t="str">
        <f aca="true">IF($H1958="","",IF(ISNUMBER($H1958),$H1958-TODAY(),""))</f>
        <v/>
      </c>
      <c r="J1958" s="4" t="str">
        <f aca="true">IF($D1958="Manual Review","Manual Review",IF($G1958="","No Data",IF(NOT(ISNUMBER($H1958)),"N/A",IF($H1958&lt;TODAY(),"Overdue",IF($H1958&lt;=TODAY()+30,"Due within 1 Month",IF($H1958&lt;=TODAY()+60,"Due within 2 Months","OK"))))))</f>
        <v>No Data</v>
      </c>
      <c r="K1958" s="13"/>
    </row>
    <row r="1959" customFormat="false" ht="15" hidden="false" customHeight="false" outlineLevel="0" collapsed="false">
      <c r="A1959" s="9" t="str">
        <f aca="false">Vessels!B22</f>
        <v>Vessel 18</v>
      </c>
      <c r="B1959" s="9" t="s">
        <v>88</v>
      </c>
      <c r="C1959" s="7" t="s">
        <v>93</v>
      </c>
      <c r="D1959" s="9" t="s">
        <v>45</v>
      </c>
      <c r="E1959" s="9" t="s">
        <v>44</v>
      </c>
      <c r="F1959" s="5" t="n">
        <v>12</v>
      </c>
      <c r="G1959" s="10"/>
      <c r="H1959" s="11" t="str">
        <f aca="false">IFERROR(IF($D1959="Manual Review","",IF($G1959="","",IF($D1959="Direct Expiry",$G1959,EDATE($G1959,$F1959)))),"Check Date")</f>
        <v/>
      </c>
      <c r="I1959" s="12" t="str">
        <f aca="true">IF($H1959="","",IF(ISNUMBER($H1959),$H1959-TODAY(),""))</f>
        <v/>
      </c>
      <c r="J1959" s="4" t="str">
        <f aca="true">IF($D1959="Manual Review","Manual Review",IF($G1959="","No Data",IF(NOT(ISNUMBER($H1959)),"N/A",IF($H1959&lt;TODAY(),"Overdue",IF($H1959&lt;=TODAY()+30,"Due within 1 Month",IF($H1959&lt;=TODAY()+60,"Due within 2 Months","OK"))))))</f>
        <v>No Data</v>
      </c>
      <c r="K1959" s="13"/>
    </row>
    <row r="1960" customFormat="false" ht="15" hidden="false" customHeight="false" outlineLevel="0" collapsed="false">
      <c r="A1960" s="9" t="str">
        <f aca="false">Vessels!B22</f>
        <v>Vessel 18</v>
      </c>
      <c r="B1960" s="9" t="s">
        <v>88</v>
      </c>
      <c r="C1960" s="7" t="s">
        <v>93</v>
      </c>
      <c r="D1960" s="9" t="s">
        <v>45</v>
      </c>
      <c r="E1960" s="9" t="s">
        <v>92</v>
      </c>
      <c r="F1960" s="5" t="n">
        <v>120</v>
      </c>
      <c r="G1960" s="10"/>
      <c r="H1960" s="11" t="str">
        <f aca="false">IFERROR(IF($D1960="Manual Review","",IF($G1960="","",IF($D1960="Direct Expiry",$G1960,EDATE($G1960,$F1960)))),"Check Date")</f>
        <v/>
      </c>
      <c r="I1960" s="12" t="str">
        <f aca="true">IF($H1960="","",IF(ISNUMBER($H1960),$H1960-TODAY(),""))</f>
        <v/>
      </c>
      <c r="J1960" s="4" t="str">
        <f aca="true">IF($D1960="Manual Review","Manual Review",IF($G1960="","No Data",IF(NOT(ISNUMBER($H1960)),"N/A",IF($H1960&lt;TODAY(),"Overdue",IF($H1960&lt;=TODAY()+30,"Due within 1 Month",IF($H1960&lt;=TODAY()+60,"Due within 2 Months","OK"))))))</f>
        <v>No Data</v>
      </c>
      <c r="K1960" s="13"/>
    </row>
    <row r="1961" customFormat="false" ht="15" hidden="false" customHeight="false" outlineLevel="0" collapsed="false">
      <c r="A1961" s="9" t="str">
        <f aca="false">Vessels!B22</f>
        <v>Vessel 18</v>
      </c>
      <c r="B1961" s="9" t="s">
        <v>88</v>
      </c>
      <c r="C1961" s="7" t="s">
        <v>94</v>
      </c>
      <c r="D1961" s="9" t="s">
        <v>45</v>
      </c>
      <c r="E1961" s="9" t="s">
        <v>44</v>
      </c>
      <c r="F1961" s="5" t="n">
        <v>12</v>
      </c>
      <c r="G1961" s="10"/>
      <c r="H1961" s="11" t="str">
        <f aca="false">IFERROR(IF($D1961="Manual Review","",IF($G1961="","",IF($D1961="Direct Expiry",$G1961,EDATE($G1961,$F1961)))),"Check Date")</f>
        <v/>
      </c>
      <c r="I1961" s="12" t="str">
        <f aca="true">IF($H1961="","",IF(ISNUMBER($H1961),$H1961-TODAY(),""))</f>
        <v/>
      </c>
      <c r="J1961" s="4" t="str">
        <f aca="true">IF($D1961="Manual Review","Manual Review",IF($G1961="","No Data",IF(NOT(ISNUMBER($H1961)),"N/A",IF($H1961&lt;TODAY(),"Overdue",IF($H1961&lt;=TODAY()+30,"Due within 1 Month",IF($H1961&lt;=TODAY()+60,"Due within 2 Months","OK"))))))</f>
        <v>No Data</v>
      </c>
      <c r="K1961" s="13"/>
    </row>
    <row r="1962" customFormat="false" ht="15" hidden="false" customHeight="false" outlineLevel="0" collapsed="false">
      <c r="A1962" s="9" t="str">
        <f aca="false">Vessels!B22</f>
        <v>Vessel 18</v>
      </c>
      <c r="B1962" s="9" t="s">
        <v>88</v>
      </c>
      <c r="C1962" s="7" t="s">
        <v>94</v>
      </c>
      <c r="D1962" s="9" t="s">
        <v>45</v>
      </c>
      <c r="E1962" s="9" t="s">
        <v>92</v>
      </c>
      <c r="F1962" s="5" t="n">
        <v>120</v>
      </c>
      <c r="G1962" s="10"/>
      <c r="H1962" s="11" t="str">
        <f aca="false">IFERROR(IF($D1962="Manual Review","",IF($G1962="","",IF($D1962="Direct Expiry",$G1962,EDATE($G1962,$F1962)))),"Check Date")</f>
        <v/>
      </c>
      <c r="I1962" s="12" t="str">
        <f aca="true">IF($H1962="","",IF(ISNUMBER($H1962),$H1962-TODAY(),""))</f>
        <v/>
      </c>
      <c r="J1962" s="4" t="str">
        <f aca="true">IF($D1962="Manual Review","Manual Review",IF($G1962="","No Data",IF(NOT(ISNUMBER($H1962)),"N/A",IF($H1962&lt;TODAY(),"Overdue",IF($H1962&lt;=TODAY()+30,"Due within 1 Month",IF($H1962&lt;=TODAY()+60,"Due within 2 Months","OK"))))))</f>
        <v>No Data</v>
      </c>
      <c r="K1962" s="13"/>
    </row>
    <row r="1963" customFormat="false" ht="15" hidden="false" customHeight="false" outlineLevel="0" collapsed="false">
      <c r="A1963" s="9" t="str">
        <f aca="false">Vessels!B22</f>
        <v>Vessel 18</v>
      </c>
      <c r="B1963" s="9" t="s">
        <v>88</v>
      </c>
      <c r="C1963" s="7" t="s">
        <v>95</v>
      </c>
      <c r="D1963" s="9" t="s">
        <v>45</v>
      </c>
      <c r="E1963" s="9" t="s">
        <v>44</v>
      </c>
      <c r="F1963" s="5" t="n">
        <v>12</v>
      </c>
      <c r="G1963" s="10"/>
      <c r="H1963" s="11" t="str">
        <f aca="false">IFERROR(IF($D1963="Manual Review","",IF($G1963="","",IF($D1963="Direct Expiry",$G1963,EDATE($G1963,$F1963)))),"Check Date")</f>
        <v/>
      </c>
      <c r="I1963" s="12" t="str">
        <f aca="true">IF($H1963="","",IF(ISNUMBER($H1963),$H1963-TODAY(),""))</f>
        <v/>
      </c>
      <c r="J1963" s="4" t="str">
        <f aca="true">IF($D1963="Manual Review","Manual Review",IF($G1963="","No Data",IF(NOT(ISNUMBER($H1963)),"N/A",IF($H1963&lt;TODAY(),"Overdue",IF($H1963&lt;=TODAY()+30,"Due within 1 Month",IF($H1963&lt;=TODAY()+60,"Due within 2 Months","OK"))))))</f>
        <v>No Data</v>
      </c>
      <c r="K1963" s="13"/>
    </row>
    <row r="1964" customFormat="false" ht="15" hidden="false" customHeight="false" outlineLevel="0" collapsed="false">
      <c r="A1964" s="9" t="str">
        <f aca="false">Vessels!B22</f>
        <v>Vessel 18</v>
      </c>
      <c r="B1964" s="9" t="s">
        <v>88</v>
      </c>
      <c r="C1964" s="7" t="s">
        <v>95</v>
      </c>
      <c r="D1964" s="9" t="s">
        <v>45</v>
      </c>
      <c r="E1964" s="9" t="s">
        <v>92</v>
      </c>
      <c r="F1964" s="5" t="n">
        <v>120</v>
      </c>
      <c r="G1964" s="10"/>
      <c r="H1964" s="11" t="str">
        <f aca="false">IFERROR(IF($D1964="Manual Review","",IF($G1964="","",IF($D1964="Direct Expiry",$G1964,EDATE($G1964,$F1964)))),"Check Date")</f>
        <v/>
      </c>
      <c r="I1964" s="12" t="str">
        <f aca="true">IF($H1964="","",IF(ISNUMBER($H1964),$H1964-TODAY(),""))</f>
        <v/>
      </c>
      <c r="J1964" s="4" t="str">
        <f aca="true">IF($D1964="Manual Review","Manual Review",IF($G1964="","No Data",IF(NOT(ISNUMBER($H1964)),"N/A",IF($H1964&lt;TODAY(),"Overdue",IF($H1964&lt;=TODAY()+30,"Due within 1 Month",IF($H1964&lt;=TODAY()+60,"Due within 2 Months","OK"))))))</f>
        <v>No Data</v>
      </c>
      <c r="K1964" s="13"/>
    </row>
    <row r="1965" customFormat="false" ht="15" hidden="false" customHeight="false" outlineLevel="0" collapsed="false">
      <c r="A1965" s="9" t="str">
        <f aca="false">Vessels!B22</f>
        <v>Vessel 18</v>
      </c>
      <c r="B1965" s="9" t="s">
        <v>88</v>
      </c>
      <c r="C1965" s="7" t="s">
        <v>96</v>
      </c>
      <c r="D1965" s="9" t="s">
        <v>45</v>
      </c>
      <c r="E1965" s="9" t="s">
        <v>44</v>
      </c>
      <c r="F1965" s="5" t="n">
        <v>12</v>
      </c>
      <c r="G1965" s="10"/>
      <c r="H1965" s="11" t="str">
        <f aca="false">IFERROR(IF($D1965="Manual Review","",IF($G1965="","",IF($D1965="Direct Expiry",$G1965,EDATE($G1965,$F1965)))),"Check Date")</f>
        <v/>
      </c>
      <c r="I1965" s="12" t="str">
        <f aca="true">IF($H1965="","",IF(ISNUMBER($H1965),$H1965-TODAY(),""))</f>
        <v/>
      </c>
      <c r="J1965" s="4" t="str">
        <f aca="true">IF($D1965="Manual Review","Manual Review",IF($G1965="","No Data",IF(NOT(ISNUMBER($H1965)),"N/A",IF($H1965&lt;TODAY(),"Overdue",IF($H1965&lt;=TODAY()+30,"Due within 1 Month",IF($H1965&lt;=TODAY()+60,"Due within 2 Months","OK"))))))</f>
        <v>No Data</v>
      </c>
      <c r="K1965" s="13"/>
    </row>
    <row r="1966" customFormat="false" ht="15" hidden="false" customHeight="false" outlineLevel="0" collapsed="false">
      <c r="A1966" s="9" t="str">
        <f aca="false">Vessels!B22</f>
        <v>Vessel 18</v>
      </c>
      <c r="B1966" s="9" t="s">
        <v>88</v>
      </c>
      <c r="C1966" s="7" t="s">
        <v>96</v>
      </c>
      <c r="D1966" s="9" t="s">
        <v>45</v>
      </c>
      <c r="E1966" s="9" t="s">
        <v>97</v>
      </c>
      <c r="F1966" s="5" t="n">
        <v>120</v>
      </c>
      <c r="G1966" s="10"/>
      <c r="H1966" s="11" t="str">
        <f aca="false">IFERROR(IF($D1966="Manual Review","",IF($G1966="","",IF($D1966="Direct Expiry",$G1966,EDATE($G1966,$F1966)))),"Check Date")</f>
        <v/>
      </c>
      <c r="I1966" s="12" t="str">
        <f aca="true">IF($H1966="","",IF(ISNUMBER($H1966),$H1966-TODAY(),""))</f>
        <v/>
      </c>
      <c r="J1966" s="4" t="str">
        <f aca="true">IF($D1966="Manual Review","Manual Review",IF($G1966="","No Data",IF(NOT(ISNUMBER($H1966)),"N/A",IF($H1966&lt;TODAY(),"Overdue",IF($H1966&lt;=TODAY()+30,"Due within 1 Month",IF($H1966&lt;=TODAY()+60,"Due within 2 Months","OK"))))))</f>
        <v>No Data</v>
      </c>
      <c r="K1966" s="13"/>
    </row>
    <row r="1967" customFormat="false" ht="15" hidden="false" customHeight="false" outlineLevel="0" collapsed="false">
      <c r="A1967" s="9" t="str">
        <f aca="false">Vessels!B22</f>
        <v>Vessel 18</v>
      </c>
      <c r="B1967" s="9" t="s">
        <v>88</v>
      </c>
      <c r="C1967" s="7" t="s">
        <v>98</v>
      </c>
      <c r="D1967" s="9" t="s">
        <v>45</v>
      </c>
      <c r="E1967" s="9" t="s">
        <v>44</v>
      </c>
      <c r="F1967" s="5" t="n">
        <v>12</v>
      </c>
      <c r="G1967" s="10"/>
      <c r="H1967" s="11" t="str">
        <f aca="false">IFERROR(IF($D1967="Manual Review","",IF($G1967="","",IF($D1967="Direct Expiry",$G1967,EDATE($G1967,$F1967)))),"Check Date")</f>
        <v/>
      </c>
      <c r="I1967" s="12" t="str">
        <f aca="true">IF($H1967="","",IF(ISNUMBER($H1967),$H1967-TODAY(),""))</f>
        <v/>
      </c>
      <c r="J1967" s="4" t="str">
        <f aca="true">IF($D1967="Manual Review","Manual Review",IF($G1967="","No Data",IF(NOT(ISNUMBER($H1967)),"N/A",IF($H1967&lt;TODAY(),"Overdue",IF($H1967&lt;=TODAY()+30,"Due within 1 Month",IF($H1967&lt;=TODAY()+60,"Due within 2 Months","OK"))))))</f>
        <v>No Data</v>
      </c>
      <c r="K1967" s="13"/>
    </row>
    <row r="1968" customFormat="false" ht="15" hidden="false" customHeight="false" outlineLevel="0" collapsed="false">
      <c r="A1968" s="9" t="str">
        <f aca="false">Vessels!B22</f>
        <v>Vessel 18</v>
      </c>
      <c r="B1968" s="9" t="s">
        <v>88</v>
      </c>
      <c r="C1968" s="7" t="s">
        <v>98</v>
      </c>
      <c r="D1968" s="9" t="s">
        <v>45</v>
      </c>
      <c r="E1968" s="9" t="s">
        <v>99</v>
      </c>
      <c r="F1968" s="5" t="n">
        <v>60</v>
      </c>
      <c r="G1968" s="10"/>
      <c r="H1968" s="11" t="str">
        <f aca="false">IFERROR(IF($D1968="Manual Review","",IF($G1968="","",IF($D1968="Direct Expiry",$G1968,EDATE($G1968,$F1968)))),"Check Date")</f>
        <v/>
      </c>
      <c r="I1968" s="12" t="str">
        <f aca="true">IF($H1968="","",IF(ISNUMBER($H1968),$H1968-TODAY(),""))</f>
        <v/>
      </c>
      <c r="J1968" s="4" t="str">
        <f aca="true">IF($D1968="Manual Review","Manual Review",IF($G1968="","No Data",IF(NOT(ISNUMBER($H1968)),"N/A",IF($H1968&lt;TODAY(),"Overdue",IF($H1968&lt;=TODAY()+30,"Due within 1 Month",IF($H1968&lt;=TODAY()+60,"Due within 2 Months","OK"))))))</f>
        <v>No Data</v>
      </c>
      <c r="K1968" s="13"/>
    </row>
    <row r="1969" customFormat="false" ht="15" hidden="false" customHeight="false" outlineLevel="0" collapsed="false">
      <c r="A1969" s="9" t="str">
        <f aca="false">Vessels!B22</f>
        <v>Vessel 18</v>
      </c>
      <c r="B1969" s="9" t="s">
        <v>88</v>
      </c>
      <c r="C1969" s="7" t="s">
        <v>100</v>
      </c>
      <c r="D1969" s="9" t="s">
        <v>45</v>
      </c>
      <c r="E1969" s="9" t="s">
        <v>44</v>
      </c>
      <c r="F1969" s="5" t="n">
        <v>12</v>
      </c>
      <c r="G1969" s="10"/>
      <c r="H1969" s="11" t="str">
        <f aca="false">IFERROR(IF($D1969="Manual Review","",IF($G1969="","",IF($D1969="Direct Expiry",$G1969,EDATE($G1969,$F1969)))),"Check Date")</f>
        <v/>
      </c>
      <c r="I1969" s="12" t="str">
        <f aca="true">IF($H1969="","",IF(ISNUMBER($H1969),$H1969-TODAY(),""))</f>
        <v/>
      </c>
      <c r="J1969" s="4" t="str">
        <f aca="true">IF($D1969="Manual Review","Manual Review",IF($G1969="","No Data",IF(NOT(ISNUMBER($H1969)),"N/A",IF($H1969&lt;TODAY(),"Overdue",IF($H1969&lt;=TODAY()+30,"Due within 1 Month",IF($H1969&lt;=TODAY()+60,"Due within 2 Months","OK"))))))</f>
        <v>No Data</v>
      </c>
      <c r="K1969" s="13"/>
    </row>
    <row r="1970" customFormat="false" ht="15" hidden="false" customHeight="false" outlineLevel="0" collapsed="false">
      <c r="A1970" s="9" t="str">
        <f aca="false">Vessels!B22</f>
        <v>Vessel 18</v>
      </c>
      <c r="B1970" s="9" t="s">
        <v>88</v>
      </c>
      <c r="C1970" s="7" t="s">
        <v>100</v>
      </c>
      <c r="D1970" s="9" t="s">
        <v>45</v>
      </c>
      <c r="E1970" s="9" t="s">
        <v>99</v>
      </c>
      <c r="F1970" s="5" t="n">
        <v>60</v>
      </c>
      <c r="G1970" s="10"/>
      <c r="H1970" s="11" t="str">
        <f aca="false">IFERROR(IF($D1970="Manual Review","",IF($G1970="","",IF($D1970="Direct Expiry",$G1970,EDATE($G1970,$F1970)))),"Check Date")</f>
        <v/>
      </c>
      <c r="I1970" s="12" t="str">
        <f aca="true">IF($H1970="","",IF(ISNUMBER($H1970),$H1970-TODAY(),""))</f>
        <v/>
      </c>
      <c r="J1970" s="4" t="str">
        <f aca="true">IF($D1970="Manual Review","Manual Review",IF($G1970="","No Data",IF(NOT(ISNUMBER($H1970)),"N/A",IF($H1970&lt;TODAY(),"Overdue",IF($H1970&lt;=TODAY()+30,"Due within 1 Month",IF($H1970&lt;=TODAY()+60,"Due within 2 Months","OK"))))))</f>
        <v>No Data</v>
      </c>
      <c r="K1970" s="13"/>
    </row>
    <row r="1971" customFormat="false" ht="15" hidden="false" customHeight="false" outlineLevel="0" collapsed="false">
      <c r="A1971" s="9" t="str">
        <f aca="false">Vessels!B22</f>
        <v>Vessel 18</v>
      </c>
      <c r="B1971" s="9" t="s">
        <v>88</v>
      </c>
      <c r="C1971" s="7" t="s">
        <v>101</v>
      </c>
      <c r="D1971" s="9" t="s">
        <v>45</v>
      </c>
      <c r="E1971" s="9" t="s">
        <v>44</v>
      </c>
      <c r="F1971" s="5" t="n">
        <v>12</v>
      </c>
      <c r="G1971" s="10"/>
      <c r="H1971" s="11" t="str">
        <f aca="false">IFERROR(IF($D1971="Manual Review","",IF($G1971="","",IF($D1971="Direct Expiry",$G1971,EDATE($G1971,$F1971)))),"Check Date")</f>
        <v/>
      </c>
      <c r="I1971" s="12" t="str">
        <f aca="true">IF($H1971="","",IF(ISNUMBER($H1971),$H1971-TODAY(),""))</f>
        <v/>
      </c>
      <c r="J1971" s="4" t="str">
        <f aca="true">IF($D1971="Manual Review","Manual Review",IF($G1971="","No Data",IF(NOT(ISNUMBER($H1971)),"N/A",IF($H1971&lt;TODAY(),"Overdue",IF($H1971&lt;=TODAY()+30,"Due within 1 Month",IF($H1971&lt;=TODAY()+60,"Due within 2 Months","OK"))))))</f>
        <v>No Data</v>
      </c>
      <c r="K1971" s="13"/>
    </row>
    <row r="1972" customFormat="false" ht="23.85" hidden="false" customHeight="false" outlineLevel="0" collapsed="false">
      <c r="A1972" s="9" t="str">
        <f aca="false">Vessels!B22</f>
        <v>Vessel 18</v>
      </c>
      <c r="B1972" s="9" t="s">
        <v>88</v>
      </c>
      <c r="C1972" s="7" t="s">
        <v>102</v>
      </c>
      <c r="D1972" s="9" t="s">
        <v>45</v>
      </c>
      <c r="E1972" s="9" t="s">
        <v>44</v>
      </c>
      <c r="F1972" s="5" t="n">
        <v>12</v>
      </c>
      <c r="G1972" s="10"/>
      <c r="H1972" s="11" t="str">
        <f aca="false">IFERROR(IF($D1972="Manual Review","",IF($G1972="","",IF($D1972="Direct Expiry",$G1972,EDATE($G1972,$F1972)))),"Check Date")</f>
        <v/>
      </c>
      <c r="I1972" s="12" t="str">
        <f aca="true">IF($H1972="","",IF(ISNUMBER($H1972),$H1972-TODAY(),""))</f>
        <v/>
      </c>
      <c r="J1972" s="4" t="str">
        <f aca="true">IF($D1972="Manual Review","Manual Review",IF($G1972="","No Data",IF(NOT(ISNUMBER($H1972)),"N/A",IF($H1972&lt;TODAY(),"Overdue",IF($H1972&lt;=TODAY()+30,"Due within 1 Month",IF($H1972&lt;=TODAY()+60,"Due within 2 Months","OK"))))))</f>
        <v>No Data</v>
      </c>
      <c r="K1972" s="13"/>
    </row>
    <row r="1973" customFormat="false" ht="23.85" hidden="false" customHeight="false" outlineLevel="0" collapsed="false">
      <c r="A1973" s="9" t="str">
        <f aca="false">Vessels!B22</f>
        <v>Vessel 18</v>
      </c>
      <c r="B1973" s="9" t="s">
        <v>88</v>
      </c>
      <c r="C1973" s="7" t="s">
        <v>102</v>
      </c>
      <c r="D1973" s="9" t="s">
        <v>45</v>
      </c>
      <c r="E1973" s="9" t="s">
        <v>97</v>
      </c>
      <c r="F1973" s="5" t="n">
        <v>120</v>
      </c>
      <c r="G1973" s="10"/>
      <c r="H1973" s="11" t="str">
        <f aca="false">IFERROR(IF($D1973="Manual Review","",IF($G1973="","",IF($D1973="Direct Expiry",$G1973,EDATE($G1973,$F1973)))),"Check Date")</f>
        <v/>
      </c>
      <c r="I1973" s="12" t="str">
        <f aca="true">IF($H1973="","",IF(ISNUMBER($H1973),$H1973-TODAY(),""))</f>
        <v/>
      </c>
      <c r="J1973" s="4" t="str">
        <f aca="true">IF($D1973="Manual Review","Manual Review",IF($G1973="","No Data",IF(NOT(ISNUMBER($H1973)),"N/A",IF($H1973&lt;TODAY(),"Overdue",IF($H1973&lt;=TODAY()+30,"Due within 1 Month",IF($H1973&lt;=TODAY()+60,"Due within 2 Months","OK"))))))</f>
        <v>No Data</v>
      </c>
      <c r="K1973" s="13"/>
    </row>
    <row r="1974" customFormat="false" ht="15" hidden="false" customHeight="false" outlineLevel="0" collapsed="false">
      <c r="A1974" s="9" t="str">
        <f aca="false">Vessels!B22</f>
        <v>Vessel 18</v>
      </c>
      <c r="B1974" s="9" t="s">
        <v>88</v>
      </c>
      <c r="C1974" s="7" t="s">
        <v>103</v>
      </c>
      <c r="D1974" s="9" t="s">
        <v>45</v>
      </c>
      <c r="E1974" s="9" t="s">
        <v>44</v>
      </c>
      <c r="F1974" s="5" t="n">
        <v>12</v>
      </c>
      <c r="G1974" s="10"/>
      <c r="H1974" s="11" t="str">
        <f aca="false">IFERROR(IF($D1974="Manual Review","",IF($G1974="","",IF($D1974="Direct Expiry",$G1974,EDATE($G1974,$F1974)))),"Check Date")</f>
        <v/>
      </c>
      <c r="I1974" s="12" t="str">
        <f aca="true">IF($H1974="","",IF(ISNUMBER($H1974),$H1974-TODAY(),""))</f>
        <v/>
      </c>
      <c r="J1974" s="4" t="str">
        <f aca="true">IF($D1974="Manual Review","Manual Review",IF($G1974="","No Data",IF(NOT(ISNUMBER($H1974)),"N/A",IF($H1974&lt;TODAY(),"Overdue",IF($H1974&lt;=TODAY()+30,"Due within 1 Month",IF($H1974&lt;=TODAY()+60,"Due within 2 Months","OK"))))))</f>
        <v>No Data</v>
      </c>
      <c r="K1974" s="13"/>
    </row>
    <row r="1975" customFormat="false" ht="15" hidden="false" customHeight="false" outlineLevel="0" collapsed="false">
      <c r="A1975" s="9" t="str">
        <f aca="false">Vessels!B22</f>
        <v>Vessel 18</v>
      </c>
      <c r="B1975" s="9" t="s">
        <v>88</v>
      </c>
      <c r="C1975" s="7" t="s">
        <v>103</v>
      </c>
      <c r="D1975" s="9" t="s">
        <v>45</v>
      </c>
      <c r="E1975" s="9" t="s">
        <v>97</v>
      </c>
      <c r="F1975" s="5" t="n">
        <v>120</v>
      </c>
      <c r="G1975" s="10"/>
      <c r="H1975" s="11" t="str">
        <f aca="false">IFERROR(IF($D1975="Manual Review","",IF($G1975="","",IF($D1975="Direct Expiry",$G1975,EDATE($G1975,$F1975)))),"Check Date")</f>
        <v/>
      </c>
      <c r="I1975" s="12" t="str">
        <f aca="true">IF($H1975="","",IF(ISNUMBER($H1975),$H1975-TODAY(),""))</f>
        <v/>
      </c>
      <c r="J1975" s="4" t="str">
        <f aca="true">IF($D1975="Manual Review","Manual Review",IF($G1975="","No Data",IF(NOT(ISNUMBER($H1975)),"N/A",IF($H1975&lt;TODAY(),"Overdue",IF($H1975&lt;=TODAY()+30,"Due within 1 Month",IF($H1975&lt;=TODAY()+60,"Due within 2 Months","OK"))))))</f>
        <v>No Data</v>
      </c>
      <c r="K1975" s="13"/>
    </row>
    <row r="1976" customFormat="false" ht="15" hidden="false" customHeight="false" outlineLevel="0" collapsed="false">
      <c r="A1976" s="9" t="str">
        <f aca="false">Vessels!B22</f>
        <v>Vessel 18</v>
      </c>
      <c r="B1976" s="9" t="s">
        <v>88</v>
      </c>
      <c r="C1976" s="7" t="s">
        <v>104</v>
      </c>
      <c r="D1976" s="9" t="s">
        <v>45</v>
      </c>
      <c r="E1976" s="9" t="s">
        <v>44</v>
      </c>
      <c r="F1976" s="5" t="n">
        <v>12</v>
      </c>
      <c r="G1976" s="10"/>
      <c r="H1976" s="11" t="str">
        <f aca="false">IFERROR(IF($D1976="Manual Review","",IF($G1976="","",IF($D1976="Direct Expiry",$G1976,EDATE($G1976,$F1976)))),"Check Date")</f>
        <v/>
      </c>
      <c r="I1976" s="12" t="str">
        <f aca="true">IF($H1976="","",IF(ISNUMBER($H1976),$H1976-TODAY(),""))</f>
        <v/>
      </c>
      <c r="J1976" s="4" t="str">
        <f aca="true">IF($D1976="Manual Review","Manual Review",IF($G1976="","No Data",IF(NOT(ISNUMBER($H1976)),"N/A",IF($H1976&lt;TODAY(),"Overdue",IF($H1976&lt;=TODAY()+30,"Due within 1 Month",IF($H1976&lt;=TODAY()+60,"Due within 2 Months","OK"))))))</f>
        <v>No Data</v>
      </c>
      <c r="K1976" s="13"/>
    </row>
    <row r="1977" customFormat="false" ht="15" hidden="false" customHeight="false" outlineLevel="0" collapsed="false">
      <c r="A1977" s="9" t="str">
        <f aca="false">Vessels!B22</f>
        <v>Vessel 18</v>
      </c>
      <c r="B1977" s="9" t="s">
        <v>88</v>
      </c>
      <c r="C1977" s="7" t="s">
        <v>105</v>
      </c>
      <c r="D1977" s="9" t="s">
        <v>45</v>
      </c>
      <c r="E1977" s="9" t="s">
        <v>44</v>
      </c>
      <c r="F1977" s="5" t="n">
        <v>12</v>
      </c>
      <c r="G1977" s="10"/>
      <c r="H1977" s="11" t="str">
        <f aca="false">IFERROR(IF($D1977="Manual Review","",IF($G1977="","",IF($D1977="Direct Expiry",$G1977,EDATE($G1977,$F1977)))),"Check Date")</f>
        <v/>
      </c>
      <c r="I1977" s="12" t="str">
        <f aca="true">IF($H1977="","",IF(ISNUMBER($H1977),$H1977-TODAY(),""))</f>
        <v/>
      </c>
      <c r="J1977" s="4" t="str">
        <f aca="true">IF($D1977="Manual Review","Manual Review",IF($G1977="","No Data",IF(NOT(ISNUMBER($H1977)),"N/A",IF($H1977&lt;TODAY(),"Overdue",IF($H1977&lt;=TODAY()+30,"Due within 1 Month",IF($H1977&lt;=TODAY()+60,"Due within 2 Months","OK"))))))</f>
        <v>No Data</v>
      </c>
      <c r="K1977" s="13"/>
    </row>
    <row r="1978" customFormat="false" ht="15" hidden="false" customHeight="false" outlineLevel="0" collapsed="false">
      <c r="A1978" s="9" t="str">
        <f aca="false">Vessels!B22</f>
        <v>Vessel 18</v>
      </c>
      <c r="B1978" s="9" t="s">
        <v>88</v>
      </c>
      <c r="C1978" s="7" t="s">
        <v>106</v>
      </c>
      <c r="D1978" s="9" t="s">
        <v>45</v>
      </c>
      <c r="E1978" s="9" t="s">
        <v>44</v>
      </c>
      <c r="F1978" s="5" t="n">
        <v>12</v>
      </c>
      <c r="G1978" s="10"/>
      <c r="H1978" s="11" t="str">
        <f aca="false">IFERROR(IF($D1978="Manual Review","",IF($G1978="","",IF($D1978="Direct Expiry",$G1978,EDATE($G1978,$F1978)))),"Check Date")</f>
        <v/>
      </c>
      <c r="I1978" s="12" t="str">
        <f aca="true">IF($H1978="","",IF(ISNUMBER($H1978),$H1978-TODAY(),""))</f>
        <v/>
      </c>
      <c r="J1978" s="4" t="str">
        <f aca="true">IF($D1978="Manual Review","Manual Review",IF($G1978="","No Data",IF(NOT(ISNUMBER($H1978)),"N/A",IF($H1978&lt;TODAY(),"Overdue",IF($H1978&lt;=TODAY()+30,"Due within 1 Month",IF($H1978&lt;=TODAY()+60,"Due within 2 Months","OK"))))))</f>
        <v>No Data</v>
      </c>
      <c r="K1978" s="13"/>
    </row>
    <row r="1979" customFormat="false" ht="15" hidden="false" customHeight="false" outlineLevel="0" collapsed="false">
      <c r="A1979" s="9" t="str">
        <f aca="false">Vessels!B22</f>
        <v>Vessel 18</v>
      </c>
      <c r="B1979" s="9" t="s">
        <v>88</v>
      </c>
      <c r="C1979" s="7" t="s">
        <v>107</v>
      </c>
      <c r="D1979" s="9" t="s">
        <v>45</v>
      </c>
      <c r="E1979" s="9" t="s">
        <v>44</v>
      </c>
      <c r="F1979" s="5" t="n">
        <v>12</v>
      </c>
      <c r="G1979" s="10"/>
      <c r="H1979" s="11" t="str">
        <f aca="false">IFERROR(IF($D1979="Manual Review","",IF($G1979="","",IF($D1979="Direct Expiry",$G1979,EDATE($G1979,$F1979)))),"Check Date")</f>
        <v/>
      </c>
      <c r="I1979" s="12" t="str">
        <f aca="true">IF($H1979="","",IF(ISNUMBER($H1979),$H1979-TODAY(),""))</f>
        <v/>
      </c>
      <c r="J1979" s="4" t="str">
        <f aca="true">IF($D1979="Manual Review","Manual Review",IF($G1979="","No Data",IF(NOT(ISNUMBER($H1979)),"N/A",IF($H1979&lt;TODAY(),"Overdue",IF($H1979&lt;=TODAY()+30,"Due within 1 Month",IF($H1979&lt;=TODAY()+60,"Due within 2 Months","OK"))))))</f>
        <v>No Data</v>
      </c>
      <c r="K1979" s="13"/>
    </row>
    <row r="1980" customFormat="false" ht="15" hidden="false" customHeight="false" outlineLevel="0" collapsed="false">
      <c r="A1980" s="9" t="str">
        <f aca="false">Vessels!B22</f>
        <v>Vessel 18</v>
      </c>
      <c r="B1980" s="9" t="s">
        <v>88</v>
      </c>
      <c r="C1980" s="7" t="s">
        <v>108</v>
      </c>
      <c r="D1980" s="9" t="s">
        <v>45</v>
      </c>
      <c r="E1980" s="9" t="s">
        <v>109</v>
      </c>
      <c r="F1980" s="5" t="n">
        <v>12</v>
      </c>
      <c r="G1980" s="10"/>
      <c r="H1980" s="11" t="str">
        <f aca="false">IFERROR(IF($D1980="Manual Review","",IF($G1980="","",IF($D1980="Direct Expiry",$G1980,EDATE($G1980,$F1980)))),"Check Date")</f>
        <v/>
      </c>
      <c r="I1980" s="12" t="str">
        <f aca="true">IF($H1980="","",IF(ISNUMBER($H1980),$H1980-TODAY(),""))</f>
        <v/>
      </c>
      <c r="J1980" s="4" t="str">
        <f aca="true">IF($D1980="Manual Review","Manual Review",IF($G1980="","No Data",IF(NOT(ISNUMBER($H1980)),"N/A",IF($H1980&lt;TODAY(),"Overdue",IF($H1980&lt;=TODAY()+30,"Due within 1 Month",IF($H1980&lt;=TODAY()+60,"Due within 2 Months","OK"))))))</f>
        <v>No Data</v>
      </c>
      <c r="K1980" s="13"/>
    </row>
    <row r="1981" customFormat="false" ht="15" hidden="false" customHeight="false" outlineLevel="0" collapsed="false">
      <c r="A1981" s="9" t="str">
        <f aca="false">Vessels!B22</f>
        <v>Vessel 18</v>
      </c>
      <c r="B1981" s="9" t="s">
        <v>88</v>
      </c>
      <c r="C1981" s="7" t="s">
        <v>108</v>
      </c>
      <c r="D1981" s="9" t="s">
        <v>45</v>
      </c>
      <c r="E1981" s="9" t="s">
        <v>110</v>
      </c>
      <c r="F1981" s="5" t="n">
        <v>60</v>
      </c>
      <c r="G1981" s="10"/>
      <c r="H1981" s="11" t="str">
        <f aca="false">IFERROR(IF($D1981="Manual Review","",IF($G1981="","",IF($D1981="Direct Expiry",$G1981,EDATE($G1981,$F1981)))),"Check Date")</f>
        <v/>
      </c>
      <c r="I1981" s="12" t="str">
        <f aca="true">IF($H1981="","",IF(ISNUMBER($H1981),$H1981-TODAY(),""))</f>
        <v/>
      </c>
      <c r="J1981" s="4" t="str">
        <f aca="true">IF($D1981="Manual Review","Manual Review",IF($G1981="","No Data",IF(NOT(ISNUMBER($H1981)),"N/A",IF($H1981&lt;TODAY(),"Overdue",IF($H1981&lt;=TODAY()+30,"Due within 1 Month",IF($H1981&lt;=TODAY()+60,"Due within 2 Months","OK"))))))</f>
        <v>No Data</v>
      </c>
      <c r="K1981" s="13"/>
    </row>
    <row r="1982" customFormat="false" ht="15" hidden="false" customHeight="false" outlineLevel="0" collapsed="false">
      <c r="A1982" s="9" t="str">
        <f aca="false">Vessels!B22</f>
        <v>Vessel 18</v>
      </c>
      <c r="B1982" s="9" t="s">
        <v>88</v>
      </c>
      <c r="C1982" s="7" t="s">
        <v>111</v>
      </c>
      <c r="D1982" s="9" t="s">
        <v>45</v>
      </c>
      <c r="E1982" s="9" t="s">
        <v>44</v>
      </c>
      <c r="F1982" s="5" t="n">
        <v>12</v>
      </c>
      <c r="G1982" s="10"/>
      <c r="H1982" s="11" t="str">
        <f aca="false">IFERROR(IF($D1982="Manual Review","",IF($G1982="","",IF($D1982="Direct Expiry",$G1982,EDATE($G1982,$F1982)))),"Check Date")</f>
        <v/>
      </c>
      <c r="I1982" s="12" t="str">
        <f aca="true">IF($H1982="","",IF(ISNUMBER($H1982),$H1982-TODAY(),""))</f>
        <v/>
      </c>
      <c r="J1982" s="4" t="str">
        <f aca="true">IF($D1982="Manual Review","Manual Review",IF($G1982="","No Data",IF(NOT(ISNUMBER($H1982)),"N/A",IF($H1982&lt;TODAY(),"Overdue",IF($H1982&lt;=TODAY()+30,"Due within 1 Month",IF($H1982&lt;=TODAY()+60,"Due within 2 Months","OK"))))))</f>
        <v>No Data</v>
      </c>
      <c r="K1982" s="13"/>
    </row>
    <row r="1983" customFormat="false" ht="15" hidden="false" customHeight="false" outlineLevel="0" collapsed="false">
      <c r="A1983" s="9" t="str">
        <f aca="false">Vessels!B22</f>
        <v>Vessel 18</v>
      </c>
      <c r="B1983" s="9" t="s">
        <v>88</v>
      </c>
      <c r="C1983" s="7" t="s">
        <v>112</v>
      </c>
      <c r="D1983" s="9" t="s">
        <v>45</v>
      </c>
      <c r="E1983" s="9" t="s">
        <v>44</v>
      </c>
      <c r="F1983" s="5" t="n">
        <v>12</v>
      </c>
      <c r="G1983" s="10"/>
      <c r="H1983" s="11" t="str">
        <f aca="false">IFERROR(IF($D1983="Manual Review","",IF($G1983="","",IF($D1983="Direct Expiry",$G1983,EDATE($G1983,$F1983)))),"Check Date")</f>
        <v/>
      </c>
      <c r="I1983" s="12" t="str">
        <f aca="true">IF($H1983="","",IF(ISNUMBER($H1983),$H1983-TODAY(),""))</f>
        <v/>
      </c>
      <c r="J1983" s="4" t="str">
        <f aca="true">IF($D1983="Manual Review","Manual Review",IF($G1983="","No Data",IF(NOT(ISNUMBER($H1983)),"N/A",IF($H1983&lt;TODAY(),"Overdue",IF($H1983&lt;=TODAY()+30,"Due within 1 Month",IF($H1983&lt;=TODAY()+60,"Due within 2 Months","OK"))))))</f>
        <v>No Data</v>
      </c>
      <c r="K1983" s="13"/>
    </row>
    <row r="1984" customFormat="false" ht="15" hidden="false" customHeight="false" outlineLevel="0" collapsed="false">
      <c r="A1984" s="9" t="str">
        <f aca="false">Vessels!B22</f>
        <v>Vessel 18</v>
      </c>
      <c r="B1984" s="9" t="s">
        <v>88</v>
      </c>
      <c r="C1984" s="7" t="s">
        <v>113</v>
      </c>
      <c r="D1984" s="9" t="s">
        <v>115</v>
      </c>
      <c r="E1984" s="9" t="s">
        <v>114</v>
      </c>
      <c r="F1984" s="5"/>
      <c r="G1984" s="10"/>
      <c r="H1984" s="11" t="str">
        <f aca="false">IFERROR(IF($D1984="Manual Review","",IF($G1984="","",IF($D1984="Direct Expiry",$G1984,EDATE($G1984,$F1984)))),"Check Date")</f>
        <v/>
      </c>
      <c r="I1984" s="12" t="str">
        <f aca="true">IF($H1984="","",IF(ISNUMBER($H1984),$H1984-TODAY(),""))</f>
        <v/>
      </c>
      <c r="J1984" s="4" t="str">
        <f aca="true">IF($D1984="Manual Review","Manual Review",IF($G1984="","No Data",IF(NOT(ISNUMBER($H1984)),"N/A",IF($H1984&lt;TODAY(),"Overdue",IF($H1984&lt;=TODAY()+30,"Due within 1 Month",IF($H1984&lt;=TODAY()+60,"Due within 2 Months","OK"))))))</f>
        <v>Manual Review</v>
      </c>
      <c r="K1984" s="13"/>
    </row>
    <row r="1985" customFormat="false" ht="15" hidden="false" customHeight="false" outlineLevel="0" collapsed="false">
      <c r="A1985" s="9" t="str">
        <f aca="false">Vessels!B22</f>
        <v>Vessel 18</v>
      </c>
      <c r="B1985" s="9" t="s">
        <v>88</v>
      </c>
      <c r="C1985" s="7" t="s">
        <v>116</v>
      </c>
      <c r="D1985" s="9" t="s">
        <v>115</v>
      </c>
      <c r="E1985" s="9" t="s">
        <v>114</v>
      </c>
      <c r="F1985" s="5"/>
      <c r="G1985" s="10"/>
      <c r="H1985" s="11" t="str">
        <f aca="false">IFERROR(IF($D1985="Manual Review","",IF($G1985="","",IF($D1985="Direct Expiry",$G1985,EDATE($G1985,$F1985)))),"Check Date")</f>
        <v/>
      </c>
      <c r="I1985" s="12" t="str">
        <f aca="true">IF($H1985="","",IF(ISNUMBER($H1985),$H1985-TODAY(),""))</f>
        <v/>
      </c>
      <c r="J1985" s="4" t="str">
        <f aca="true">IF($D1985="Manual Review","Manual Review",IF($G1985="","No Data",IF(NOT(ISNUMBER($H1985)),"N/A",IF($H1985&lt;TODAY(),"Overdue",IF($H1985&lt;=TODAY()+30,"Due within 1 Month",IF($H1985&lt;=TODAY()+60,"Due within 2 Months","OK"))))))</f>
        <v>Manual Review</v>
      </c>
      <c r="K1985" s="13"/>
    </row>
    <row r="1986" customFormat="false" ht="15" hidden="false" customHeight="false" outlineLevel="0" collapsed="false">
      <c r="A1986" s="9" t="str">
        <f aca="false">Vessels!B22</f>
        <v>Vessel 18</v>
      </c>
      <c r="B1986" s="9" t="s">
        <v>117</v>
      </c>
      <c r="C1986" s="7" t="s">
        <v>118</v>
      </c>
      <c r="D1986" s="9" t="s">
        <v>59</v>
      </c>
      <c r="E1986" s="9" t="s">
        <v>119</v>
      </c>
      <c r="F1986" s="5"/>
      <c r="G1986" s="10"/>
      <c r="H1986" s="11" t="str">
        <f aca="false">IFERROR(IF($D1986="Manual Review","",IF($G1986="","",IF($D1986="Direct Expiry",$G1986,EDATE($G1986,$F1986)))),"Check Date")</f>
        <v/>
      </c>
      <c r="I1986" s="12" t="str">
        <f aca="true">IF($H1986="","",IF(ISNUMBER($H1986),$H1986-TODAY(),""))</f>
        <v/>
      </c>
      <c r="J1986" s="4" t="str">
        <f aca="true">IF($D1986="Manual Review","Manual Review",IF($G1986="","No Data",IF(NOT(ISNUMBER($H1986)),"N/A",IF($H1986&lt;TODAY(),"Overdue",IF($H1986&lt;=TODAY()+30,"Due within 1 Month",IF($H1986&lt;=TODAY()+60,"Due within 2 Months","OK"))))))</f>
        <v>No Data</v>
      </c>
      <c r="K1986" s="13"/>
    </row>
    <row r="1987" customFormat="false" ht="15" hidden="false" customHeight="false" outlineLevel="0" collapsed="false">
      <c r="A1987" s="9" t="str">
        <f aca="false">Vessels!B22</f>
        <v>Vessel 18</v>
      </c>
      <c r="B1987" s="9" t="s">
        <v>117</v>
      </c>
      <c r="C1987" s="7" t="s">
        <v>120</v>
      </c>
      <c r="D1987" s="9" t="s">
        <v>45</v>
      </c>
      <c r="E1987" s="9" t="s">
        <v>44</v>
      </c>
      <c r="F1987" s="5" t="n">
        <v>12</v>
      </c>
      <c r="G1987" s="10"/>
      <c r="H1987" s="11" t="str">
        <f aca="false">IFERROR(IF($D1987="Manual Review","",IF($G1987="","",IF($D1987="Direct Expiry",$G1987,EDATE($G1987,$F1987)))),"Check Date")</f>
        <v/>
      </c>
      <c r="I1987" s="12" t="str">
        <f aca="true">IF($H1987="","",IF(ISNUMBER($H1987),$H1987-TODAY(),""))</f>
        <v/>
      </c>
      <c r="J1987" s="4" t="str">
        <f aca="true">IF($D1987="Manual Review","Manual Review",IF($G1987="","No Data",IF(NOT(ISNUMBER($H1987)),"N/A",IF($H1987&lt;TODAY(),"Overdue",IF($H1987&lt;=TODAY()+30,"Due within 1 Month",IF($H1987&lt;=TODAY()+60,"Due within 2 Months","OK"))))))</f>
        <v>No Data</v>
      </c>
      <c r="K1987" s="13"/>
    </row>
    <row r="1988" customFormat="false" ht="15" hidden="false" customHeight="false" outlineLevel="0" collapsed="false">
      <c r="A1988" s="9" t="str">
        <f aca="false">Vessels!B22</f>
        <v>Vessel 18</v>
      </c>
      <c r="B1988" s="9" t="s">
        <v>117</v>
      </c>
      <c r="C1988" s="7" t="s">
        <v>121</v>
      </c>
      <c r="D1988" s="9" t="s">
        <v>45</v>
      </c>
      <c r="E1988" s="9" t="s">
        <v>44</v>
      </c>
      <c r="F1988" s="5" t="n">
        <v>12</v>
      </c>
      <c r="G1988" s="10"/>
      <c r="H1988" s="11" t="str">
        <f aca="false">IFERROR(IF($D1988="Manual Review","",IF($G1988="","",IF($D1988="Direct Expiry",$G1988,EDATE($G1988,$F1988)))),"Check Date")</f>
        <v/>
      </c>
      <c r="I1988" s="12" t="str">
        <f aca="true">IF($H1988="","",IF(ISNUMBER($H1988),$H1988-TODAY(),""))</f>
        <v/>
      </c>
      <c r="J1988" s="4" t="str">
        <f aca="true">IF($D1988="Manual Review","Manual Review",IF($G1988="","No Data",IF(NOT(ISNUMBER($H1988)),"N/A",IF($H1988&lt;TODAY(),"Overdue",IF($H1988&lt;=TODAY()+30,"Due within 1 Month",IF($H1988&lt;=TODAY()+60,"Due within 2 Months","OK"))))))</f>
        <v>No Data</v>
      </c>
      <c r="K1988" s="13"/>
    </row>
    <row r="1989" customFormat="false" ht="15" hidden="false" customHeight="false" outlineLevel="0" collapsed="false">
      <c r="A1989" s="9" t="str">
        <f aca="false">Vessels!B22</f>
        <v>Vessel 18</v>
      </c>
      <c r="B1989" s="9" t="s">
        <v>117</v>
      </c>
      <c r="C1989" s="7" t="s">
        <v>122</v>
      </c>
      <c r="D1989" s="9" t="s">
        <v>45</v>
      </c>
      <c r="E1989" s="9" t="s">
        <v>123</v>
      </c>
      <c r="F1989" s="5" t="n">
        <v>24</v>
      </c>
      <c r="G1989" s="10"/>
      <c r="H1989" s="11" t="str">
        <f aca="false">IFERROR(IF($D1989="Manual Review","",IF($G1989="","",IF($D1989="Direct Expiry",$G1989,EDATE($G1989,$F1989)))),"Check Date")</f>
        <v/>
      </c>
      <c r="I1989" s="12" t="str">
        <f aca="true">IF($H1989="","",IF(ISNUMBER($H1989),$H1989-TODAY(),""))</f>
        <v/>
      </c>
      <c r="J1989" s="4" t="str">
        <f aca="true">IF($D1989="Manual Review","Manual Review",IF($G1989="","No Data",IF(NOT(ISNUMBER($H1989)),"N/A",IF($H1989&lt;TODAY(),"Overdue",IF($H1989&lt;=TODAY()+30,"Due within 1 Month",IF($H1989&lt;=TODAY()+60,"Due within 2 Months","OK"))))))</f>
        <v>No Data</v>
      </c>
      <c r="K1989" s="13"/>
    </row>
    <row r="1990" customFormat="false" ht="15" hidden="false" customHeight="false" outlineLevel="0" collapsed="false">
      <c r="A1990" s="9" t="str">
        <f aca="false">Vessels!B22</f>
        <v>Vessel 18</v>
      </c>
      <c r="B1990" s="9" t="s">
        <v>117</v>
      </c>
      <c r="C1990" s="7" t="s">
        <v>124</v>
      </c>
      <c r="D1990" s="9" t="s">
        <v>59</v>
      </c>
      <c r="E1990" s="9" t="s">
        <v>58</v>
      </c>
      <c r="F1990" s="5"/>
      <c r="G1990" s="10"/>
      <c r="H1990" s="11" t="str">
        <f aca="false">IFERROR(IF($D1990="Manual Review","",IF($G1990="","",IF($D1990="Direct Expiry",$G1990,EDATE($G1990,$F1990)))),"Check Date")</f>
        <v/>
      </c>
      <c r="I1990" s="12" t="str">
        <f aca="true">IF($H1990="","",IF(ISNUMBER($H1990),$H1990-TODAY(),""))</f>
        <v/>
      </c>
      <c r="J1990" s="4" t="str">
        <f aca="true">IF($D1990="Manual Review","Manual Review",IF($G1990="","No Data",IF(NOT(ISNUMBER($H1990)),"N/A",IF($H1990&lt;TODAY(),"Overdue",IF($H1990&lt;=TODAY()+30,"Due within 1 Month",IF($H1990&lt;=TODAY()+60,"Due within 2 Months","OK"))))))</f>
        <v>No Data</v>
      </c>
      <c r="K1990" s="13"/>
    </row>
    <row r="1991" customFormat="false" ht="15" hidden="false" customHeight="false" outlineLevel="0" collapsed="false">
      <c r="A1991" s="9" t="str">
        <f aca="false">Vessels!B22</f>
        <v>Vessel 18</v>
      </c>
      <c r="B1991" s="9" t="s">
        <v>117</v>
      </c>
      <c r="C1991" s="7" t="s">
        <v>125</v>
      </c>
      <c r="D1991" s="9" t="s">
        <v>59</v>
      </c>
      <c r="E1991" s="9" t="s">
        <v>58</v>
      </c>
      <c r="F1991" s="5"/>
      <c r="G1991" s="10"/>
      <c r="H1991" s="11" t="str">
        <f aca="false">IFERROR(IF($D1991="Manual Review","",IF($G1991="","",IF($D1991="Direct Expiry",$G1991,EDATE($G1991,$F1991)))),"Check Date")</f>
        <v/>
      </c>
      <c r="I1991" s="12" t="str">
        <f aca="true">IF($H1991="","",IF(ISNUMBER($H1991),$H1991-TODAY(),""))</f>
        <v/>
      </c>
      <c r="J1991" s="4" t="str">
        <f aca="true">IF($D1991="Manual Review","Manual Review",IF($G1991="","No Data",IF(NOT(ISNUMBER($H1991)),"N/A",IF($H1991&lt;TODAY(),"Overdue",IF($H1991&lt;=TODAY()+30,"Due within 1 Month",IF($H1991&lt;=TODAY()+60,"Due within 2 Months","OK"))))))</f>
        <v>No Data</v>
      </c>
      <c r="K1991" s="13"/>
    </row>
    <row r="1992" customFormat="false" ht="15" hidden="false" customHeight="false" outlineLevel="0" collapsed="false">
      <c r="A1992" s="9" t="str">
        <f aca="false">Vessels!B22</f>
        <v>Vessel 18</v>
      </c>
      <c r="B1992" s="9" t="s">
        <v>117</v>
      </c>
      <c r="C1992" s="7" t="s">
        <v>126</v>
      </c>
      <c r="D1992" s="9" t="s">
        <v>45</v>
      </c>
      <c r="E1992" s="9" t="s">
        <v>44</v>
      </c>
      <c r="F1992" s="5" t="n">
        <v>12</v>
      </c>
      <c r="G1992" s="10"/>
      <c r="H1992" s="11" t="str">
        <f aca="false">IFERROR(IF($D1992="Manual Review","",IF($G1992="","",IF($D1992="Direct Expiry",$G1992,EDATE($G1992,$F1992)))),"Check Date")</f>
        <v/>
      </c>
      <c r="I1992" s="12" t="str">
        <f aca="true">IF($H1992="","",IF(ISNUMBER($H1992),$H1992-TODAY(),""))</f>
        <v/>
      </c>
      <c r="J1992" s="4" t="str">
        <f aca="true">IF($D1992="Manual Review","Manual Review",IF($G1992="","No Data",IF(NOT(ISNUMBER($H1992)),"N/A",IF($H1992&lt;TODAY(),"Overdue",IF($H1992&lt;=TODAY()+30,"Due within 1 Month",IF($H1992&lt;=TODAY()+60,"Due within 2 Months","OK"))))))</f>
        <v>No Data</v>
      </c>
      <c r="K1992" s="13"/>
    </row>
    <row r="1993" customFormat="false" ht="15" hidden="false" customHeight="false" outlineLevel="0" collapsed="false">
      <c r="A1993" s="9" t="str">
        <f aca="false">Vessels!B22</f>
        <v>Vessel 18</v>
      </c>
      <c r="B1993" s="9" t="s">
        <v>117</v>
      </c>
      <c r="C1993" s="7" t="s">
        <v>127</v>
      </c>
      <c r="D1993" s="9" t="s">
        <v>59</v>
      </c>
      <c r="E1993" s="9" t="s">
        <v>58</v>
      </c>
      <c r="F1993" s="5"/>
      <c r="G1993" s="10"/>
      <c r="H1993" s="11" t="str">
        <f aca="false">IFERROR(IF($D1993="Manual Review","",IF($G1993="","",IF($D1993="Direct Expiry",$G1993,EDATE($G1993,$F1993)))),"Check Date")</f>
        <v/>
      </c>
      <c r="I1993" s="12" t="str">
        <f aca="true">IF($H1993="","",IF(ISNUMBER($H1993),$H1993-TODAY(),""))</f>
        <v/>
      </c>
      <c r="J1993" s="4" t="str">
        <f aca="true">IF($D1993="Manual Review","Manual Review",IF($G1993="","No Data",IF(NOT(ISNUMBER($H1993)),"N/A",IF($H1993&lt;TODAY(),"Overdue",IF($H1993&lt;=TODAY()+30,"Due within 1 Month",IF($H1993&lt;=TODAY()+60,"Due within 2 Months","OK"))))))</f>
        <v>No Data</v>
      </c>
      <c r="K1993" s="13"/>
    </row>
    <row r="1994" customFormat="false" ht="15" hidden="false" customHeight="false" outlineLevel="0" collapsed="false">
      <c r="A1994" s="9" t="str">
        <f aca="false">Vessels!B22</f>
        <v>Vessel 18</v>
      </c>
      <c r="B1994" s="9" t="s">
        <v>117</v>
      </c>
      <c r="C1994" s="7" t="s">
        <v>128</v>
      </c>
      <c r="D1994" s="9" t="s">
        <v>59</v>
      </c>
      <c r="E1994" s="9" t="s">
        <v>58</v>
      </c>
      <c r="F1994" s="5"/>
      <c r="G1994" s="10"/>
      <c r="H1994" s="11" t="str">
        <f aca="false">IFERROR(IF($D1994="Manual Review","",IF($G1994="","",IF($D1994="Direct Expiry",$G1994,EDATE($G1994,$F1994)))),"Check Date")</f>
        <v/>
      </c>
      <c r="I1994" s="12" t="str">
        <f aca="true">IF($H1994="","",IF(ISNUMBER($H1994),$H1994-TODAY(),""))</f>
        <v/>
      </c>
      <c r="J1994" s="4" t="str">
        <f aca="true">IF($D1994="Manual Review","Manual Review",IF($G1994="","No Data",IF(NOT(ISNUMBER($H1994)),"N/A",IF($H1994&lt;TODAY(),"Overdue",IF($H1994&lt;=TODAY()+30,"Due within 1 Month",IF($H1994&lt;=TODAY()+60,"Due within 2 Months","OK"))))))</f>
        <v>No Data</v>
      </c>
      <c r="K1994" s="13"/>
    </row>
    <row r="1995" customFormat="false" ht="15" hidden="false" customHeight="false" outlineLevel="0" collapsed="false">
      <c r="A1995" s="9" t="str">
        <f aca="false">Vessels!B22</f>
        <v>Vessel 18</v>
      </c>
      <c r="B1995" s="9" t="s">
        <v>117</v>
      </c>
      <c r="C1995" s="7" t="s">
        <v>129</v>
      </c>
      <c r="D1995" s="9" t="s">
        <v>59</v>
      </c>
      <c r="E1995" s="9" t="s">
        <v>58</v>
      </c>
      <c r="F1995" s="5"/>
      <c r="G1995" s="10"/>
      <c r="H1995" s="11" t="str">
        <f aca="false">IFERROR(IF($D1995="Manual Review","",IF($G1995="","",IF($D1995="Direct Expiry",$G1995,EDATE($G1995,$F1995)))),"Check Date")</f>
        <v/>
      </c>
      <c r="I1995" s="12" t="str">
        <f aca="true">IF($H1995="","",IF(ISNUMBER($H1995),$H1995-TODAY(),""))</f>
        <v/>
      </c>
      <c r="J1995" s="4" t="str">
        <f aca="true">IF($D1995="Manual Review","Manual Review",IF($G1995="","No Data",IF(NOT(ISNUMBER($H1995)),"N/A",IF($H1995&lt;TODAY(),"Overdue",IF($H1995&lt;=TODAY()+30,"Due within 1 Month",IF($H1995&lt;=TODAY()+60,"Due within 2 Months","OK"))))))</f>
        <v>No Data</v>
      </c>
      <c r="K1995" s="13"/>
    </row>
    <row r="1996" customFormat="false" ht="15" hidden="false" customHeight="false" outlineLevel="0" collapsed="false">
      <c r="A1996" s="9" t="str">
        <f aca="false">Vessels!B22</f>
        <v>Vessel 18</v>
      </c>
      <c r="B1996" s="9" t="s">
        <v>117</v>
      </c>
      <c r="C1996" s="7" t="s">
        <v>130</v>
      </c>
      <c r="D1996" s="9" t="s">
        <v>45</v>
      </c>
      <c r="E1996" s="9" t="s">
        <v>44</v>
      </c>
      <c r="F1996" s="5" t="n">
        <v>12</v>
      </c>
      <c r="G1996" s="10"/>
      <c r="H1996" s="11" t="str">
        <f aca="false">IFERROR(IF($D1996="Manual Review","",IF($G1996="","",IF($D1996="Direct Expiry",$G1996,EDATE($G1996,$F1996)))),"Check Date")</f>
        <v/>
      </c>
      <c r="I1996" s="12" t="str">
        <f aca="true">IF($H1996="","",IF(ISNUMBER($H1996),$H1996-TODAY(),""))</f>
        <v/>
      </c>
      <c r="J1996" s="4" t="str">
        <f aca="true">IF($D1996="Manual Review","Manual Review",IF($G1996="","No Data",IF(NOT(ISNUMBER($H1996)),"N/A",IF($H1996&lt;TODAY(),"Overdue",IF($H1996&lt;=TODAY()+30,"Due within 1 Month",IF($H1996&lt;=TODAY()+60,"Due within 2 Months","OK"))))))</f>
        <v>No Data</v>
      </c>
      <c r="K1996" s="13"/>
    </row>
    <row r="1997" customFormat="false" ht="15" hidden="false" customHeight="false" outlineLevel="0" collapsed="false">
      <c r="A1997" s="9" t="str">
        <f aca="false">Vessels!B22</f>
        <v>Vessel 18</v>
      </c>
      <c r="B1997" s="9" t="s">
        <v>117</v>
      </c>
      <c r="C1997" s="7" t="s">
        <v>131</v>
      </c>
      <c r="D1997" s="9" t="s">
        <v>45</v>
      </c>
      <c r="E1997" s="9" t="s">
        <v>44</v>
      </c>
      <c r="F1997" s="5" t="n">
        <v>12</v>
      </c>
      <c r="G1997" s="10"/>
      <c r="H1997" s="11" t="str">
        <f aca="false">IFERROR(IF($D1997="Manual Review","",IF($G1997="","",IF($D1997="Direct Expiry",$G1997,EDATE($G1997,$F1997)))),"Check Date")</f>
        <v/>
      </c>
      <c r="I1997" s="12" t="str">
        <f aca="true">IF($H1997="","",IF(ISNUMBER($H1997),$H1997-TODAY(),""))</f>
        <v/>
      </c>
      <c r="J1997" s="4" t="str">
        <f aca="true">IF($D1997="Manual Review","Manual Review",IF($G1997="","No Data",IF(NOT(ISNUMBER($H1997)),"N/A",IF($H1997&lt;TODAY(),"Overdue",IF($H1997&lt;=TODAY()+30,"Due within 1 Month",IF($H1997&lt;=TODAY()+60,"Due within 2 Months","OK"))))))</f>
        <v>No Data</v>
      </c>
      <c r="K1997" s="13"/>
    </row>
    <row r="1998" customFormat="false" ht="15" hidden="false" customHeight="false" outlineLevel="0" collapsed="false">
      <c r="A1998" s="9" t="str">
        <f aca="false">Vessels!B22</f>
        <v>Vessel 18</v>
      </c>
      <c r="B1998" s="9" t="s">
        <v>117</v>
      </c>
      <c r="C1998" s="7" t="s">
        <v>132</v>
      </c>
      <c r="D1998" s="9" t="s">
        <v>45</v>
      </c>
      <c r="E1998" s="9" t="s">
        <v>44</v>
      </c>
      <c r="F1998" s="5" t="n">
        <v>12</v>
      </c>
      <c r="G1998" s="10"/>
      <c r="H1998" s="11" t="str">
        <f aca="false">IFERROR(IF($D1998="Manual Review","",IF($G1998="","",IF($D1998="Direct Expiry",$G1998,EDATE($G1998,$F1998)))),"Check Date")</f>
        <v/>
      </c>
      <c r="I1998" s="12" t="str">
        <f aca="true">IF($H1998="","",IF(ISNUMBER($H1998),$H1998-TODAY(),""))</f>
        <v/>
      </c>
      <c r="J1998" s="4" t="str">
        <f aca="true">IF($D1998="Manual Review","Manual Review",IF($G1998="","No Data",IF(NOT(ISNUMBER($H1998)),"N/A",IF($H1998&lt;TODAY(),"Overdue",IF($H1998&lt;=TODAY()+30,"Due within 1 Month",IF($H1998&lt;=TODAY()+60,"Due within 2 Months","OK"))))))</f>
        <v>No Data</v>
      </c>
      <c r="K1998" s="13"/>
    </row>
    <row r="1999" customFormat="false" ht="15" hidden="false" customHeight="false" outlineLevel="0" collapsed="false">
      <c r="A1999" s="9" t="str">
        <f aca="false">Vessels!B22</f>
        <v>Vessel 18</v>
      </c>
      <c r="B1999" s="9" t="s">
        <v>117</v>
      </c>
      <c r="C1999" s="7" t="s">
        <v>133</v>
      </c>
      <c r="D1999" s="9" t="s">
        <v>45</v>
      </c>
      <c r="E1999" s="9" t="s">
        <v>44</v>
      </c>
      <c r="F1999" s="5" t="n">
        <v>12</v>
      </c>
      <c r="G1999" s="10"/>
      <c r="H1999" s="11" t="str">
        <f aca="false">IFERROR(IF($D1999="Manual Review","",IF($G1999="","",IF($D1999="Direct Expiry",$G1999,EDATE($G1999,$F1999)))),"Check Date")</f>
        <v/>
      </c>
      <c r="I1999" s="12" t="str">
        <f aca="true">IF($H1999="","",IF(ISNUMBER($H1999),$H1999-TODAY(),""))</f>
        <v/>
      </c>
      <c r="J1999" s="4" t="str">
        <f aca="true">IF($D1999="Manual Review","Manual Review",IF($G1999="","No Data",IF(NOT(ISNUMBER($H1999)),"N/A",IF($H1999&lt;TODAY(),"Overdue",IF($H1999&lt;=TODAY()+30,"Due within 1 Month",IF($H1999&lt;=TODAY()+60,"Due within 2 Months","OK"))))))</f>
        <v>No Data</v>
      </c>
      <c r="K1999" s="13"/>
    </row>
    <row r="2000" customFormat="false" ht="15" hidden="false" customHeight="false" outlineLevel="0" collapsed="false">
      <c r="A2000" s="9" t="str">
        <f aca="false">Vessels!B22</f>
        <v>Vessel 18</v>
      </c>
      <c r="B2000" s="9" t="s">
        <v>117</v>
      </c>
      <c r="C2000" s="7" t="s">
        <v>134</v>
      </c>
      <c r="D2000" s="9" t="s">
        <v>45</v>
      </c>
      <c r="E2000" s="9" t="s">
        <v>44</v>
      </c>
      <c r="F2000" s="5" t="n">
        <v>12</v>
      </c>
      <c r="G2000" s="10"/>
      <c r="H2000" s="11" t="str">
        <f aca="false">IFERROR(IF($D2000="Manual Review","",IF($G2000="","",IF($D2000="Direct Expiry",$G2000,EDATE($G2000,$F2000)))),"Check Date")</f>
        <v/>
      </c>
      <c r="I2000" s="12" t="str">
        <f aca="true">IF($H2000="","",IF(ISNUMBER($H2000),$H2000-TODAY(),""))</f>
        <v/>
      </c>
      <c r="J2000" s="4" t="str">
        <f aca="true">IF($D2000="Manual Review","Manual Review",IF($G2000="","No Data",IF(NOT(ISNUMBER($H2000)),"N/A",IF($H2000&lt;TODAY(),"Overdue",IF($H2000&lt;=TODAY()+30,"Due within 1 Month",IF($H2000&lt;=TODAY()+60,"Due within 2 Months","OK"))))))</f>
        <v>No Data</v>
      </c>
      <c r="K2000" s="13"/>
    </row>
    <row r="2001" customFormat="false" ht="15" hidden="false" customHeight="false" outlineLevel="0" collapsed="false">
      <c r="A2001" s="9" t="str">
        <f aca="false">Vessels!B22</f>
        <v>Vessel 18</v>
      </c>
      <c r="B2001" s="9" t="s">
        <v>117</v>
      </c>
      <c r="C2001" s="7" t="s">
        <v>135</v>
      </c>
      <c r="D2001" s="9" t="s">
        <v>45</v>
      </c>
      <c r="E2001" s="9" t="s">
        <v>44</v>
      </c>
      <c r="F2001" s="5" t="n">
        <v>12</v>
      </c>
      <c r="G2001" s="10"/>
      <c r="H2001" s="11" t="str">
        <f aca="false">IFERROR(IF($D2001="Manual Review","",IF($G2001="","",IF($D2001="Direct Expiry",$G2001,EDATE($G2001,$F2001)))),"Check Date")</f>
        <v/>
      </c>
      <c r="I2001" s="12" t="str">
        <f aca="true">IF($H2001="","",IF(ISNUMBER($H2001),$H2001-TODAY(),""))</f>
        <v/>
      </c>
      <c r="J2001" s="4" t="str">
        <f aca="true">IF($D2001="Manual Review","Manual Review",IF($G2001="","No Data",IF(NOT(ISNUMBER($H2001)),"N/A",IF($H2001&lt;TODAY(),"Overdue",IF($H2001&lt;=TODAY()+30,"Due within 1 Month",IF($H2001&lt;=TODAY()+60,"Due within 2 Months","OK"))))))</f>
        <v>No Data</v>
      </c>
      <c r="K2001" s="13"/>
    </row>
    <row r="2002" customFormat="false" ht="15" hidden="false" customHeight="false" outlineLevel="0" collapsed="false">
      <c r="A2002" s="9" t="str">
        <f aca="false">Vessels!B22</f>
        <v>Vessel 18</v>
      </c>
      <c r="B2002" s="9" t="s">
        <v>136</v>
      </c>
      <c r="C2002" s="7" t="s">
        <v>137</v>
      </c>
      <c r="D2002" s="9" t="s">
        <v>45</v>
      </c>
      <c r="E2002" s="9" t="s">
        <v>44</v>
      </c>
      <c r="F2002" s="5" t="n">
        <v>12</v>
      </c>
      <c r="G2002" s="10"/>
      <c r="H2002" s="11" t="str">
        <f aca="false">IFERROR(IF($D2002="Manual Review","",IF($G2002="","",IF($D2002="Direct Expiry",$G2002,EDATE($G2002,$F2002)))),"Check Date")</f>
        <v/>
      </c>
      <c r="I2002" s="12" t="str">
        <f aca="true">IF($H2002="","",IF(ISNUMBER($H2002),$H2002-TODAY(),""))</f>
        <v/>
      </c>
      <c r="J2002" s="4" t="str">
        <f aca="true">IF($D2002="Manual Review","Manual Review",IF($G2002="","No Data",IF(NOT(ISNUMBER($H2002)),"N/A",IF($H2002&lt;TODAY(),"Overdue",IF($H2002&lt;=TODAY()+30,"Due within 1 Month",IF($H2002&lt;=TODAY()+60,"Due within 2 Months","OK"))))))</f>
        <v>No Data</v>
      </c>
      <c r="K2002" s="13"/>
    </row>
    <row r="2003" customFormat="false" ht="15" hidden="false" customHeight="false" outlineLevel="0" collapsed="false">
      <c r="A2003" s="9" t="str">
        <f aca="false">Vessels!B22</f>
        <v>Vessel 18</v>
      </c>
      <c r="B2003" s="9" t="s">
        <v>136</v>
      </c>
      <c r="C2003" s="7" t="s">
        <v>138</v>
      </c>
      <c r="D2003" s="9" t="s">
        <v>45</v>
      </c>
      <c r="E2003" s="9" t="s">
        <v>44</v>
      </c>
      <c r="F2003" s="5" t="n">
        <v>12</v>
      </c>
      <c r="G2003" s="10"/>
      <c r="H2003" s="11" t="str">
        <f aca="false">IFERROR(IF($D2003="Manual Review","",IF($G2003="","",IF($D2003="Direct Expiry",$G2003,EDATE($G2003,$F2003)))),"Check Date")</f>
        <v/>
      </c>
      <c r="I2003" s="12" t="str">
        <f aca="true">IF($H2003="","",IF(ISNUMBER($H2003),$H2003-TODAY(),""))</f>
        <v/>
      </c>
      <c r="J2003" s="4" t="str">
        <f aca="true">IF($D2003="Manual Review","Manual Review",IF($G2003="","No Data",IF(NOT(ISNUMBER($H2003)),"N/A",IF($H2003&lt;TODAY(),"Overdue",IF($H2003&lt;=TODAY()+30,"Due within 1 Month",IF($H2003&lt;=TODAY()+60,"Due within 2 Months","OK"))))))</f>
        <v>No Data</v>
      </c>
      <c r="K2003" s="13"/>
    </row>
    <row r="2004" customFormat="false" ht="15" hidden="false" customHeight="false" outlineLevel="0" collapsed="false">
      <c r="A2004" s="9" t="str">
        <f aca="false">Vessels!B22</f>
        <v>Vessel 18</v>
      </c>
      <c r="B2004" s="9" t="s">
        <v>136</v>
      </c>
      <c r="C2004" s="7" t="s">
        <v>139</v>
      </c>
      <c r="D2004" s="9" t="s">
        <v>45</v>
      </c>
      <c r="E2004" s="9" t="s">
        <v>140</v>
      </c>
      <c r="F2004" s="5" t="n">
        <v>12</v>
      </c>
      <c r="G2004" s="10"/>
      <c r="H2004" s="11" t="str">
        <f aca="false">IFERROR(IF($D2004="Manual Review","",IF($G2004="","",IF($D2004="Direct Expiry",$G2004,EDATE($G2004,$F2004)))),"Check Date")</f>
        <v/>
      </c>
      <c r="I2004" s="12" t="str">
        <f aca="true">IF($H2004="","",IF(ISNUMBER($H2004),$H2004-TODAY(),""))</f>
        <v/>
      </c>
      <c r="J2004" s="4" t="str">
        <f aca="true">IF($D2004="Manual Review","Manual Review",IF($G2004="","No Data",IF(NOT(ISNUMBER($H2004)),"N/A",IF($H2004&lt;TODAY(),"Overdue",IF($H2004&lt;=TODAY()+30,"Due within 1 Month",IF($H2004&lt;=TODAY()+60,"Due within 2 Months","OK"))))))</f>
        <v>No Data</v>
      </c>
      <c r="K2004" s="13"/>
    </row>
    <row r="2005" customFormat="false" ht="15" hidden="false" customHeight="false" outlineLevel="0" collapsed="false">
      <c r="A2005" s="9" t="str">
        <f aca="false">Vessels!B22</f>
        <v>Vessel 18</v>
      </c>
      <c r="B2005" s="9" t="s">
        <v>136</v>
      </c>
      <c r="C2005" s="7" t="s">
        <v>141</v>
      </c>
      <c r="D2005" s="9" t="s">
        <v>45</v>
      </c>
      <c r="E2005" s="9" t="s">
        <v>44</v>
      </c>
      <c r="F2005" s="5" t="n">
        <v>12</v>
      </c>
      <c r="G2005" s="10"/>
      <c r="H2005" s="11" t="str">
        <f aca="false">IFERROR(IF($D2005="Manual Review","",IF($G2005="","",IF($D2005="Direct Expiry",$G2005,EDATE($G2005,$F2005)))),"Check Date")</f>
        <v/>
      </c>
      <c r="I2005" s="12" t="str">
        <f aca="true">IF($H2005="","",IF(ISNUMBER($H2005),$H2005-TODAY(),""))</f>
        <v/>
      </c>
      <c r="J2005" s="4" t="str">
        <f aca="true">IF($D2005="Manual Review","Manual Review",IF($G2005="","No Data",IF(NOT(ISNUMBER($H2005)),"N/A",IF($H2005&lt;TODAY(),"Overdue",IF($H2005&lt;=TODAY()+30,"Due within 1 Month",IF($H2005&lt;=TODAY()+60,"Due within 2 Months","OK"))))))</f>
        <v>No Data</v>
      </c>
      <c r="K2005" s="13"/>
    </row>
    <row r="2006" customFormat="false" ht="15" hidden="false" customHeight="false" outlineLevel="0" collapsed="false">
      <c r="A2006" s="9" t="str">
        <f aca="false">Vessels!B22</f>
        <v>Vessel 18</v>
      </c>
      <c r="B2006" s="9" t="s">
        <v>136</v>
      </c>
      <c r="C2006" s="7" t="s">
        <v>142</v>
      </c>
      <c r="D2006" s="9" t="s">
        <v>115</v>
      </c>
      <c r="E2006" s="9" t="s">
        <v>143</v>
      </c>
      <c r="F2006" s="5"/>
      <c r="G2006" s="10"/>
      <c r="H2006" s="11" t="str">
        <f aca="false">IFERROR(IF($D2006="Manual Review","",IF($G2006="","",IF($D2006="Direct Expiry",$G2006,EDATE($G2006,$F2006)))),"Check Date")</f>
        <v/>
      </c>
      <c r="I2006" s="12" t="str">
        <f aca="true">IF($H2006="","",IF(ISNUMBER($H2006),$H2006-TODAY(),""))</f>
        <v/>
      </c>
      <c r="J2006" s="4" t="str">
        <f aca="true">IF($D2006="Manual Review","Manual Review",IF($G2006="","No Data",IF(NOT(ISNUMBER($H2006)),"N/A",IF($H2006&lt;TODAY(),"Overdue",IF($H2006&lt;=TODAY()+30,"Due within 1 Month",IF($H2006&lt;=TODAY()+60,"Due within 2 Months","OK"))))))</f>
        <v>Manual Review</v>
      </c>
      <c r="K2006" s="13"/>
    </row>
    <row r="2007" customFormat="false" ht="15" hidden="false" customHeight="false" outlineLevel="0" collapsed="false">
      <c r="A2007" s="9" t="str">
        <f aca="false">Vessels!B22</f>
        <v>Vessel 18</v>
      </c>
      <c r="B2007" s="9" t="s">
        <v>136</v>
      </c>
      <c r="C2007" s="7" t="s">
        <v>144</v>
      </c>
      <c r="D2007" s="9" t="s">
        <v>45</v>
      </c>
      <c r="E2007" s="9" t="s">
        <v>44</v>
      </c>
      <c r="F2007" s="5" t="n">
        <v>12</v>
      </c>
      <c r="G2007" s="10"/>
      <c r="H2007" s="11" t="str">
        <f aca="false">IFERROR(IF($D2007="Manual Review","",IF($G2007="","",IF($D2007="Direct Expiry",$G2007,EDATE($G2007,$F2007)))),"Check Date")</f>
        <v/>
      </c>
      <c r="I2007" s="12" t="str">
        <f aca="true">IF($H2007="","",IF(ISNUMBER($H2007),$H2007-TODAY(),""))</f>
        <v/>
      </c>
      <c r="J2007" s="4" t="str">
        <f aca="true">IF($D2007="Manual Review","Manual Review",IF($G2007="","No Data",IF(NOT(ISNUMBER($H2007)),"N/A",IF($H2007&lt;TODAY(),"Overdue",IF($H2007&lt;=TODAY()+30,"Due within 1 Month",IF($H2007&lt;=TODAY()+60,"Due within 2 Months","OK"))))))</f>
        <v>No Data</v>
      </c>
      <c r="K2007" s="13"/>
    </row>
    <row r="2008" customFormat="false" ht="15" hidden="false" customHeight="false" outlineLevel="0" collapsed="false">
      <c r="A2008" s="9" t="str">
        <f aca="false">Vessels!B22</f>
        <v>Vessel 18</v>
      </c>
      <c r="B2008" s="9" t="s">
        <v>136</v>
      </c>
      <c r="C2008" s="7" t="s">
        <v>145</v>
      </c>
      <c r="D2008" s="9" t="s">
        <v>45</v>
      </c>
      <c r="E2008" s="9" t="s">
        <v>44</v>
      </c>
      <c r="F2008" s="5" t="n">
        <v>12</v>
      </c>
      <c r="G2008" s="10"/>
      <c r="H2008" s="11" t="str">
        <f aca="false">IFERROR(IF($D2008="Manual Review","",IF($G2008="","",IF($D2008="Direct Expiry",$G2008,EDATE($G2008,$F2008)))),"Check Date")</f>
        <v/>
      </c>
      <c r="I2008" s="12" t="str">
        <f aca="true">IF($H2008="","",IF(ISNUMBER($H2008),$H2008-TODAY(),""))</f>
        <v/>
      </c>
      <c r="J2008" s="4" t="str">
        <f aca="true">IF($D2008="Manual Review","Manual Review",IF($G2008="","No Data",IF(NOT(ISNUMBER($H2008)),"N/A",IF($H2008&lt;TODAY(),"Overdue",IF($H2008&lt;=TODAY()+30,"Due within 1 Month",IF($H2008&lt;=TODAY()+60,"Due within 2 Months","OK"))))))</f>
        <v>No Data</v>
      </c>
      <c r="K2008" s="13"/>
    </row>
    <row r="2009" customFormat="false" ht="15" hidden="false" customHeight="false" outlineLevel="0" collapsed="false">
      <c r="A2009" s="9" t="str">
        <f aca="false">Vessels!B22</f>
        <v>Vessel 18</v>
      </c>
      <c r="B2009" s="9" t="s">
        <v>136</v>
      </c>
      <c r="C2009" s="7" t="s">
        <v>146</v>
      </c>
      <c r="D2009" s="9" t="s">
        <v>45</v>
      </c>
      <c r="E2009" s="9" t="s">
        <v>44</v>
      </c>
      <c r="F2009" s="5" t="n">
        <v>12</v>
      </c>
      <c r="G2009" s="10"/>
      <c r="H2009" s="11" t="str">
        <f aca="false">IFERROR(IF($D2009="Manual Review","",IF($G2009="","",IF($D2009="Direct Expiry",$G2009,EDATE($G2009,$F2009)))),"Check Date")</f>
        <v/>
      </c>
      <c r="I2009" s="12" t="str">
        <f aca="true">IF($H2009="","",IF(ISNUMBER($H2009),$H2009-TODAY(),""))</f>
        <v/>
      </c>
      <c r="J2009" s="4" t="str">
        <f aca="true">IF($D2009="Manual Review","Manual Review",IF($G2009="","No Data",IF(NOT(ISNUMBER($H2009)),"N/A",IF($H2009&lt;TODAY(),"Overdue",IF($H2009&lt;=TODAY()+30,"Due within 1 Month",IF($H2009&lt;=TODAY()+60,"Due within 2 Months","OK"))))))</f>
        <v>No Data</v>
      </c>
      <c r="K2009" s="13"/>
    </row>
    <row r="2010" customFormat="false" ht="15" hidden="false" customHeight="false" outlineLevel="0" collapsed="false">
      <c r="A2010" s="9" t="str">
        <f aca="false">Vessels!B22</f>
        <v>Vessel 18</v>
      </c>
      <c r="B2010" s="9" t="s">
        <v>136</v>
      </c>
      <c r="C2010" s="7" t="s">
        <v>147</v>
      </c>
      <c r="D2010" s="9" t="s">
        <v>45</v>
      </c>
      <c r="E2010" s="9" t="s">
        <v>44</v>
      </c>
      <c r="F2010" s="5" t="n">
        <v>12</v>
      </c>
      <c r="G2010" s="10"/>
      <c r="H2010" s="11" t="str">
        <f aca="false">IFERROR(IF($D2010="Manual Review","",IF($G2010="","",IF($D2010="Direct Expiry",$G2010,EDATE($G2010,$F2010)))),"Check Date")</f>
        <v/>
      </c>
      <c r="I2010" s="12" t="str">
        <f aca="true">IF($H2010="","",IF(ISNUMBER($H2010),$H2010-TODAY(),""))</f>
        <v/>
      </c>
      <c r="J2010" s="4" t="str">
        <f aca="true">IF($D2010="Manual Review","Manual Review",IF($G2010="","No Data",IF(NOT(ISNUMBER($H2010)),"N/A",IF($H2010&lt;TODAY(),"Overdue",IF($H2010&lt;=TODAY()+30,"Due within 1 Month",IF($H2010&lt;=TODAY()+60,"Due within 2 Months","OK"))))))</f>
        <v>No Data</v>
      </c>
      <c r="K2010" s="13"/>
    </row>
    <row r="2011" customFormat="false" ht="15" hidden="false" customHeight="false" outlineLevel="0" collapsed="false">
      <c r="A2011" s="9" t="str">
        <f aca="false">Vessels!B22</f>
        <v>Vessel 18</v>
      </c>
      <c r="B2011" s="9" t="s">
        <v>136</v>
      </c>
      <c r="C2011" s="7" t="s">
        <v>148</v>
      </c>
      <c r="D2011" s="9" t="s">
        <v>45</v>
      </c>
      <c r="E2011" s="9" t="s">
        <v>44</v>
      </c>
      <c r="F2011" s="5" t="n">
        <v>12</v>
      </c>
      <c r="G2011" s="10"/>
      <c r="H2011" s="11" t="str">
        <f aca="false">IFERROR(IF($D2011="Manual Review","",IF($G2011="","",IF($D2011="Direct Expiry",$G2011,EDATE($G2011,$F2011)))),"Check Date")</f>
        <v/>
      </c>
      <c r="I2011" s="12" t="str">
        <f aca="true">IF($H2011="","",IF(ISNUMBER($H2011),$H2011-TODAY(),""))</f>
        <v/>
      </c>
      <c r="J2011" s="4" t="str">
        <f aca="true">IF($D2011="Manual Review","Manual Review",IF($G2011="","No Data",IF(NOT(ISNUMBER($H2011)),"N/A",IF($H2011&lt;TODAY(),"Overdue",IF($H2011&lt;=TODAY()+30,"Due within 1 Month",IF($H2011&lt;=TODAY()+60,"Due within 2 Months","OK"))))))</f>
        <v>No Data</v>
      </c>
      <c r="K2011" s="13"/>
    </row>
    <row r="2012" customFormat="false" ht="15" hidden="false" customHeight="false" outlineLevel="0" collapsed="false">
      <c r="A2012" s="9" t="str">
        <f aca="false">Vessels!B22</f>
        <v>Vessel 18</v>
      </c>
      <c r="B2012" s="9" t="s">
        <v>136</v>
      </c>
      <c r="C2012" s="7" t="s">
        <v>149</v>
      </c>
      <c r="D2012" s="9" t="s">
        <v>45</v>
      </c>
      <c r="E2012" s="9" t="s">
        <v>44</v>
      </c>
      <c r="F2012" s="5" t="n">
        <v>12</v>
      </c>
      <c r="G2012" s="10"/>
      <c r="H2012" s="11" t="str">
        <f aca="false">IFERROR(IF($D2012="Manual Review","",IF($G2012="","",IF($D2012="Direct Expiry",$G2012,EDATE($G2012,$F2012)))),"Check Date")</f>
        <v/>
      </c>
      <c r="I2012" s="12" t="str">
        <f aca="true">IF($H2012="","",IF(ISNUMBER($H2012),$H2012-TODAY(),""))</f>
        <v/>
      </c>
      <c r="J2012" s="4" t="str">
        <f aca="true">IF($D2012="Manual Review","Manual Review",IF($G2012="","No Data",IF(NOT(ISNUMBER($H2012)),"N/A",IF($H2012&lt;TODAY(),"Overdue",IF($H2012&lt;=TODAY()+30,"Due within 1 Month",IF($H2012&lt;=TODAY()+60,"Due within 2 Months","OK"))))))</f>
        <v>No Data</v>
      </c>
      <c r="K2012" s="13"/>
    </row>
    <row r="2013" customFormat="false" ht="15" hidden="false" customHeight="false" outlineLevel="0" collapsed="false">
      <c r="A2013" s="9" t="str">
        <f aca="false">Vessels!B22</f>
        <v>Vessel 18</v>
      </c>
      <c r="B2013" s="9" t="s">
        <v>136</v>
      </c>
      <c r="C2013" s="7" t="s">
        <v>150</v>
      </c>
      <c r="D2013" s="9" t="s">
        <v>45</v>
      </c>
      <c r="E2013" s="9" t="s">
        <v>44</v>
      </c>
      <c r="F2013" s="5" t="n">
        <v>12</v>
      </c>
      <c r="G2013" s="10"/>
      <c r="H2013" s="11" t="str">
        <f aca="false">IFERROR(IF($D2013="Manual Review","",IF($G2013="","",IF($D2013="Direct Expiry",$G2013,EDATE($G2013,$F2013)))),"Check Date")</f>
        <v/>
      </c>
      <c r="I2013" s="12" t="str">
        <f aca="true">IF($H2013="","",IF(ISNUMBER($H2013),$H2013-TODAY(),""))</f>
        <v/>
      </c>
      <c r="J2013" s="4" t="str">
        <f aca="true">IF($D2013="Manual Review","Manual Review",IF($G2013="","No Data",IF(NOT(ISNUMBER($H2013)),"N/A",IF($H2013&lt;TODAY(),"Overdue",IF($H2013&lt;=TODAY()+30,"Due within 1 Month",IF($H2013&lt;=TODAY()+60,"Due within 2 Months","OK"))))))</f>
        <v>No Data</v>
      </c>
      <c r="K2013" s="13"/>
    </row>
    <row r="2014" customFormat="false" ht="15" hidden="false" customHeight="false" outlineLevel="0" collapsed="false">
      <c r="A2014" s="9" t="str">
        <f aca="false">Vessels!B22</f>
        <v>Vessel 18</v>
      </c>
      <c r="B2014" s="9" t="s">
        <v>136</v>
      </c>
      <c r="C2014" s="7" t="s">
        <v>151</v>
      </c>
      <c r="D2014" s="9" t="s">
        <v>45</v>
      </c>
      <c r="E2014" s="9" t="s">
        <v>44</v>
      </c>
      <c r="F2014" s="5" t="n">
        <v>12</v>
      </c>
      <c r="G2014" s="10"/>
      <c r="H2014" s="11" t="str">
        <f aca="false">IFERROR(IF($D2014="Manual Review","",IF($G2014="","",IF($D2014="Direct Expiry",$G2014,EDATE($G2014,$F2014)))),"Check Date")</f>
        <v/>
      </c>
      <c r="I2014" s="12" t="str">
        <f aca="true">IF($H2014="","",IF(ISNUMBER($H2014),$H2014-TODAY(),""))</f>
        <v/>
      </c>
      <c r="J2014" s="4" t="str">
        <f aca="true">IF($D2014="Manual Review","Manual Review",IF($G2014="","No Data",IF(NOT(ISNUMBER($H2014)),"N/A",IF($H2014&lt;TODAY(),"Overdue",IF($H2014&lt;=TODAY()+30,"Due within 1 Month",IF($H2014&lt;=TODAY()+60,"Due within 2 Months","OK"))))))</f>
        <v>No Data</v>
      </c>
      <c r="K2014" s="13"/>
    </row>
    <row r="2015" customFormat="false" ht="15" hidden="false" customHeight="false" outlineLevel="0" collapsed="false">
      <c r="A2015" s="9" t="str">
        <f aca="false">Vessels!B22</f>
        <v>Vessel 18</v>
      </c>
      <c r="B2015" s="9" t="s">
        <v>136</v>
      </c>
      <c r="C2015" s="7" t="s">
        <v>152</v>
      </c>
      <c r="D2015" s="9" t="s">
        <v>45</v>
      </c>
      <c r="E2015" s="9" t="s">
        <v>44</v>
      </c>
      <c r="F2015" s="5" t="n">
        <v>12</v>
      </c>
      <c r="G2015" s="10"/>
      <c r="H2015" s="11" t="str">
        <f aca="false">IFERROR(IF($D2015="Manual Review","",IF($G2015="","",IF($D2015="Direct Expiry",$G2015,EDATE($G2015,$F2015)))),"Check Date")</f>
        <v/>
      </c>
      <c r="I2015" s="12" t="str">
        <f aca="true">IF($H2015="","",IF(ISNUMBER($H2015),$H2015-TODAY(),""))</f>
        <v/>
      </c>
      <c r="J2015" s="4" t="str">
        <f aca="true">IF($D2015="Manual Review","Manual Review",IF($G2015="","No Data",IF(NOT(ISNUMBER($H2015)),"N/A",IF($H2015&lt;TODAY(),"Overdue",IF($H2015&lt;=TODAY()+30,"Due within 1 Month",IF($H2015&lt;=TODAY()+60,"Due within 2 Months","OK"))))))</f>
        <v>No Data</v>
      </c>
      <c r="K2015" s="13"/>
    </row>
    <row r="2016" customFormat="false" ht="15" hidden="false" customHeight="false" outlineLevel="0" collapsed="false">
      <c r="A2016" s="9" t="str">
        <f aca="false">Vessels!B22</f>
        <v>Vessel 18</v>
      </c>
      <c r="B2016" s="9" t="s">
        <v>136</v>
      </c>
      <c r="C2016" s="7" t="s">
        <v>153</v>
      </c>
      <c r="D2016" s="9" t="s">
        <v>45</v>
      </c>
      <c r="E2016" s="9" t="s">
        <v>44</v>
      </c>
      <c r="F2016" s="5" t="n">
        <v>12</v>
      </c>
      <c r="G2016" s="10"/>
      <c r="H2016" s="11" t="str">
        <f aca="false">IFERROR(IF($D2016="Manual Review","",IF($G2016="","",IF($D2016="Direct Expiry",$G2016,EDATE($G2016,$F2016)))),"Check Date")</f>
        <v/>
      </c>
      <c r="I2016" s="12" t="str">
        <f aca="true">IF($H2016="","",IF(ISNUMBER($H2016),$H2016-TODAY(),""))</f>
        <v/>
      </c>
      <c r="J2016" s="4" t="str">
        <f aca="true">IF($D2016="Manual Review","Manual Review",IF($G2016="","No Data",IF(NOT(ISNUMBER($H2016)),"N/A",IF($H2016&lt;TODAY(),"Overdue",IF($H2016&lt;=TODAY()+30,"Due within 1 Month",IF($H2016&lt;=TODAY()+60,"Due within 2 Months","OK"))))))</f>
        <v>No Data</v>
      </c>
      <c r="K2016" s="13"/>
    </row>
    <row r="2017" customFormat="false" ht="15" hidden="false" customHeight="false" outlineLevel="0" collapsed="false">
      <c r="A2017" s="9" t="str">
        <f aca="false">Vessels!B22</f>
        <v>Vessel 18</v>
      </c>
      <c r="B2017" s="9" t="s">
        <v>136</v>
      </c>
      <c r="C2017" s="7" t="s">
        <v>154</v>
      </c>
      <c r="D2017" s="9" t="s">
        <v>45</v>
      </c>
      <c r="E2017" s="9" t="s">
        <v>44</v>
      </c>
      <c r="F2017" s="5" t="n">
        <v>12</v>
      </c>
      <c r="G2017" s="10"/>
      <c r="H2017" s="11" t="str">
        <f aca="false">IFERROR(IF($D2017="Manual Review","",IF($G2017="","",IF($D2017="Direct Expiry",$G2017,EDATE($G2017,$F2017)))),"Check Date")</f>
        <v/>
      </c>
      <c r="I2017" s="12" t="str">
        <f aca="true">IF($H2017="","",IF(ISNUMBER($H2017),$H2017-TODAY(),""))</f>
        <v/>
      </c>
      <c r="J2017" s="4" t="str">
        <f aca="true">IF($D2017="Manual Review","Manual Review",IF($G2017="","No Data",IF(NOT(ISNUMBER($H2017)),"N/A",IF($H2017&lt;TODAY(),"Overdue",IF($H2017&lt;=TODAY()+30,"Due within 1 Month",IF($H2017&lt;=TODAY()+60,"Due within 2 Months","OK"))))))</f>
        <v>No Data</v>
      </c>
      <c r="K2017" s="13"/>
    </row>
    <row r="2018" customFormat="false" ht="15" hidden="false" customHeight="false" outlineLevel="0" collapsed="false">
      <c r="A2018" s="9" t="str">
        <f aca="false">Vessels!B22</f>
        <v>Vessel 18</v>
      </c>
      <c r="B2018" s="9" t="s">
        <v>136</v>
      </c>
      <c r="C2018" s="7" t="s">
        <v>155</v>
      </c>
      <c r="D2018" s="9" t="s">
        <v>45</v>
      </c>
      <c r="E2018" s="9" t="s">
        <v>44</v>
      </c>
      <c r="F2018" s="5" t="n">
        <v>12</v>
      </c>
      <c r="G2018" s="10"/>
      <c r="H2018" s="11" t="str">
        <f aca="false">IFERROR(IF($D2018="Manual Review","",IF($G2018="","",IF($D2018="Direct Expiry",$G2018,EDATE($G2018,$F2018)))),"Check Date")</f>
        <v/>
      </c>
      <c r="I2018" s="12" t="str">
        <f aca="true">IF($H2018="","",IF(ISNUMBER($H2018),$H2018-TODAY(),""))</f>
        <v/>
      </c>
      <c r="J2018" s="4" t="str">
        <f aca="true">IF($D2018="Manual Review","Manual Review",IF($G2018="","No Data",IF(NOT(ISNUMBER($H2018)),"N/A",IF($H2018&lt;TODAY(),"Overdue",IF($H2018&lt;=TODAY()+30,"Due within 1 Month",IF($H2018&lt;=TODAY()+60,"Due within 2 Months","OK"))))))</f>
        <v>No Data</v>
      </c>
      <c r="K2018" s="13"/>
    </row>
    <row r="2019" customFormat="false" ht="15" hidden="false" customHeight="false" outlineLevel="0" collapsed="false">
      <c r="A2019" s="9" t="str">
        <f aca="false">Vessels!B22</f>
        <v>Vessel 18</v>
      </c>
      <c r="B2019" s="9" t="s">
        <v>136</v>
      </c>
      <c r="C2019" s="7" t="s">
        <v>156</v>
      </c>
      <c r="D2019" s="9" t="s">
        <v>45</v>
      </c>
      <c r="E2019" s="9" t="s">
        <v>44</v>
      </c>
      <c r="F2019" s="5" t="n">
        <v>12</v>
      </c>
      <c r="G2019" s="10"/>
      <c r="H2019" s="11" t="str">
        <f aca="false">IFERROR(IF($D2019="Manual Review","",IF($G2019="","",IF($D2019="Direct Expiry",$G2019,EDATE($G2019,$F2019)))),"Check Date")</f>
        <v/>
      </c>
      <c r="I2019" s="12" t="str">
        <f aca="true">IF($H2019="","",IF(ISNUMBER($H2019),$H2019-TODAY(),""))</f>
        <v/>
      </c>
      <c r="J2019" s="4" t="str">
        <f aca="true">IF($D2019="Manual Review","Manual Review",IF($G2019="","No Data",IF(NOT(ISNUMBER($H2019)),"N/A",IF($H2019&lt;TODAY(),"Overdue",IF($H2019&lt;=TODAY()+30,"Due within 1 Month",IF($H2019&lt;=TODAY()+60,"Due within 2 Months","OK"))))))</f>
        <v>No Data</v>
      </c>
      <c r="K2019" s="13"/>
    </row>
    <row r="2020" customFormat="false" ht="15" hidden="false" customHeight="false" outlineLevel="0" collapsed="false">
      <c r="A2020" s="9" t="str">
        <f aca="false">Vessels!B22</f>
        <v>Vessel 18</v>
      </c>
      <c r="B2020" s="9" t="s">
        <v>136</v>
      </c>
      <c r="C2020" s="7" t="s">
        <v>157</v>
      </c>
      <c r="D2020" s="9" t="s">
        <v>45</v>
      </c>
      <c r="E2020" s="9" t="s">
        <v>44</v>
      </c>
      <c r="F2020" s="5" t="n">
        <v>12</v>
      </c>
      <c r="G2020" s="10"/>
      <c r="H2020" s="11" t="str">
        <f aca="false">IFERROR(IF($D2020="Manual Review","",IF($G2020="","",IF($D2020="Direct Expiry",$G2020,EDATE($G2020,$F2020)))),"Check Date")</f>
        <v/>
      </c>
      <c r="I2020" s="12" t="str">
        <f aca="true">IF($H2020="","",IF(ISNUMBER($H2020),$H2020-TODAY(),""))</f>
        <v/>
      </c>
      <c r="J2020" s="4" t="str">
        <f aca="true">IF($D2020="Manual Review","Manual Review",IF($G2020="","No Data",IF(NOT(ISNUMBER($H2020)),"N/A",IF($H2020&lt;TODAY(),"Overdue",IF($H2020&lt;=TODAY()+30,"Due within 1 Month",IF($H2020&lt;=TODAY()+60,"Due within 2 Months","OK"))))))</f>
        <v>No Data</v>
      </c>
      <c r="K2020" s="13"/>
    </row>
    <row r="2021" customFormat="false" ht="15" hidden="false" customHeight="false" outlineLevel="0" collapsed="false">
      <c r="A2021" s="9" t="str">
        <f aca="false">Vessels!B23</f>
        <v>Vessel 19</v>
      </c>
      <c r="B2021" s="9" t="s">
        <v>42</v>
      </c>
      <c r="C2021" s="7" t="s">
        <v>43</v>
      </c>
      <c r="D2021" s="9" t="s">
        <v>45</v>
      </c>
      <c r="E2021" s="9" t="s">
        <v>44</v>
      </c>
      <c r="F2021" s="5" t="n">
        <v>12</v>
      </c>
      <c r="G2021" s="10"/>
      <c r="H2021" s="11" t="str">
        <f aca="false">IFERROR(IF($D2021="Manual Review","",IF($G2021="","",IF($D2021="Direct Expiry",$G2021,EDATE($G2021,$F2021)))),"Check Date")</f>
        <v/>
      </c>
      <c r="I2021" s="12" t="str">
        <f aca="true">IF($H2021="","",IF(ISNUMBER($H2021),$H2021-TODAY(),""))</f>
        <v/>
      </c>
      <c r="J2021" s="4" t="str">
        <f aca="true">IF($D2021="Manual Review","Manual Review",IF($G2021="","No Data",IF(NOT(ISNUMBER($H2021)),"N/A",IF($H2021&lt;TODAY(),"Overdue",IF($H2021&lt;=TODAY()+30,"Due within 1 Month",IF($H2021&lt;=TODAY()+60,"Due within 2 Months","OK"))))))</f>
        <v>No Data</v>
      </c>
      <c r="K2021" s="13"/>
    </row>
    <row r="2022" customFormat="false" ht="15" hidden="false" customHeight="false" outlineLevel="0" collapsed="false">
      <c r="A2022" s="9" t="str">
        <f aca="false">Vessels!B23</f>
        <v>Vessel 19</v>
      </c>
      <c r="B2022" s="9" t="s">
        <v>42</v>
      </c>
      <c r="C2022" s="7" t="s">
        <v>43</v>
      </c>
      <c r="D2022" s="9" t="s">
        <v>45</v>
      </c>
      <c r="E2022" s="9" t="s">
        <v>46</v>
      </c>
      <c r="F2022" s="5" t="n">
        <v>60</v>
      </c>
      <c r="G2022" s="10"/>
      <c r="H2022" s="11" t="str">
        <f aca="false">IFERROR(IF($D2022="Manual Review","",IF($G2022="","",IF($D2022="Direct Expiry",$G2022,EDATE($G2022,$F2022)))),"Check Date")</f>
        <v/>
      </c>
      <c r="I2022" s="12" t="str">
        <f aca="true">IF($H2022="","",IF(ISNUMBER($H2022),$H2022-TODAY(),""))</f>
        <v/>
      </c>
      <c r="J2022" s="4" t="str">
        <f aca="true">IF($D2022="Manual Review","Manual Review",IF($G2022="","No Data",IF(NOT(ISNUMBER($H2022)),"N/A",IF($H2022&lt;TODAY(),"Overdue",IF($H2022&lt;=TODAY()+30,"Due within 1 Month",IF($H2022&lt;=TODAY()+60,"Due within 2 Months","OK"))))))</f>
        <v>No Data</v>
      </c>
      <c r="K2022" s="13"/>
    </row>
    <row r="2023" customFormat="false" ht="15" hidden="false" customHeight="false" outlineLevel="0" collapsed="false">
      <c r="A2023" s="9" t="str">
        <f aca="false">Vessels!B23</f>
        <v>Vessel 19</v>
      </c>
      <c r="B2023" s="9" t="s">
        <v>42</v>
      </c>
      <c r="C2023" s="7" t="s">
        <v>47</v>
      </c>
      <c r="D2023" s="9" t="s">
        <v>45</v>
      </c>
      <c r="E2023" s="9" t="s">
        <v>44</v>
      </c>
      <c r="F2023" s="5" t="n">
        <v>12</v>
      </c>
      <c r="G2023" s="10"/>
      <c r="H2023" s="11" t="str">
        <f aca="false">IFERROR(IF($D2023="Manual Review","",IF($G2023="","",IF($D2023="Direct Expiry",$G2023,EDATE($G2023,$F2023)))),"Check Date")</f>
        <v/>
      </c>
      <c r="I2023" s="12" t="str">
        <f aca="true">IF($H2023="","",IF(ISNUMBER($H2023),$H2023-TODAY(),""))</f>
        <v/>
      </c>
      <c r="J2023" s="4" t="str">
        <f aca="true">IF($D2023="Manual Review","Manual Review",IF($G2023="","No Data",IF(NOT(ISNUMBER($H2023)),"N/A",IF($H2023&lt;TODAY(),"Overdue",IF($H2023&lt;=TODAY()+30,"Due within 1 Month",IF($H2023&lt;=TODAY()+60,"Due within 2 Months","OK"))))))</f>
        <v>No Data</v>
      </c>
      <c r="K2023" s="13"/>
    </row>
    <row r="2024" customFormat="false" ht="15" hidden="false" customHeight="false" outlineLevel="0" collapsed="false">
      <c r="A2024" s="9" t="str">
        <f aca="false">Vessels!B23</f>
        <v>Vessel 19</v>
      </c>
      <c r="B2024" s="9" t="s">
        <v>42</v>
      </c>
      <c r="C2024" s="7" t="s">
        <v>47</v>
      </c>
      <c r="D2024" s="9" t="s">
        <v>45</v>
      </c>
      <c r="E2024" s="9" t="s">
        <v>46</v>
      </c>
      <c r="F2024" s="5" t="n">
        <v>60</v>
      </c>
      <c r="G2024" s="10"/>
      <c r="H2024" s="11" t="str">
        <f aca="false">IFERROR(IF($D2024="Manual Review","",IF($G2024="","",IF($D2024="Direct Expiry",$G2024,EDATE($G2024,$F2024)))),"Check Date")</f>
        <v/>
      </c>
      <c r="I2024" s="12" t="str">
        <f aca="true">IF($H2024="","",IF(ISNUMBER($H2024),$H2024-TODAY(),""))</f>
        <v/>
      </c>
      <c r="J2024" s="4" t="str">
        <f aca="true">IF($D2024="Manual Review","Manual Review",IF($G2024="","No Data",IF(NOT(ISNUMBER($H2024)),"N/A",IF($H2024&lt;TODAY(),"Overdue",IF($H2024&lt;=TODAY()+30,"Due within 1 Month",IF($H2024&lt;=TODAY()+60,"Due within 2 Months","OK"))))))</f>
        <v>No Data</v>
      </c>
      <c r="K2024" s="13"/>
    </row>
    <row r="2025" customFormat="false" ht="15" hidden="false" customHeight="false" outlineLevel="0" collapsed="false">
      <c r="A2025" s="9" t="str">
        <f aca="false">Vessels!B23</f>
        <v>Vessel 19</v>
      </c>
      <c r="B2025" s="9" t="s">
        <v>42</v>
      </c>
      <c r="C2025" s="7" t="s">
        <v>48</v>
      </c>
      <c r="D2025" s="9" t="s">
        <v>45</v>
      </c>
      <c r="E2025" s="9" t="s">
        <v>44</v>
      </c>
      <c r="F2025" s="5" t="n">
        <v>12</v>
      </c>
      <c r="G2025" s="10"/>
      <c r="H2025" s="11" t="str">
        <f aca="false">IFERROR(IF($D2025="Manual Review","",IF($G2025="","",IF($D2025="Direct Expiry",$G2025,EDATE($G2025,$F2025)))),"Check Date")</f>
        <v/>
      </c>
      <c r="I2025" s="12" t="str">
        <f aca="true">IF($H2025="","",IF(ISNUMBER($H2025),$H2025-TODAY(),""))</f>
        <v/>
      </c>
      <c r="J2025" s="4" t="str">
        <f aca="true">IF($D2025="Manual Review","Manual Review",IF($G2025="","No Data",IF(NOT(ISNUMBER($H2025)),"N/A",IF($H2025&lt;TODAY(),"Overdue",IF($H2025&lt;=TODAY()+30,"Due within 1 Month",IF($H2025&lt;=TODAY()+60,"Due within 2 Months","OK"))))))</f>
        <v>No Data</v>
      </c>
      <c r="K2025" s="13"/>
    </row>
    <row r="2026" customFormat="false" ht="15" hidden="false" customHeight="false" outlineLevel="0" collapsed="false">
      <c r="A2026" s="9" t="str">
        <f aca="false">Vessels!B23</f>
        <v>Vessel 19</v>
      </c>
      <c r="B2026" s="9" t="s">
        <v>42</v>
      </c>
      <c r="C2026" s="7" t="s">
        <v>48</v>
      </c>
      <c r="D2026" s="9" t="s">
        <v>45</v>
      </c>
      <c r="E2026" s="9" t="s">
        <v>49</v>
      </c>
      <c r="F2026" s="5" t="n">
        <v>60</v>
      </c>
      <c r="G2026" s="10"/>
      <c r="H2026" s="11" t="str">
        <f aca="false">IFERROR(IF($D2026="Manual Review","",IF($G2026="","",IF($D2026="Direct Expiry",$G2026,EDATE($G2026,$F2026)))),"Check Date")</f>
        <v/>
      </c>
      <c r="I2026" s="12" t="str">
        <f aca="true">IF($H2026="","",IF(ISNUMBER($H2026),$H2026-TODAY(),""))</f>
        <v/>
      </c>
      <c r="J2026" s="4" t="str">
        <f aca="true">IF($D2026="Manual Review","Manual Review",IF($G2026="","No Data",IF(NOT(ISNUMBER($H2026)),"N/A",IF($H2026&lt;TODAY(),"Overdue",IF($H2026&lt;=TODAY()+30,"Due within 1 Month",IF($H2026&lt;=TODAY()+60,"Due within 2 Months","OK"))))))</f>
        <v>No Data</v>
      </c>
      <c r="K2026" s="13"/>
    </row>
    <row r="2027" customFormat="false" ht="15" hidden="false" customHeight="false" outlineLevel="0" collapsed="false">
      <c r="A2027" s="9" t="str">
        <f aca="false">Vessels!B23</f>
        <v>Vessel 19</v>
      </c>
      <c r="B2027" s="9" t="s">
        <v>42</v>
      </c>
      <c r="C2027" s="7" t="s">
        <v>50</v>
      </c>
      <c r="D2027" s="9" t="s">
        <v>45</v>
      </c>
      <c r="E2027" s="9" t="s">
        <v>44</v>
      </c>
      <c r="F2027" s="5" t="n">
        <v>12</v>
      </c>
      <c r="G2027" s="10"/>
      <c r="H2027" s="11" t="str">
        <f aca="false">IFERROR(IF($D2027="Manual Review","",IF($G2027="","",IF($D2027="Direct Expiry",$G2027,EDATE($G2027,$F2027)))),"Check Date")</f>
        <v/>
      </c>
      <c r="I2027" s="12" t="str">
        <f aca="true">IF($H2027="","",IF(ISNUMBER($H2027),$H2027-TODAY(),""))</f>
        <v/>
      </c>
      <c r="J2027" s="4" t="str">
        <f aca="true">IF($D2027="Manual Review","Manual Review",IF($G2027="","No Data",IF(NOT(ISNUMBER($H2027)),"N/A",IF($H2027&lt;TODAY(),"Overdue",IF($H2027&lt;=TODAY()+30,"Due within 1 Month",IF($H2027&lt;=TODAY()+60,"Due within 2 Months","OK"))))))</f>
        <v>No Data</v>
      </c>
      <c r="K2027" s="13"/>
    </row>
    <row r="2028" customFormat="false" ht="15" hidden="false" customHeight="false" outlineLevel="0" collapsed="false">
      <c r="A2028" s="9" t="str">
        <f aca="false">Vessels!B23</f>
        <v>Vessel 19</v>
      </c>
      <c r="B2028" s="9" t="s">
        <v>42</v>
      </c>
      <c r="C2028" s="7" t="s">
        <v>50</v>
      </c>
      <c r="D2028" s="9" t="s">
        <v>45</v>
      </c>
      <c r="E2028" s="9" t="s">
        <v>49</v>
      </c>
      <c r="F2028" s="5" t="n">
        <v>60</v>
      </c>
      <c r="G2028" s="10"/>
      <c r="H2028" s="11" t="str">
        <f aca="false">IFERROR(IF($D2028="Manual Review","",IF($G2028="","",IF($D2028="Direct Expiry",$G2028,EDATE($G2028,$F2028)))),"Check Date")</f>
        <v/>
      </c>
      <c r="I2028" s="12" t="str">
        <f aca="true">IF($H2028="","",IF(ISNUMBER($H2028),$H2028-TODAY(),""))</f>
        <v/>
      </c>
      <c r="J2028" s="4" t="str">
        <f aca="true">IF($D2028="Manual Review","Manual Review",IF($G2028="","No Data",IF(NOT(ISNUMBER($H2028)),"N/A",IF($H2028&lt;TODAY(),"Overdue",IF($H2028&lt;=TODAY()+30,"Due within 1 Month",IF($H2028&lt;=TODAY()+60,"Due within 2 Months","OK"))))))</f>
        <v>No Data</v>
      </c>
      <c r="K2028" s="13"/>
    </row>
    <row r="2029" customFormat="false" ht="15" hidden="false" customHeight="false" outlineLevel="0" collapsed="false">
      <c r="A2029" s="9" t="str">
        <f aca="false">Vessels!B23</f>
        <v>Vessel 19</v>
      </c>
      <c r="B2029" s="9" t="s">
        <v>42</v>
      </c>
      <c r="C2029" s="7" t="s">
        <v>51</v>
      </c>
      <c r="D2029" s="9" t="s">
        <v>45</v>
      </c>
      <c r="E2029" s="9" t="s">
        <v>46</v>
      </c>
      <c r="F2029" s="5" t="n">
        <v>60</v>
      </c>
      <c r="G2029" s="10"/>
      <c r="H2029" s="11" t="str">
        <f aca="false">IFERROR(IF($D2029="Manual Review","",IF($G2029="","",IF($D2029="Direct Expiry",$G2029,EDATE($G2029,$F2029)))),"Check Date")</f>
        <v/>
      </c>
      <c r="I2029" s="12" t="str">
        <f aca="true">IF($H2029="","",IF(ISNUMBER($H2029),$H2029-TODAY(),""))</f>
        <v/>
      </c>
      <c r="J2029" s="4" t="str">
        <f aca="true">IF($D2029="Manual Review","Manual Review",IF($G2029="","No Data",IF(NOT(ISNUMBER($H2029)),"N/A",IF($H2029&lt;TODAY(),"Overdue",IF($H2029&lt;=TODAY()+30,"Due within 1 Month",IF($H2029&lt;=TODAY()+60,"Due within 2 Months","OK"))))))</f>
        <v>No Data</v>
      </c>
      <c r="K2029" s="13"/>
    </row>
    <row r="2030" customFormat="false" ht="15" hidden="false" customHeight="false" outlineLevel="0" collapsed="false">
      <c r="A2030" s="9" t="str">
        <f aca="false">Vessels!B23</f>
        <v>Vessel 19</v>
      </c>
      <c r="B2030" s="9" t="s">
        <v>42</v>
      </c>
      <c r="C2030" s="7" t="s">
        <v>52</v>
      </c>
      <c r="D2030" s="9" t="s">
        <v>45</v>
      </c>
      <c r="E2030" s="9" t="s">
        <v>46</v>
      </c>
      <c r="F2030" s="5" t="n">
        <v>60</v>
      </c>
      <c r="G2030" s="10"/>
      <c r="H2030" s="11" t="str">
        <f aca="false">IFERROR(IF($D2030="Manual Review","",IF($G2030="","",IF($D2030="Direct Expiry",$G2030,EDATE($G2030,$F2030)))),"Check Date")</f>
        <v/>
      </c>
      <c r="I2030" s="12" t="str">
        <f aca="true">IF($H2030="","",IF(ISNUMBER($H2030),$H2030-TODAY(),""))</f>
        <v/>
      </c>
      <c r="J2030" s="4" t="str">
        <f aca="true">IF($D2030="Manual Review","Manual Review",IF($G2030="","No Data",IF(NOT(ISNUMBER($H2030)),"N/A",IF($H2030&lt;TODAY(),"Overdue",IF($H2030&lt;=TODAY()+30,"Due within 1 Month",IF($H2030&lt;=TODAY()+60,"Due within 2 Months","OK"))))))</f>
        <v>No Data</v>
      </c>
      <c r="K2030" s="13"/>
    </row>
    <row r="2031" customFormat="false" ht="15" hidden="false" customHeight="false" outlineLevel="0" collapsed="false">
      <c r="A2031" s="9" t="str">
        <f aca="false">Vessels!B23</f>
        <v>Vessel 19</v>
      </c>
      <c r="B2031" s="9" t="s">
        <v>42</v>
      </c>
      <c r="C2031" s="7" t="s">
        <v>53</v>
      </c>
      <c r="D2031" s="9" t="s">
        <v>45</v>
      </c>
      <c r="E2031" s="9" t="s">
        <v>46</v>
      </c>
      <c r="F2031" s="5" t="n">
        <v>60</v>
      </c>
      <c r="G2031" s="10"/>
      <c r="H2031" s="11" t="str">
        <f aca="false">IFERROR(IF($D2031="Manual Review","",IF($G2031="","",IF($D2031="Direct Expiry",$G2031,EDATE($G2031,$F2031)))),"Check Date")</f>
        <v/>
      </c>
      <c r="I2031" s="12" t="str">
        <f aca="true">IF($H2031="","",IF(ISNUMBER($H2031),$H2031-TODAY(),""))</f>
        <v/>
      </c>
      <c r="J2031" s="4" t="str">
        <f aca="true">IF($D2031="Manual Review","Manual Review",IF($G2031="","No Data",IF(NOT(ISNUMBER($H2031)),"N/A",IF($H2031&lt;TODAY(),"Overdue",IF($H2031&lt;=TODAY()+30,"Due within 1 Month",IF($H2031&lt;=TODAY()+60,"Due within 2 Months","OK"))))))</f>
        <v>No Data</v>
      </c>
      <c r="K2031" s="13"/>
    </row>
    <row r="2032" customFormat="false" ht="15" hidden="false" customHeight="false" outlineLevel="0" collapsed="false">
      <c r="A2032" s="9" t="str">
        <f aca="false">Vessels!B23</f>
        <v>Vessel 19</v>
      </c>
      <c r="B2032" s="9" t="s">
        <v>42</v>
      </c>
      <c r="C2032" s="7" t="s">
        <v>54</v>
      </c>
      <c r="D2032" s="9" t="s">
        <v>45</v>
      </c>
      <c r="E2032" s="9" t="s">
        <v>46</v>
      </c>
      <c r="F2032" s="5" t="n">
        <v>60</v>
      </c>
      <c r="G2032" s="10"/>
      <c r="H2032" s="11" t="str">
        <f aca="false">IFERROR(IF($D2032="Manual Review","",IF($G2032="","",IF($D2032="Direct Expiry",$G2032,EDATE($G2032,$F2032)))),"Check Date")</f>
        <v/>
      </c>
      <c r="I2032" s="12" t="str">
        <f aca="true">IF($H2032="","",IF(ISNUMBER($H2032),$H2032-TODAY(),""))</f>
        <v/>
      </c>
      <c r="J2032" s="4" t="str">
        <f aca="true">IF($D2032="Manual Review","Manual Review",IF($G2032="","No Data",IF(NOT(ISNUMBER($H2032)),"N/A",IF($H2032&lt;TODAY(),"Overdue",IF($H2032&lt;=TODAY()+30,"Due within 1 Month",IF($H2032&lt;=TODAY()+60,"Due within 2 Months","OK"))))))</f>
        <v>No Data</v>
      </c>
      <c r="K2032" s="13"/>
    </row>
    <row r="2033" customFormat="false" ht="15" hidden="false" customHeight="false" outlineLevel="0" collapsed="false">
      <c r="A2033" s="9" t="str">
        <f aca="false">Vessels!B23</f>
        <v>Vessel 19</v>
      </c>
      <c r="B2033" s="9" t="s">
        <v>42</v>
      </c>
      <c r="C2033" s="7" t="s">
        <v>55</v>
      </c>
      <c r="D2033" s="9" t="s">
        <v>45</v>
      </c>
      <c r="E2033" s="9" t="s">
        <v>46</v>
      </c>
      <c r="F2033" s="5" t="n">
        <v>60</v>
      </c>
      <c r="G2033" s="10"/>
      <c r="H2033" s="11" t="str">
        <f aca="false">IFERROR(IF($D2033="Manual Review","",IF($G2033="","",IF($D2033="Direct Expiry",$G2033,EDATE($G2033,$F2033)))),"Check Date")</f>
        <v/>
      </c>
      <c r="I2033" s="12" t="str">
        <f aca="true">IF($H2033="","",IF(ISNUMBER($H2033),$H2033-TODAY(),""))</f>
        <v/>
      </c>
      <c r="J2033" s="4" t="str">
        <f aca="true">IF($D2033="Manual Review","Manual Review",IF($G2033="","No Data",IF(NOT(ISNUMBER($H2033)),"N/A",IF($H2033&lt;TODAY(),"Overdue",IF($H2033&lt;=TODAY()+30,"Due within 1 Month",IF($H2033&lt;=TODAY()+60,"Due within 2 Months","OK"))))))</f>
        <v>No Data</v>
      </c>
      <c r="K2033" s="13"/>
    </row>
    <row r="2034" customFormat="false" ht="15" hidden="false" customHeight="false" outlineLevel="0" collapsed="false">
      <c r="A2034" s="9" t="str">
        <f aca="false">Vessels!B23</f>
        <v>Vessel 19</v>
      </c>
      <c r="B2034" s="9" t="s">
        <v>42</v>
      </c>
      <c r="C2034" s="7" t="s">
        <v>56</v>
      </c>
      <c r="D2034" s="9" t="s">
        <v>45</v>
      </c>
      <c r="E2034" s="9" t="s">
        <v>46</v>
      </c>
      <c r="F2034" s="5" t="n">
        <v>60</v>
      </c>
      <c r="G2034" s="10"/>
      <c r="H2034" s="11" t="str">
        <f aca="false">IFERROR(IF($D2034="Manual Review","",IF($G2034="","",IF($D2034="Direct Expiry",$G2034,EDATE($G2034,$F2034)))),"Check Date")</f>
        <v/>
      </c>
      <c r="I2034" s="12" t="str">
        <f aca="true">IF($H2034="","",IF(ISNUMBER($H2034),$H2034-TODAY(),""))</f>
        <v/>
      </c>
      <c r="J2034" s="4" t="str">
        <f aca="true">IF($D2034="Manual Review","Manual Review",IF($G2034="","No Data",IF(NOT(ISNUMBER($H2034)),"N/A",IF($H2034&lt;TODAY(),"Overdue",IF($H2034&lt;=TODAY()+30,"Due within 1 Month",IF($H2034&lt;=TODAY()+60,"Due within 2 Months","OK"))))))</f>
        <v>No Data</v>
      </c>
      <c r="K2034" s="13"/>
    </row>
    <row r="2035" customFormat="false" ht="15" hidden="false" customHeight="false" outlineLevel="0" collapsed="false">
      <c r="A2035" s="9" t="str">
        <f aca="false">Vessels!B23</f>
        <v>Vessel 19</v>
      </c>
      <c r="B2035" s="9" t="s">
        <v>42</v>
      </c>
      <c r="C2035" s="7" t="s">
        <v>57</v>
      </c>
      <c r="D2035" s="9" t="s">
        <v>59</v>
      </c>
      <c r="E2035" s="9" t="s">
        <v>58</v>
      </c>
      <c r="F2035" s="5"/>
      <c r="G2035" s="10"/>
      <c r="H2035" s="11" t="str">
        <f aca="false">IFERROR(IF($D2035="Manual Review","",IF($G2035="","",IF($D2035="Direct Expiry",$G2035,EDATE($G2035,$F2035)))),"Check Date")</f>
        <v/>
      </c>
      <c r="I2035" s="12" t="str">
        <f aca="true">IF($H2035="","",IF(ISNUMBER($H2035),$H2035-TODAY(),""))</f>
        <v/>
      </c>
      <c r="J2035" s="4" t="str">
        <f aca="true">IF($D2035="Manual Review","Manual Review",IF($G2035="","No Data",IF(NOT(ISNUMBER($H2035)),"N/A",IF($H2035&lt;TODAY(),"Overdue",IF($H2035&lt;=TODAY()+30,"Due within 1 Month",IF($H2035&lt;=TODAY()+60,"Due within 2 Months","OK"))))))</f>
        <v>No Data</v>
      </c>
      <c r="K2035" s="13"/>
    </row>
    <row r="2036" customFormat="false" ht="15" hidden="false" customHeight="false" outlineLevel="0" collapsed="false">
      <c r="A2036" s="9" t="str">
        <f aca="false">Vessels!B23</f>
        <v>Vessel 19</v>
      </c>
      <c r="B2036" s="9" t="s">
        <v>42</v>
      </c>
      <c r="C2036" s="7" t="s">
        <v>60</v>
      </c>
      <c r="D2036" s="9" t="s">
        <v>45</v>
      </c>
      <c r="E2036" s="9" t="s">
        <v>44</v>
      </c>
      <c r="F2036" s="5" t="n">
        <v>12</v>
      </c>
      <c r="G2036" s="10"/>
      <c r="H2036" s="11" t="str">
        <f aca="false">IFERROR(IF($D2036="Manual Review","",IF($G2036="","",IF($D2036="Direct Expiry",$G2036,EDATE($G2036,$F2036)))),"Check Date")</f>
        <v/>
      </c>
      <c r="I2036" s="12" t="str">
        <f aca="true">IF($H2036="","",IF(ISNUMBER($H2036),$H2036-TODAY(),""))</f>
        <v/>
      </c>
      <c r="J2036" s="4" t="str">
        <f aca="true">IF($D2036="Manual Review","Manual Review",IF($G2036="","No Data",IF(NOT(ISNUMBER($H2036)),"N/A",IF($H2036&lt;TODAY(),"Overdue",IF($H2036&lt;=TODAY()+30,"Due within 1 Month",IF($H2036&lt;=TODAY()+60,"Due within 2 Months","OK"))))))</f>
        <v>No Data</v>
      </c>
      <c r="K2036" s="13"/>
    </row>
    <row r="2037" customFormat="false" ht="15" hidden="false" customHeight="false" outlineLevel="0" collapsed="false">
      <c r="A2037" s="9" t="str">
        <f aca="false">Vessels!B23</f>
        <v>Vessel 19</v>
      </c>
      <c r="B2037" s="9" t="s">
        <v>42</v>
      </c>
      <c r="C2037" s="7" t="s">
        <v>60</v>
      </c>
      <c r="D2037" s="9" t="s">
        <v>45</v>
      </c>
      <c r="E2037" s="9" t="s">
        <v>46</v>
      </c>
      <c r="F2037" s="5" t="n">
        <v>60</v>
      </c>
      <c r="G2037" s="10"/>
      <c r="H2037" s="11" t="str">
        <f aca="false">IFERROR(IF($D2037="Manual Review","",IF($G2037="","",IF($D2037="Direct Expiry",$G2037,EDATE($G2037,$F2037)))),"Check Date")</f>
        <v/>
      </c>
      <c r="I2037" s="12" t="str">
        <f aca="true">IF($H2037="","",IF(ISNUMBER($H2037),$H2037-TODAY(),""))</f>
        <v/>
      </c>
      <c r="J2037" s="4" t="str">
        <f aca="true">IF($D2037="Manual Review","Manual Review",IF($G2037="","No Data",IF(NOT(ISNUMBER($H2037)),"N/A",IF($H2037&lt;TODAY(),"Overdue",IF($H2037&lt;=TODAY()+30,"Due within 1 Month",IF($H2037&lt;=TODAY()+60,"Due within 2 Months","OK"))))))</f>
        <v>No Data</v>
      </c>
      <c r="K2037" s="13"/>
    </row>
    <row r="2038" customFormat="false" ht="15" hidden="false" customHeight="false" outlineLevel="0" collapsed="false">
      <c r="A2038" s="9" t="str">
        <f aca="false">Vessels!B23</f>
        <v>Vessel 19</v>
      </c>
      <c r="B2038" s="9" t="s">
        <v>42</v>
      </c>
      <c r="C2038" s="7" t="s">
        <v>61</v>
      </c>
      <c r="D2038" s="9" t="s">
        <v>45</v>
      </c>
      <c r="E2038" s="9" t="s">
        <v>44</v>
      </c>
      <c r="F2038" s="5" t="n">
        <v>12</v>
      </c>
      <c r="G2038" s="10"/>
      <c r="H2038" s="11" t="str">
        <f aca="false">IFERROR(IF($D2038="Manual Review","",IF($G2038="","",IF($D2038="Direct Expiry",$G2038,EDATE($G2038,$F2038)))),"Check Date")</f>
        <v/>
      </c>
      <c r="I2038" s="12" t="str">
        <f aca="true">IF($H2038="","",IF(ISNUMBER($H2038),$H2038-TODAY(),""))</f>
        <v/>
      </c>
      <c r="J2038" s="4" t="str">
        <f aca="true">IF($D2038="Manual Review","Manual Review",IF($G2038="","No Data",IF(NOT(ISNUMBER($H2038)),"N/A",IF($H2038&lt;TODAY(),"Overdue",IF($H2038&lt;=TODAY()+30,"Due within 1 Month",IF($H2038&lt;=TODAY()+60,"Due within 2 Months","OK"))))))</f>
        <v>No Data</v>
      </c>
      <c r="K2038" s="13"/>
    </row>
    <row r="2039" customFormat="false" ht="15" hidden="false" customHeight="false" outlineLevel="0" collapsed="false">
      <c r="A2039" s="9" t="str">
        <f aca="false">Vessels!B23</f>
        <v>Vessel 19</v>
      </c>
      <c r="B2039" s="9" t="s">
        <v>42</v>
      </c>
      <c r="C2039" s="7" t="s">
        <v>61</v>
      </c>
      <c r="D2039" s="9" t="s">
        <v>45</v>
      </c>
      <c r="E2039" s="9" t="s">
        <v>46</v>
      </c>
      <c r="F2039" s="5" t="n">
        <v>60</v>
      </c>
      <c r="G2039" s="10"/>
      <c r="H2039" s="11" t="str">
        <f aca="false">IFERROR(IF($D2039="Manual Review","",IF($G2039="","",IF($D2039="Direct Expiry",$G2039,EDATE($G2039,$F2039)))),"Check Date")</f>
        <v/>
      </c>
      <c r="I2039" s="12" t="str">
        <f aca="true">IF($H2039="","",IF(ISNUMBER($H2039),$H2039-TODAY(),""))</f>
        <v/>
      </c>
      <c r="J2039" s="4" t="str">
        <f aca="true">IF($D2039="Manual Review","Manual Review",IF($G2039="","No Data",IF(NOT(ISNUMBER($H2039)),"N/A",IF($H2039&lt;TODAY(),"Overdue",IF($H2039&lt;=TODAY()+30,"Due within 1 Month",IF($H2039&lt;=TODAY()+60,"Due within 2 Months","OK"))))))</f>
        <v>No Data</v>
      </c>
      <c r="K2039" s="13"/>
    </row>
    <row r="2040" customFormat="false" ht="15" hidden="false" customHeight="false" outlineLevel="0" collapsed="false">
      <c r="A2040" s="9" t="str">
        <f aca="false">Vessels!B23</f>
        <v>Vessel 19</v>
      </c>
      <c r="B2040" s="9" t="s">
        <v>42</v>
      </c>
      <c r="C2040" s="7" t="s">
        <v>62</v>
      </c>
      <c r="D2040" s="9" t="s">
        <v>45</v>
      </c>
      <c r="E2040" s="9" t="s">
        <v>44</v>
      </c>
      <c r="F2040" s="5" t="n">
        <v>12</v>
      </c>
      <c r="G2040" s="10"/>
      <c r="H2040" s="11" t="str">
        <f aca="false">IFERROR(IF($D2040="Manual Review","",IF($G2040="","",IF($D2040="Direct Expiry",$G2040,EDATE($G2040,$F2040)))),"Check Date")</f>
        <v/>
      </c>
      <c r="I2040" s="12" t="str">
        <f aca="true">IF($H2040="","",IF(ISNUMBER($H2040),$H2040-TODAY(),""))</f>
        <v/>
      </c>
      <c r="J2040" s="4" t="str">
        <f aca="true">IF($D2040="Manual Review","Manual Review",IF($G2040="","No Data",IF(NOT(ISNUMBER($H2040)),"N/A",IF($H2040&lt;TODAY(),"Overdue",IF($H2040&lt;=TODAY()+30,"Due within 1 Month",IF($H2040&lt;=TODAY()+60,"Due within 2 Months","OK"))))))</f>
        <v>No Data</v>
      </c>
      <c r="K2040" s="13"/>
    </row>
    <row r="2041" customFormat="false" ht="15" hidden="false" customHeight="false" outlineLevel="0" collapsed="false">
      <c r="A2041" s="9" t="str">
        <f aca="false">Vessels!B23</f>
        <v>Vessel 19</v>
      </c>
      <c r="B2041" s="9" t="s">
        <v>42</v>
      </c>
      <c r="C2041" s="7" t="s">
        <v>62</v>
      </c>
      <c r="D2041" s="9" t="s">
        <v>45</v>
      </c>
      <c r="E2041" s="9" t="s">
        <v>49</v>
      </c>
      <c r="F2041" s="5" t="n">
        <v>60</v>
      </c>
      <c r="G2041" s="10"/>
      <c r="H2041" s="11" t="str">
        <f aca="false">IFERROR(IF($D2041="Manual Review","",IF($G2041="","",IF($D2041="Direct Expiry",$G2041,EDATE($G2041,$F2041)))),"Check Date")</f>
        <v/>
      </c>
      <c r="I2041" s="12" t="str">
        <f aca="true">IF($H2041="","",IF(ISNUMBER($H2041),$H2041-TODAY(),""))</f>
        <v/>
      </c>
      <c r="J2041" s="4" t="str">
        <f aca="true">IF($D2041="Manual Review","Manual Review",IF($G2041="","No Data",IF(NOT(ISNUMBER($H2041)),"N/A",IF($H2041&lt;TODAY(),"Overdue",IF($H2041&lt;=TODAY()+30,"Due within 1 Month",IF($H2041&lt;=TODAY()+60,"Due within 2 Months","OK"))))))</f>
        <v>No Data</v>
      </c>
      <c r="K2041" s="13"/>
    </row>
    <row r="2042" customFormat="false" ht="15" hidden="false" customHeight="false" outlineLevel="0" collapsed="false">
      <c r="A2042" s="9" t="str">
        <f aca="false">Vessels!B23</f>
        <v>Vessel 19</v>
      </c>
      <c r="B2042" s="9" t="s">
        <v>42</v>
      </c>
      <c r="C2042" s="7" t="s">
        <v>63</v>
      </c>
      <c r="D2042" s="9" t="s">
        <v>45</v>
      </c>
      <c r="E2042" s="9" t="s">
        <v>44</v>
      </c>
      <c r="F2042" s="5" t="n">
        <v>12</v>
      </c>
      <c r="G2042" s="10"/>
      <c r="H2042" s="11" t="str">
        <f aca="false">IFERROR(IF($D2042="Manual Review","",IF($G2042="","",IF($D2042="Direct Expiry",$G2042,EDATE($G2042,$F2042)))),"Check Date")</f>
        <v/>
      </c>
      <c r="I2042" s="12" t="str">
        <f aca="true">IF($H2042="","",IF(ISNUMBER($H2042),$H2042-TODAY(),""))</f>
        <v/>
      </c>
      <c r="J2042" s="4" t="str">
        <f aca="true">IF($D2042="Manual Review","Manual Review",IF($G2042="","No Data",IF(NOT(ISNUMBER($H2042)),"N/A",IF($H2042&lt;TODAY(),"Overdue",IF($H2042&lt;=TODAY()+30,"Due within 1 Month",IF($H2042&lt;=TODAY()+60,"Due within 2 Months","OK"))))))</f>
        <v>No Data</v>
      </c>
      <c r="K2042" s="13"/>
    </row>
    <row r="2043" customFormat="false" ht="15" hidden="false" customHeight="false" outlineLevel="0" collapsed="false">
      <c r="A2043" s="9" t="str">
        <f aca="false">Vessels!B23</f>
        <v>Vessel 19</v>
      </c>
      <c r="B2043" s="9" t="s">
        <v>42</v>
      </c>
      <c r="C2043" s="7" t="s">
        <v>63</v>
      </c>
      <c r="D2043" s="9" t="s">
        <v>45</v>
      </c>
      <c r="E2043" s="9" t="s">
        <v>49</v>
      </c>
      <c r="F2043" s="5" t="n">
        <v>60</v>
      </c>
      <c r="G2043" s="10"/>
      <c r="H2043" s="11" t="str">
        <f aca="false">IFERROR(IF($D2043="Manual Review","",IF($G2043="","",IF($D2043="Direct Expiry",$G2043,EDATE($G2043,$F2043)))),"Check Date")</f>
        <v/>
      </c>
      <c r="I2043" s="12" t="str">
        <f aca="true">IF($H2043="","",IF(ISNUMBER($H2043),$H2043-TODAY(),""))</f>
        <v/>
      </c>
      <c r="J2043" s="4" t="str">
        <f aca="true">IF($D2043="Manual Review","Manual Review",IF($G2043="","No Data",IF(NOT(ISNUMBER($H2043)),"N/A",IF($H2043&lt;TODAY(),"Overdue",IF($H2043&lt;=TODAY()+30,"Due within 1 Month",IF($H2043&lt;=TODAY()+60,"Due within 2 Months","OK"))))))</f>
        <v>No Data</v>
      </c>
      <c r="K2043" s="13"/>
    </row>
    <row r="2044" customFormat="false" ht="15" hidden="false" customHeight="false" outlineLevel="0" collapsed="false">
      <c r="A2044" s="9" t="str">
        <f aca="false">Vessels!B23</f>
        <v>Vessel 19</v>
      </c>
      <c r="B2044" s="9" t="s">
        <v>42</v>
      </c>
      <c r="C2044" s="7" t="s">
        <v>64</v>
      </c>
      <c r="D2044" s="9" t="s">
        <v>45</v>
      </c>
      <c r="E2044" s="9" t="s">
        <v>46</v>
      </c>
      <c r="F2044" s="5" t="n">
        <v>60</v>
      </c>
      <c r="G2044" s="10"/>
      <c r="H2044" s="11" t="str">
        <f aca="false">IFERROR(IF($D2044="Manual Review","",IF($G2044="","",IF($D2044="Direct Expiry",$G2044,EDATE($G2044,$F2044)))),"Check Date")</f>
        <v/>
      </c>
      <c r="I2044" s="12" t="str">
        <f aca="true">IF($H2044="","",IF(ISNUMBER($H2044),$H2044-TODAY(),""))</f>
        <v/>
      </c>
      <c r="J2044" s="4" t="str">
        <f aca="true">IF($D2044="Manual Review","Manual Review",IF($G2044="","No Data",IF(NOT(ISNUMBER($H2044)),"N/A",IF($H2044&lt;TODAY(),"Overdue",IF($H2044&lt;=TODAY()+30,"Due within 1 Month",IF($H2044&lt;=TODAY()+60,"Due within 2 Months","OK"))))))</f>
        <v>No Data</v>
      </c>
      <c r="K2044" s="13"/>
    </row>
    <row r="2045" customFormat="false" ht="15" hidden="false" customHeight="false" outlineLevel="0" collapsed="false">
      <c r="A2045" s="9" t="str">
        <f aca="false">Vessels!B23</f>
        <v>Vessel 19</v>
      </c>
      <c r="B2045" s="9" t="s">
        <v>42</v>
      </c>
      <c r="C2045" s="7" t="s">
        <v>65</v>
      </c>
      <c r="D2045" s="9" t="s">
        <v>45</v>
      </c>
      <c r="E2045" s="9" t="s">
        <v>46</v>
      </c>
      <c r="F2045" s="5" t="n">
        <v>60</v>
      </c>
      <c r="G2045" s="10"/>
      <c r="H2045" s="11" t="str">
        <f aca="false">IFERROR(IF($D2045="Manual Review","",IF($G2045="","",IF($D2045="Direct Expiry",$G2045,EDATE($G2045,$F2045)))),"Check Date")</f>
        <v/>
      </c>
      <c r="I2045" s="12" t="str">
        <f aca="true">IF($H2045="","",IF(ISNUMBER($H2045),$H2045-TODAY(),""))</f>
        <v/>
      </c>
      <c r="J2045" s="4" t="str">
        <f aca="true">IF($D2045="Manual Review","Manual Review",IF($G2045="","No Data",IF(NOT(ISNUMBER($H2045)),"N/A",IF($H2045&lt;TODAY(),"Overdue",IF($H2045&lt;=TODAY()+30,"Due within 1 Month",IF($H2045&lt;=TODAY()+60,"Due within 2 Months","OK"))))))</f>
        <v>No Data</v>
      </c>
      <c r="K2045" s="13"/>
    </row>
    <row r="2046" customFormat="false" ht="15" hidden="false" customHeight="false" outlineLevel="0" collapsed="false">
      <c r="A2046" s="9" t="str">
        <f aca="false">Vessels!B23</f>
        <v>Vessel 19</v>
      </c>
      <c r="B2046" s="9" t="s">
        <v>42</v>
      </c>
      <c r="C2046" s="7" t="s">
        <v>66</v>
      </c>
      <c r="D2046" s="9" t="s">
        <v>45</v>
      </c>
      <c r="E2046" s="9" t="s">
        <v>46</v>
      </c>
      <c r="F2046" s="5" t="n">
        <v>60</v>
      </c>
      <c r="G2046" s="10"/>
      <c r="H2046" s="11" t="str">
        <f aca="false">IFERROR(IF($D2046="Manual Review","",IF($G2046="","",IF($D2046="Direct Expiry",$G2046,EDATE($G2046,$F2046)))),"Check Date")</f>
        <v/>
      </c>
      <c r="I2046" s="12" t="str">
        <f aca="true">IF($H2046="","",IF(ISNUMBER($H2046),$H2046-TODAY(),""))</f>
        <v/>
      </c>
      <c r="J2046" s="4" t="str">
        <f aca="true">IF($D2046="Manual Review","Manual Review",IF($G2046="","No Data",IF(NOT(ISNUMBER($H2046)),"N/A",IF($H2046&lt;TODAY(),"Overdue",IF($H2046&lt;=TODAY()+30,"Due within 1 Month",IF($H2046&lt;=TODAY()+60,"Due within 2 Months","OK"))))))</f>
        <v>No Data</v>
      </c>
      <c r="K2046" s="13"/>
    </row>
    <row r="2047" customFormat="false" ht="15" hidden="false" customHeight="false" outlineLevel="0" collapsed="false">
      <c r="A2047" s="9" t="str">
        <f aca="false">Vessels!B23</f>
        <v>Vessel 19</v>
      </c>
      <c r="B2047" s="9" t="s">
        <v>42</v>
      </c>
      <c r="C2047" s="7" t="s">
        <v>67</v>
      </c>
      <c r="D2047" s="9" t="s">
        <v>45</v>
      </c>
      <c r="E2047" s="9" t="s">
        <v>46</v>
      </c>
      <c r="F2047" s="5" t="n">
        <v>60</v>
      </c>
      <c r="G2047" s="10"/>
      <c r="H2047" s="11" t="str">
        <f aca="false">IFERROR(IF($D2047="Manual Review","",IF($G2047="","",IF($D2047="Direct Expiry",$G2047,EDATE($G2047,$F2047)))),"Check Date")</f>
        <v/>
      </c>
      <c r="I2047" s="12" t="str">
        <f aca="true">IF($H2047="","",IF(ISNUMBER($H2047),$H2047-TODAY(),""))</f>
        <v/>
      </c>
      <c r="J2047" s="4" t="str">
        <f aca="true">IF($D2047="Manual Review","Manual Review",IF($G2047="","No Data",IF(NOT(ISNUMBER($H2047)),"N/A",IF($H2047&lt;TODAY(),"Overdue",IF($H2047&lt;=TODAY()+30,"Due within 1 Month",IF($H2047&lt;=TODAY()+60,"Due within 2 Months","OK"))))))</f>
        <v>No Data</v>
      </c>
      <c r="K2047" s="13"/>
    </row>
    <row r="2048" customFormat="false" ht="15" hidden="false" customHeight="false" outlineLevel="0" collapsed="false">
      <c r="A2048" s="9" t="str">
        <f aca="false">Vessels!B23</f>
        <v>Vessel 19</v>
      </c>
      <c r="B2048" s="9" t="s">
        <v>42</v>
      </c>
      <c r="C2048" s="7" t="s">
        <v>68</v>
      </c>
      <c r="D2048" s="9" t="s">
        <v>45</v>
      </c>
      <c r="E2048" s="9" t="s">
        <v>46</v>
      </c>
      <c r="F2048" s="5" t="n">
        <v>60</v>
      </c>
      <c r="G2048" s="10"/>
      <c r="H2048" s="11" t="str">
        <f aca="false">IFERROR(IF($D2048="Manual Review","",IF($G2048="","",IF($D2048="Direct Expiry",$G2048,EDATE($G2048,$F2048)))),"Check Date")</f>
        <v/>
      </c>
      <c r="I2048" s="12" t="str">
        <f aca="true">IF($H2048="","",IF(ISNUMBER($H2048),$H2048-TODAY(),""))</f>
        <v/>
      </c>
      <c r="J2048" s="4" t="str">
        <f aca="true">IF($D2048="Manual Review","Manual Review",IF($G2048="","No Data",IF(NOT(ISNUMBER($H2048)),"N/A",IF($H2048&lt;TODAY(),"Overdue",IF($H2048&lt;=TODAY()+30,"Due within 1 Month",IF($H2048&lt;=TODAY()+60,"Due within 2 Months","OK"))))))</f>
        <v>No Data</v>
      </c>
      <c r="K2048" s="13"/>
    </row>
    <row r="2049" customFormat="false" ht="15" hidden="false" customHeight="false" outlineLevel="0" collapsed="false">
      <c r="A2049" s="9" t="str">
        <f aca="false">Vessels!B23</f>
        <v>Vessel 19</v>
      </c>
      <c r="B2049" s="9" t="s">
        <v>42</v>
      </c>
      <c r="C2049" s="7" t="s">
        <v>69</v>
      </c>
      <c r="D2049" s="9" t="s">
        <v>45</v>
      </c>
      <c r="E2049" s="9" t="s">
        <v>46</v>
      </c>
      <c r="F2049" s="5" t="n">
        <v>60</v>
      </c>
      <c r="G2049" s="10"/>
      <c r="H2049" s="11" t="str">
        <f aca="false">IFERROR(IF($D2049="Manual Review","",IF($G2049="","",IF($D2049="Direct Expiry",$G2049,EDATE($G2049,$F2049)))),"Check Date")</f>
        <v/>
      </c>
      <c r="I2049" s="12" t="str">
        <f aca="true">IF($H2049="","",IF(ISNUMBER($H2049),$H2049-TODAY(),""))</f>
        <v/>
      </c>
      <c r="J2049" s="4" t="str">
        <f aca="true">IF($D2049="Manual Review","Manual Review",IF($G2049="","No Data",IF(NOT(ISNUMBER($H2049)),"N/A",IF($H2049&lt;TODAY(),"Overdue",IF($H2049&lt;=TODAY()+30,"Due within 1 Month",IF($H2049&lt;=TODAY()+60,"Due within 2 Months","OK"))))))</f>
        <v>No Data</v>
      </c>
      <c r="K2049" s="13"/>
    </row>
    <row r="2050" customFormat="false" ht="15" hidden="false" customHeight="false" outlineLevel="0" collapsed="false">
      <c r="A2050" s="9" t="str">
        <f aca="false">Vessels!B23</f>
        <v>Vessel 19</v>
      </c>
      <c r="B2050" s="9" t="s">
        <v>42</v>
      </c>
      <c r="C2050" s="7" t="s">
        <v>70</v>
      </c>
      <c r="D2050" s="9" t="s">
        <v>59</v>
      </c>
      <c r="E2050" s="9" t="s">
        <v>58</v>
      </c>
      <c r="F2050" s="5"/>
      <c r="G2050" s="10"/>
      <c r="H2050" s="11" t="str">
        <f aca="false">IFERROR(IF($D2050="Manual Review","",IF($G2050="","",IF($D2050="Direct Expiry",$G2050,EDATE($G2050,$F2050)))),"Check Date")</f>
        <v/>
      </c>
      <c r="I2050" s="12" t="str">
        <f aca="true">IF($H2050="","",IF(ISNUMBER($H2050),$H2050-TODAY(),""))</f>
        <v/>
      </c>
      <c r="J2050" s="4" t="str">
        <f aca="true">IF($D2050="Manual Review","Manual Review",IF($G2050="","No Data",IF(NOT(ISNUMBER($H2050)),"N/A",IF($H2050&lt;TODAY(),"Overdue",IF($H2050&lt;=TODAY()+30,"Due within 1 Month",IF($H2050&lt;=TODAY()+60,"Due within 2 Months","OK"))))))</f>
        <v>No Data</v>
      </c>
      <c r="K2050" s="13"/>
    </row>
    <row r="2051" customFormat="false" ht="15" hidden="false" customHeight="false" outlineLevel="0" collapsed="false">
      <c r="A2051" s="9" t="str">
        <f aca="false">Vessels!B23</f>
        <v>Vessel 19</v>
      </c>
      <c r="B2051" s="9" t="s">
        <v>42</v>
      </c>
      <c r="C2051" s="7" t="s">
        <v>71</v>
      </c>
      <c r="D2051" s="9" t="s">
        <v>45</v>
      </c>
      <c r="E2051" s="9" t="s">
        <v>44</v>
      </c>
      <c r="F2051" s="5" t="n">
        <v>12</v>
      </c>
      <c r="G2051" s="10"/>
      <c r="H2051" s="11" t="str">
        <f aca="false">IFERROR(IF($D2051="Manual Review","",IF($G2051="","",IF($D2051="Direct Expiry",$G2051,EDATE($G2051,$F2051)))),"Check Date")</f>
        <v/>
      </c>
      <c r="I2051" s="12" t="str">
        <f aca="true">IF($H2051="","",IF(ISNUMBER($H2051),$H2051-TODAY(),""))</f>
        <v/>
      </c>
      <c r="J2051" s="4" t="str">
        <f aca="true">IF($D2051="Manual Review","Manual Review",IF($G2051="","No Data",IF(NOT(ISNUMBER($H2051)),"N/A",IF($H2051&lt;TODAY(),"Overdue",IF($H2051&lt;=TODAY()+30,"Due within 1 Month",IF($H2051&lt;=TODAY()+60,"Due within 2 Months","OK"))))))</f>
        <v>No Data</v>
      </c>
      <c r="K2051" s="13"/>
    </row>
    <row r="2052" customFormat="false" ht="15" hidden="false" customHeight="false" outlineLevel="0" collapsed="false">
      <c r="A2052" s="9" t="str">
        <f aca="false">Vessels!B23</f>
        <v>Vessel 19</v>
      </c>
      <c r="B2052" s="9" t="s">
        <v>42</v>
      </c>
      <c r="C2052" s="7" t="s">
        <v>72</v>
      </c>
      <c r="D2052" s="9" t="s">
        <v>59</v>
      </c>
      <c r="E2052" s="9" t="s">
        <v>58</v>
      </c>
      <c r="F2052" s="5"/>
      <c r="G2052" s="10"/>
      <c r="H2052" s="11" t="str">
        <f aca="false">IFERROR(IF($D2052="Manual Review","",IF($G2052="","",IF($D2052="Direct Expiry",$G2052,EDATE($G2052,$F2052)))),"Check Date")</f>
        <v/>
      </c>
      <c r="I2052" s="12" t="str">
        <f aca="true">IF($H2052="","",IF(ISNUMBER($H2052),$H2052-TODAY(),""))</f>
        <v/>
      </c>
      <c r="J2052" s="4" t="str">
        <f aca="true">IF($D2052="Manual Review","Manual Review",IF($G2052="","No Data",IF(NOT(ISNUMBER($H2052)),"N/A",IF($H2052&lt;TODAY(),"Overdue",IF($H2052&lt;=TODAY()+30,"Due within 1 Month",IF($H2052&lt;=TODAY()+60,"Due within 2 Months","OK"))))))</f>
        <v>No Data</v>
      </c>
      <c r="K2052" s="13"/>
    </row>
    <row r="2053" customFormat="false" ht="15" hidden="false" customHeight="false" outlineLevel="0" collapsed="false">
      <c r="A2053" s="9" t="str">
        <f aca="false">Vessels!B23</f>
        <v>Vessel 19</v>
      </c>
      <c r="B2053" s="9" t="s">
        <v>42</v>
      </c>
      <c r="C2053" s="7" t="s">
        <v>73</v>
      </c>
      <c r="D2053" s="9" t="s">
        <v>45</v>
      </c>
      <c r="E2053" s="9" t="s">
        <v>44</v>
      </c>
      <c r="F2053" s="5" t="n">
        <v>12</v>
      </c>
      <c r="G2053" s="10"/>
      <c r="H2053" s="11" t="str">
        <f aca="false">IFERROR(IF($D2053="Manual Review","",IF($G2053="","",IF($D2053="Direct Expiry",$G2053,EDATE($G2053,$F2053)))),"Check Date")</f>
        <v/>
      </c>
      <c r="I2053" s="12" t="str">
        <f aca="true">IF($H2053="","",IF(ISNUMBER($H2053),$H2053-TODAY(),""))</f>
        <v/>
      </c>
      <c r="J2053" s="4" t="str">
        <f aca="true">IF($D2053="Manual Review","Manual Review",IF($G2053="","No Data",IF(NOT(ISNUMBER($H2053)),"N/A",IF($H2053&lt;TODAY(),"Overdue",IF($H2053&lt;=TODAY()+30,"Due within 1 Month",IF($H2053&lt;=TODAY()+60,"Due within 2 Months","OK"))))))</f>
        <v>No Data</v>
      </c>
      <c r="K2053" s="13"/>
    </row>
    <row r="2054" customFormat="false" ht="15" hidden="false" customHeight="false" outlineLevel="0" collapsed="false">
      <c r="A2054" s="9" t="str">
        <f aca="false">Vessels!B23</f>
        <v>Vessel 19</v>
      </c>
      <c r="B2054" s="9" t="s">
        <v>42</v>
      </c>
      <c r="C2054" s="7" t="s">
        <v>74</v>
      </c>
      <c r="D2054" s="9" t="s">
        <v>59</v>
      </c>
      <c r="E2054" s="9" t="s">
        <v>58</v>
      </c>
      <c r="F2054" s="5"/>
      <c r="G2054" s="10"/>
      <c r="H2054" s="11" t="str">
        <f aca="false">IFERROR(IF($D2054="Manual Review","",IF($G2054="","",IF($D2054="Direct Expiry",$G2054,EDATE($G2054,$F2054)))),"Check Date")</f>
        <v/>
      </c>
      <c r="I2054" s="12" t="str">
        <f aca="true">IF($H2054="","",IF(ISNUMBER($H2054),$H2054-TODAY(),""))</f>
        <v/>
      </c>
      <c r="J2054" s="4" t="str">
        <f aca="true">IF($D2054="Manual Review","Manual Review",IF($G2054="","No Data",IF(NOT(ISNUMBER($H2054)),"N/A",IF($H2054&lt;TODAY(),"Overdue",IF($H2054&lt;=TODAY()+30,"Due within 1 Month",IF($H2054&lt;=TODAY()+60,"Due within 2 Months","OK"))))))</f>
        <v>No Data</v>
      </c>
      <c r="K2054" s="13"/>
    </row>
    <row r="2055" customFormat="false" ht="15" hidden="false" customHeight="false" outlineLevel="0" collapsed="false">
      <c r="A2055" s="9" t="str">
        <f aca="false">Vessels!B23</f>
        <v>Vessel 19</v>
      </c>
      <c r="B2055" s="9" t="s">
        <v>42</v>
      </c>
      <c r="C2055" s="7" t="s">
        <v>75</v>
      </c>
      <c r="D2055" s="9" t="s">
        <v>45</v>
      </c>
      <c r="E2055" s="9" t="s">
        <v>44</v>
      </c>
      <c r="F2055" s="5" t="n">
        <v>12</v>
      </c>
      <c r="G2055" s="10"/>
      <c r="H2055" s="11" t="str">
        <f aca="false">IFERROR(IF($D2055="Manual Review","",IF($G2055="","",IF($D2055="Direct Expiry",$G2055,EDATE($G2055,$F2055)))),"Check Date")</f>
        <v/>
      </c>
      <c r="I2055" s="12" t="str">
        <f aca="true">IF($H2055="","",IF(ISNUMBER($H2055),$H2055-TODAY(),""))</f>
        <v/>
      </c>
      <c r="J2055" s="4" t="str">
        <f aca="true">IF($D2055="Manual Review","Manual Review",IF($G2055="","No Data",IF(NOT(ISNUMBER($H2055)),"N/A",IF($H2055&lt;TODAY(),"Overdue",IF($H2055&lt;=TODAY()+30,"Due within 1 Month",IF($H2055&lt;=TODAY()+60,"Due within 2 Months","OK"))))))</f>
        <v>No Data</v>
      </c>
      <c r="K2055" s="13"/>
    </row>
    <row r="2056" customFormat="false" ht="15" hidden="false" customHeight="false" outlineLevel="0" collapsed="false">
      <c r="A2056" s="9" t="str">
        <f aca="false">Vessels!B23</f>
        <v>Vessel 19</v>
      </c>
      <c r="B2056" s="9" t="s">
        <v>42</v>
      </c>
      <c r="C2056" s="7" t="s">
        <v>76</v>
      </c>
      <c r="D2056" s="9" t="s">
        <v>59</v>
      </c>
      <c r="E2056" s="9" t="s">
        <v>58</v>
      </c>
      <c r="F2056" s="5"/>
      <c r="G2056" s="10"/>
      <c r="H2056" s="11" t="str">
        <f aca="false">IFERROR(IF($D2056="Manual Review","",IF($G2056="","",IF($D2056="Direct Expiry",$G2056,EDATE($G2056,$F2056)))),"Check Date")</f>
        <v/>
      </c>
      <c r="I2056" s="12" t="str">
        <f aca="true">IF($H2056="","",IF(ISNUMBER($H2056),$H2056-TODAY(),""))</f>
        <v/>
      </c>
      <c r="J2056" s="4" t="str">
        <f aca="true">IF($D2056="Manual Review","Manual Review",IF($G2056="","No Data",IF(NOT(ISNUMBER($H2056)),"N/A",IF($H2056&lt;TODAY(),"Overdue",IF($H2056&lt;=TODAY()+30,"Due within 1 Month",IF($H2056&lt;=TODAY()+60,"Due within 2 Months","OK"))))))</f>
        <v>No Data</v>
      </c>
      <c r="K2056" s="13"/>
    </row>
    <row r="2057" customFormat="false" ht="15" hidden="false" customHeight="false" outlineLevel="0" collapsed="false">
      <c r="A2057" s="9" t="str">
        <f aca="false">Vessels!B23</f>
        <v>Vessel 19</v>
      </c>
      <c r="B2057" s="9" t="s">
        <v>42</v>
      </c>
      <c r="C2057" s="7" t="s">
        <v>77</v>
      </c>
      <c r="D2057" s="9" t="s">
        <v>59</v>
      </c>
      <c r="E2057" s="9" t="s">
        <v>58</v>
      </c>
      <c r="F2057" s="5"/>
      <c r="G2057" s="10"/>
      <c r="H2057" s="11" t="str">
        <f aca="false">IFERROR(IF($D2057="Manual Review","",IF($G2057="","",IF($D2057="Direct Expiry",$G2057,EDATE($G2057,$F2057)))),"Check Date")</f>
        <v/>
      </c>
      <c r="I2057" s="12" t="str">
        <f aca="true">IF($H2057="","",IF(ISNUMBER($H2057),$H2057-TODAY(),""))</f>
        <v/>
      </c>
      <c r="J2057" s="4" t="str">
        <f aca="true">IF($D2057="Manual Review","Manual Review",IF($G2057="","No Data",IF(NOT(ISNUMBER($H2057)),"N/A",IF($H2057&lt;TODAY(),"Overdue",IF($H2057&lt;=TODAY()+30,"Due within 1 Month",IF($H2057&lt;=TODAY()+60,"Due within 2 Months","OK"))))))</f>
        <v>No Data</v>
      </c>
      <c r="K2057" s="13"/>
    </row>
    <row r="2058" customFormat="false" ht="15" hidden="false" customHeight="false" outlineLevel="0" collapsed="false">
      <c r="A2058" s="9" t="str">
        <f aca="false">Vessels!B23</f>
        <v>Vessel 19</v>
      </c>
      <c r="B2058" s="9" t="s">
        <v>42</v>
      </c>
      <c r="C2058" s="7" t="s">
        <v>78</v>
      </c>
      <c r="D2058" s="9" t="s">
        <v>59</v>
      </c>
      <c r="E2058" s="9" t="s">
        <v>58</v>
      </c>
      <c r="F2058" s="5"/>
      <c r="G2058" s="10"/>
      <c r="H2058" s="11" t="str">
        <f aca="false">IFERROR(IF($D2058="Manual Review","",IF($G2058="","",IF($D2058="Direct Expiry",$G2058,EDATE($G2058,$F2058)))),"Check Date")</f>
        <v/>
      </c>
      <c r="I2058" s="12" t="str">
        <f aca="true">IF($H2058="","",IF(ISNUMBER($H2058),$H2058-TODAY(),""))</f>
        <v/>
      </c>
      <c r="J2058" s="4" t="str">
        <f aca="true">IF($D2058="Manual Review","Manual Review",IF($G2058="","No Data",IF(NOT(ISNUMBER($H2058)),"N/A",IF($H2058&lt;TODAY(),"Overdue",IF($H2058&lt;=TODAY()+30,"Due within 1 Month",IF($H2058&lt;=TODAY()+60,"Due within 2 Months","OK"))))))</f>
        <v>No Data</v>
      </c>
      <c r="K2058" s="13"/>
    </row>
    <row r="2059" customFormat="false" ht="15" hidden="false" customHeight="false" outlineLevel="0" collapsed="false">
      <c r="A2059" s="9" t="str">
        <f aca="false">Vessels!B23</f>
        <v>Vessel 19</v>
      </c>
      <c r="B2059" s="9" t="s">
        <v>42</v>
      </c>
      <c r="C2059" s="7" t="s">
        <v>79</v>
      </c>
      <c r="D2059" s="9" t="s">
        <v>45</v>
      </c>
      <c r="E2059" s="9" t="s">
        <v>44</v>
      </c>
      <c r="F2059" s="5" t="n">
        <v>12</v>
      </c>
      <c r="G2059" s="10"/>
      <c r="H2059" s="11" t="str">
        <f aca="false">IFERROR(IF($D2059="Manual Review","",IF($G2059="","",IF($D2059="Direct Expiry",$G2059,EDATE($G2059,$F2059)))),"Check Date")</f>
        <v/>
      </c>
      <c r="I2059" s="12" t="str">
        <f aca="true">IF($H2059="","",IF(ISNUMBER($H2059),$H2059-TODAY(),""))</f>
        <v/>
      </c>
      <c r="J2059" s="4" t="str">
        <f aca="true">IF($D2059="Manual Review","Manual Review",IF($G2059="","No Data",IF(NOT(ISNUMBER($H2059)),"N/A",IF($H2059&lt;TODAY(),"Overdue",IF($H2059&lt;=TODAY()+30,"Due within 1 Month",IF($H2059&lt;=TODAY()+60,"Due within 2 Months","OK"))))))</f>
        <v>No Data</v>
      </c>
      <c r="K2059" s="13"/>
    </row>
    <row r="2060" customFormat="false" ht="15" hidden="false" customHeight="false" outlineLevel="0" collapsed="false">
      <c r="A2060" s="9" t="str">
        <f aca="false">Vessels!B23</f>
        <v>Vessel 19</v>
      </c>
      <c r="B2060" s="9" t="s">
        <v>42</v>
      </c>
      <c r="C2060" s="7" t="s">
        <v>80</v>
      </c>
      <c r="D2060" s="9" t="s">
        <v>45</v>
      </c>
      <c r="E2060" s="9" t="s">
        <v>81</v>
      </c>
      <c r="F2060" s="5" t="n">
        <v>36</v>
      </c>
      <c r="G2060" s="10"/>
      <c r="H2060" s="11" t="str">
        <f aca="false">IFERROR(IF($D2060="Manual Review","",IF($G2060="","",IF($D2060="Direct Expiry",$G2060,EDATE($G2060,$F2060)))),"Check Date")</f>
        <v/>
      </c>
      <c r="I2060" s="12" t="str">
        <f aca="true">IF($H2060="","",IF(ISNUMBER($H2060),$H2060-TODAY(),""))</f>
        <v/>
      </c>
      <c r="J2060" s="4" t="str">
        <f aca="true">IF($D2060="Manual Review","Manual Review",IF($G2060="","No Data",IF(NOT(ISNUMBER($H2060)),"N/A",IF($H2060&lt;TODAY(),"Overdue",IF($H2060&lt;=TODAY()+30,"Due within 1 Month",IF($H2060&lt;=TODAY()+60,"Due within 2 Months","OK"))))))</f>
        <v>No Data</v>
      </c>
      <c r="K2060" s="13"/>
    </row>
    <row r="2061" customFormat="false" ht="15" hidden="false" customHeight="false" outlineLevel="0" collapsed="false">
      <c r="A2061" s="9" t="str">
        <f aca="false">Vessels!B23</f>
        <v>Vessel 19</v>
      </c>
      <c r="B2061" s="9" t="s">
        <v>42</v>
      </c>
      <c r="C2061" s="7" t="s">
        <v>80</v>
      </c>
      <c r="D2061" s="9" t="s">
        <v>45</v>
      </c>
      <c r="E2061" s="9" t="s">
        <v>82</v>
      </c>
      <c r="F2061" s="5" t="n">
        <v>24</v>
      </c>
      <c r="G2061" s="10"/>
      <c r="H2061" s="11" t="str">
        <f aca="false">IFERROR(IF($D2061="Manual Review","",IF($G2061="","",IF($D2061="Direct Expiry",$G2061,EDATE($G2061,$F2061)))),"Check Date")</f>
        <v/>
      </c>
      <c r="I2061" s="12" t="str">
        <f aca="true">IF($H2061="","",IF(ISNUMBER($H2061),$H2061-TODAY(),""))</f>
        <v/>
      </c>
      <c r="J2061" s="4" t="str">
        <f aca="true">IF($D2061="Manual Review","Manual Review",IF($G2061="","No Data",IF(NOT(ISNUMBER($H2061)),"N/A",IF($H2061&lt;TODAY(),"Overdue",IF($H2061&lt;=TODAY()+30,"Due within 1 Month",IF($H2061&lt;=TODAY()+60,"Due within 2 Months","OK"))))))</f>
        <v>No Data</v>
      </c>
      <c r="K2061" s="13"/>
    </row>
    <row r="2062" customFormat="false" ht="15" hidden="false" customHeight="false" outlineLevel="0" collapsed="false">
      <c r="A2062" s="9" t="str">
        <f aca="false">Vessels!B23</f>
        <v>Vessel 19</v>
      </c>
      <c r="B2062" s="9" t="s">
        <v>42</v>
      </c>
      <c r="C2062" s="7" t="s">
        <v>83</v>
      </c>
      <c r="D2062" s="9" t="s">
        <v>45</v>
      </c>
      <c r="E2062" s="9" t="s">
        <v>44</v>
      </c>
      <c r="F2062" s="5" t="n">
        <v>12</v>
      </c>
      <c r="G2062" s="10"/>
      <c r="H2062" s="11" t="str">
        <f aca="false">IFERROR(IF($D2062="Manual Review","",IF($G2062="","",IF($D2062="Direct Expiry",$G2062,EDATE($G2062,$F2062)))),"Check Date")</f>
        <v/>
      </c>
      <c r="I2062" s="12" t="str">
        <f aca="true">IF($H2062="","",IF(ISNUMBER($H2062),$H2062-TODAY(),""))</f>
        <v/>
      </c>
      <c r="J2062" s="4" t="str">
        <f aca="true">IF($D2062="Manual Review","Manual Review",IF($G2062="","No Data",IF(NOT(ISNUMBER($H2062)),"N/A",IF($H2062&lt;TODAY(),"Overdue",IF($H2062&lt;=TODAY()+30,"Due within 1 Month",IF($H2062&lt;=TODAY()+60,"Due within 2 Months","OK"))))))</f>
        <v>No Data</v>
      </c>
      <c r="K2062" s="13"/>
    </row>
    <row r="2063" customFormat="false" ht="15" hidden="false" customHeight="false" outlineLevel="0" collapsed="false">
      <c r="A2063" s="9" t="str">
        <f aca="false">Vessels!B23</f>
        <v>Vessel 19</v>
      </c>
      <c r="B2063" s="9" t="s">
        <v>42</v>
      </c>
      <c r="C2063" s="7" t="s">
        <v>83</v>
      </c>
      <c r="D2063" s="9" t="s">
        <v>45</v>
      </c>
      <c r="E2063" s="9" t="s">
        <v>84</v>
      </c>
      <c r="F2063" s="5" t="n">
        <v>60</v>
      </c>
      <c r="G2063" s="10"/>
      <c r="H2063" s="11" t="str">
        <f aca="false">IFERROR(IF($D2063="Manual Review","",IF($G2063="","",IF($D2063="Direct Expiry",$G2063,EDATE($G2063,$F2063)))),"Check Date")</f>
        <v/>
      </c>
      <c r="I2063" s="12" t="str">
        <f aca="true">IF($H2063="","",IF(ISNUMBER($H2063),$H2063-TODAY(),""))</f>
        <v/>
      </c>
      <c r="J2063" s="4" t="str">
        <f aca="true">IF($D2063="Manual Review","Manual Review",IF($G2063="","No Data",IF(NOT(ISNUMBER($H2063)),"N/A",IF($H2063&lt;TODAY(),"Overdue",IF($H2063&lt;=TODAY()+30,"Due within 1 Month",IF($H2063&lt;=TODAY()+60,"Due within 2 Months","OK"))))))</f>
        <v>No Data</v>
      </c>
      <c r="K2063" s="13"/>
    </row>
    <row r="2064" customFormat="false" ht="15" hidden="false" customHeight="false" outlineLevel="0" collapsed="false">
      <c r="A2064" s="9" t="str">
        <f aca="false">Vessels!B23</f>
        <v>Vessel 19</v>
      </c>
      <c r="B2064" s="9" t="s">
        <v>42</v>
      </c>
      <c r="C2064" s="7" t="s">
        <v>85</v>
      </c>
      <c r="D2064" s="9" t="s">
        <v>45</v>
      </c>
      <c r="E2064" s="9" t="s">
        <v>44</v>
      </c>
      <c r="F2064" s="5" t="n">
        <v>12</v>
      </c>
      <c r="G2064" s="10"/>
      <c r="H2064" s="11" t="str">
        <f aca="false">IFERROR(IF($D2064="Manual Review","",IF($G2064="","",IF($D2064="Direct Expiry",$G2064,EDATE($G2064,$F2064)))),"Check Date")</f>
        <v/>
      </c>
      <c r="I2064" s="12" t="str">
        <f aca="true">IF($H2064="","",IF(ISNUMBER($H2064),$H2064-TODAY(),""))</f>
        <v/>
      </c>
      <c r="J2064" s="4" t="str">
        <f aca="true">IF($D2064="Manual Review","Manual Review",IF($G2064="","No Data",IF(NOT(ISNUMBER($H2064)),"N/A",IF($H2064&lt;TODAY(),"Overdue",IF($H2064&lt;=TODAY()+30,"Due within 1 Month",IF($H2064&lt;=TODAY()+60,"Due within 2 Months","OK"))))))</f>
        <v>No Data</v>
      </c>
      <c r="K2064" s="13"/>
    </row>
    <row r="2065" customFormat="false" ht="15" hidden="false" customHeight="false" outlineLevel="0" collapsed="false">
      <c r="A2065" s="9" t="str">
        <f aca="false">Vessels!B23</f>
        <v>Vessel 19</v>
      </c>
      <c r="B2065" s="9" t="s">
        <v>42</v>
      </c>
      <c r="C2065" s="7" t="s">
        <v>85</v>
      </c>
      <c r="D2065" s="9" t="s">
        <v>45</v>
      </c>
      <c r="E2065" s="9" t="s">
        <v>84</v>
      </c>
      <c r="F2065" s="5" t="n">
        <v>60</v>
      </c>
      <c r="G2065" s="10"/>
      <c r="H2065" s="11" t="str">
        <f aca="false">IFERROR(IF($D2065="Manual Review","",IF($G2065="","",IF($D2065="Direct Expiry",$G2065,EDATE($G2065,$F2065)))),"Check Date")</f>
        <v/>
      </c>
      <c r="I2065" s="12" t="str">
        <f aca="true">IF($H2065="","",IF(ISNUMBER($H2065),$H2065-TODAY(),""))</f>
        <v/>
      </c>
      <c r="J2065" s="4" t="str">
        <f aca="true">IF($D2065="Manual Review","Manual Review",IF($G2065="","No Data",IF(NOT(ISNUMBER($H2065)),"N/A",IF($H2065&lt;TODAY(),"Overdue",IF($H2065&lt;=TODAY()+30,"Due within 1 Month",IF($H2065&lt;=TODAY()+60,"Due within 2 Months","OK"))))))</f>
        <v>No Data</v>
      </c>
      <c r="K2065" s="13"/>
    </row>
    <row r="2066" customFormat="false" ht="15" hidden="false" customHeight="false" outlineLevel="0" collapsed="false">
      <c r="A2066" s="9" t="str">
        <f aca="false">Vessels!B23</f>
        <v>Vessel 19</v>
      </c>
      <c r="B2066" s="9" t="s">
        <v>42</v>
      </c>
      <c r="C2066" s="7" t="s">
        <v>86</v>
      </c>
      <c r="D2066" s="9" t="s">
        <v>45</v>
      </c>
      <c r="E2066" s="9" t="s">
        <v>44</v>
      </c>
      <c r="F2066" s="5" t="n">
        <v>12</v>
      </c>
      <c r="G2066" s="10"/>
      <c r="H2066" s="11" t="str">
        <f aca="false">IFERROR(IF($D2066="Manual Review","",IF($G2066="","",IF($D2066="Direct Expiry",$G2066,EDATE($G2066,$F2066)))),"Check Date")</f>
        <v/>
      </c>
      <c r="I2066" s="12" t="str">
        <f aca="true">IF($H2066="","",IF(ISNUMBER($H2066),$H2066-TODAY(),""))</f>
        <v/>
      </c>
      <c r="J2066" s="4" t="str">
        <f aca="true">IF($D2066="Manual Review","Manual Review",IF($G2066="","No Data",IF(NOT(ISNUMBER($H2066)),"N/A",IF($H2066&lt;TODAY(),"Overdue",IF($H2066&lt;=TODAY()+30,"Due within 1 Month",IF($H2066&lt;=TODAY()+60,"Due within 2 Months","OK"))))))</f>
        <v>No Data</v>
      </c>
      <c r="K2066" s="13"/>
    </row>
    <row r="2067" customFormat="false" ht="15" hidden="false" customHeight="false" outlineLevel="0" collapsed="false">
      <c r="A2067" s="9" t="str">
        <f aca="false">Vessels!B23</f>
        <v>Vessel 19</v>
      </c>
      <c r="B2067" s="9" t="s">
        <v>42</v>
      </c>
      <c r="C2067" s="7" t="s">
        <v>87</v>
      </c>
      <c r="D2067" s="9" t="s">
        <v>45</v>
      </c>
      <c r="E2067" s="9" t="s">
        <v>44</v>
      </c>
      <c r="F2067" s="5" t="n">
        <v>12</v>
      </c>
      <c r="G2067" s="10"/>
      <c r="H2067" s="11" t="str">
        <f aca="false">IFERROR(IF($D2067="Manual Review","",IF($G2067="","",IF($D2067="Direct Expiry",$G2067,EDATE($G2067,$F2067)))),"Check Date")</f>
        <v/>
      </c>
      <c r="I2067" s="12" t="str">
        <f aca="true">IF($H2067="","",IF(ISNUMBER($H2067),$H2067-TODAY(),""))</f>
        <v/>
      </c>
      <c r="J2067" s="4" t="str">
        <f aca="true">IF($D2067="Manual Review","Manual Review",IF($G2067="","No Data",IF(NOT(ISNUMBER($H2067)),"N/A",IF($H2067&lt;TODAY(),"Overdue",IF($H2067&lt;=TODAY()+30,"Due within 1 Month",IF($H2067&lt;=TODAY()+60,"Due within 2 Months","OK"))))))</f>
        <v>No Data</v>
      </c>
      <c r="K2067" s="13"/>
    </row>
    <row r="2068" customFormat="false" ht="15" hidden="false" customHeight="false" outlineLevel="0" collapsed="false">
      <c r="A2068" s="9" t="str">
        <f aca="false">Vessels!B23</f>
        <v>Vessel 19</v>
      </c>
      <c r="B2068" s="9" t="s">
        <v>88</v>
      </c>
      <c r="C2068" s="7" t="s">
        <v>89</v>
      </c>
      <c r="D2068" s="9" t="s">
        <v>45</v>
      </c>
      <c r="E2068" s="9" t="s">
        <v>90</v>
      </c>
      <c r="F2068" s="5" t="n">
        <v>36</v>
      </c>
      <c r="G2068" s="10"/>
      <c r="H2068" s="11" t="str">
        <f aca="false">IFERROR(IF($D2068="Manual Review","",IF($G2068="","",IF($D2068="Direct Expiry",$G2068,EDATE($G2068,$F2068)))),"Check Date")</f>
        <v/>
      </c>
      <c r="I2068" s="12" t="str">
        <f aca="true">IF($H2068="","",IF(ISNUMBER($H2068),$H2068-TODAY(),""))</f>
        <v/>
      </c>
      <c r="J2068" s="4" t="str">
        <f aca="true">IF($D2068="Manual Review","Manual Review",IF($G2068="","No Data",IF(NOT(ISNUMBER($H2068)),"N/A",IF($H2068&lt;TODAY(),"Overdue",IF($H2068&lt;=TODAY()+30,"Due within 1 Month",IF($H2068&lt;=TODAY()+60,"Due within 2 Months","OK"))))))</f>
        <v>No Data</v>
      </c>
      <c r="K2068" s="13"/>
    </row>
    <row r="2069" customFormat="false" ht="15" hidden="false" customHeight="false" outlineLevel="0" collapsed="false">
      <c r="A2069" s="9" t="str">
        <f aca="false">Vessels!B23</f>
        <v>Vessel 19</v>
      </c>
      <c r="B2069" s="9" t="s">
        <v>88</v>
      </c>
      <c r="C2069" s="7" t="s">
        <v>91</v>
      </c>
      <c r="D2069" s="9" t="s">
        <v>45</v>
      </c>
      <c r="E2069" s="9" t="s">
        <v>44</v>
      </c>
      <c r="F2069" s="5" t="n">
        <v>12</v>
      </c>
      <c r="G2069" s="10"/>
      <c r="H2069" s="11" t="str">
        <f aca="false">IFERROR(IF($D2069="Manual Review","",IF($G2069="","",IF($D2069="Direct Expiry",$G2069,EDATE($G2069,$F2069)))),"Check Date")</f>
        <v/>
      </c>
      <c r="I2069" s="12" t="str">
        <f aca="true">IF($H2069="","",IF(ISNUMBER($H2069),$H2069-TODAY(),""))</f>
        <v/>
      </c>
      <c r="J2069" s="4" t="str">
        <f aca="true">IF($D2069="Manual Review","Manual Review",IF($G2069="","No Data",IF(NOT(ISNUMBER($H2069)),"N/A",IF($H2069&lt;TODAY(),"Overdue",IF($H2069&lt;=TODAY()+30,"Due within 1 Month",IF($H2069&lt;=TODAY()+60,"Due within 2 Months","OK"))))))</f>
        <v>No Data</v>
      </c>
      <c r="K2069" s="13"/>
    </row>
    <row r="2070" customFormat="false" ht="15" hidden="false" customHeight="false" outlineLevel="0" collapsed="false">
      <c r="A2070" s="9" t="str">
        <f aca="false">Vessels!B23</f>
        <v>Vessel 19</v>
      </c>
      <c r="B2070" s="9" t="s">
        <v>88</v>
      </c>
      <c r="C2070" s="7" t="s">
        <v>91</v>
      </c>
      <c r="D2070" s="9" t="s">
        <v>45</v>
      </c>
      <c r="E2070" s="9" t="s">
        <v>92</v>
      </c>
      <c r="F2070" s="5" t="n">
        <v>120</v>
      </c>
      <c r="G2070" s="10"/>
      <c r="H2070" s="11" t="str">
        <f aca="false">IFERROR(IF($D2070="Manual Review","",IF($G2070="","",IF($D2070="Direct Expiry",$G2070,EDATE($G2070,$F2070)))),"Check Date")</f>
        <v/>
      </c>
      <c r="I2070" s="12" t="str">
        <f aca="true">IF($H2070="","",IF(ISNUMBER($H2070),$H2070-TODAY(),""))</f>
        <v/>
      </c>
      <c r="J2070" s="4" t="str">
        <f aca="true">IF($D2070="Manual Review","Manual Review",IF($G2070="","No Data",IF(NOT(ISNUMBER($H2070)),"N/A",IF($H2070&lt;TODAY(),"Overdue",IF($H2070&lt;=TODAY()+30,"Due within 1 Month",IF($H2070&lt;=TODAY()+60,"Due within 2 Months","OK"))))))</f>
        <v>No Data</v>
      </c>
      <c r="K2070" s="13"/>
    </row>
    <row r="2071" customFormat="false" ht="15" hidden="false" customHeight="false" outlineLevel="0" collapsed="false">
      <c r="A2071" s="9" t="str">
        <f aca="false">Vessels!B23</f>
        <v>Vessel 19</v>
      </c>
      <c r="B2071" s="9" t="s">
        <v>88</v>
      </c>
      <c r="C2071" s="7" t="s">
        <v>93</v>
      </c>
      <c r="D2071" s="9" t="s">
        <v>45</v>
      </c>
      <c r="E2071" s="9" t="s">
        <v>44</v>
      </c>
      <c r="F2071" s="5" t="n">
        <v>12</v>
      </c>
      <c r="G2071" s="10"/>
      <c r="H2071" s="11" t="str">
        <f aca="false">IFERROR(IF($D2071="Manual Review","",IF($G2071="","",IF($D2071="Direct Expiry",$G2071,EDATE($G2071,$F2071)))),"Check Date")</f>
        <v/>
      </c>
      <c r="I2071" s="12" t="str">
        <f aca="true">IF($H2071="","",IF(ISNUMBER($H2071),$H2071-TODAY(),""))</f>
        <v/>
      </c>
      <c r="J2071" s="4" t="str">
        <f aca="true">IF($D2071="Manual Review","Manual Review",IF($G2071="","No Data",IF(NOT(ISNUMBER($H2071)),"N/A",IF($H2071&lt;TODAY(),"Overdue",IF($H2071&lt;=TODAY()+30,"Due within 1 Month",IF($H2071&lt;=TODAY()+60,"Due within 2 Months","OK"))))))</f>
        <v>No Data</v>
      </c>
      <c r="K2071" s="13"/>
    </row>
    <row r="2072" customFormat="false" ht="15" hidden="false" customHeight="false" outlineLevel="0" collapsed="false">
      <c r="A2072" s="9" t="str">
        <f aca="false">Vessels!B23</f>
        <v>Vessel 19</v>
      </c>
      <c r="B2072" s="9" t="s">
        <v>88</v>
      </c>
      <c r="C2072" s="7" t="s">
        <v>93</v>
      </c>
      <c r="D2072" s="9" t="s">
        <v>45</v>
      </c>
      <c r="E2072" s="9" t="s">
        <v>92</v>
      </c>
      <c r="F2072" s="5" t="n">
        <v>120</v>
      </c>
      <c r="G2072" s="10"/>
      <c r="H2072" s="11" t="str">
        <f aca="false">IFERROR(IF($D2072="Manual Review","",IF($G2072="","",IF($D2072="Direct Expiry",$G2072,EDATE($G2072,$F2072)))),"Check Date")</f>
        <v/>
      </c>
      <c r="I2072" s="12" t="str">
        <f aca="true">IF($H2072="","",IF(ISNUMBER($H2072),$H2072-TODAY(),""))</f>
        <v/>
      </c>
      <c r="J2072" s="4" t="str">
        <f aca="true">IF($D2072="Manual Review","Manual Review",IF($G2072="","No Data",IF(NOT(ISNUMBER($H2072)),"N/A",IF($H2072&lt;TODAY(),"Overdue",IF($H2072&lt;=TODAY()+30,"Due within 1 Month",IF($H2072&lt;=TODAY()+60,"Due within 2 Months","OK"))))))</f>
        <v>No Data</v>
      </c>
      <c r="K2072" s="13"/>
    </row>
    <row r="2073" customFormat="false" ht="15" hidden="false" customHeight="false" outlineLevel="0" collapsed="false">
      <c r="A2073" s="9" t="str">
        <f aca="false">Vessels!B23</f>
        <v>Vessel 19</v>
      </c>
      <c r="B2073" s="9" t="s">
        <v>88</v>
      </c>
      <c r="C2073" s="7" t="s">
        <v>94</v>
      </c>
      <c r="D2073" s="9" t="s">
        <v>45</v>
      </c>
      <c r="E2073" s="9" t="s">
        <v>44</v>
      </c>
      <c r="F2073" s="5" t="n">
        <v>12</v>
      </c>
      <c r="G2073" s="10"/>
      <c r="H2073" s="11" t="str">
        <f aca="false">IFERROR(IF($D2073="Manual Review","",IF($G2073="","",IF($D2073="Direct Expiry",$G2073,EDATE($G2073,$F2073)))),"Check Date")</f>
        <v/>
      </c>
      <c r="I2073" s="12" t="str">
        <f aca="true">IF($H2073="","",IF(ISNUMBER($H2073),$H2073-TODAY(),""))</f>
        <v/>
      </c>
      <c r="J2073" s="4" t="str">
        <f aca="true">IF($D2073="Manual Review","Manual Review",IF($G2073="","No Data",IF(NOT(ISNUMBER($H2073)),"N/A",IF($H2073&lt;TODAY(),"Overdue",IF($H2073&lt;=TODAY()+30,"Due within 1 Month",IF($H2073&lt;=TODAY()+60,"Due within 2 Months","OK"))))))</f>
        <v>No Data</v>
      </c>
      <c r="K2073" s="13"/>
    </row>
    <row r="2074" customFormat="false" ht="15" hidden="false" customHeight="false" outlineLevel="0" collapsed="false">
      <c r="A2074" s="9" t="str">
        <f aca="false">Vessels!B23</f>
        <v>Vessel 19</v>
      </c>
      <c r="B2074" s="9" t="s">
        <v>88</v>
      </c>
      <c r="C2074" s="7" t="s">
        <v>94</v>
      </c>
      <c r="D2074" s="9" t="s">
        <v>45</v>
      </c>
      <c r="E2074" s="9" t="s">
        <v>92</v>
      </c>
      <c r="F2074" s="5" t="n">
        <v>120</v>
      </c>
      <c r="G2074" s="10"/>
      <c r="H2074" s="11" t="str">
        <f aca="false">IFERROR(IF($D2074="Manual Review","",IF($G2074="","",IF($D2074="Direct Expiry",$G2074,EDATE($G2074,$F2074)))),"Check Date")</f>
        <v/>
      </c>
      <c r="I2074" s="12" t="str">
        <f aca="true">IF($H2074="","",IF(ISNUMBER($H2074),$H2074-TODAY(),""))</f>
        <v/>
      </c>
      <c r="J2074" s="4" t="str">
        <f aca="true">IF($D2074="Manual Review","Manual Review",IF($G2074="","No Data",IF(NOT(ISNUMBER($H2074)),"N/A",IF($H2074&lt;TODAY(),"Overdue",IF($H2074&lt;=TODAY()+30,"Due within 1 Month",IF($H2074&lt;=TODAY()+60,"Due within 2 Months","OK"))))))</f>
        <v>No Data</v>
      </c>
      <c r="K2074" s="13"/>
    </row>
    <row r="2075" customFormat="false" ht="15" hidden="false" customHeight="false" outlineLevel="0" collapsed="false">
      <c r="A2075" s="9" t="str">
        <f aca="false">Vessels!B23</f>
        <v>Vessel 19</v>
      </c>
      <c r="B2075" s="9" t="s">
        <v>88</v>
      </c>
      <c r="C2075" s="7" t="s">
        <v>95</v>
      </c>
      <c r="D2075" s="9" t="s">
        <v>45</v>
      </c>
      <c r="E2075" s="9" t="s">
        <v>44</v>
      </c>
      <c r="F2075" s="5" t="n">
        <v>12</v>
      </c>
      <c r="G2075" s="10"/>
      <c r="H2075" s="11" t="str">
        <f aca="false">IFERROR(IF($D2075="Manual Review","",IF($G2075="","",IF($D2075="Direct Expiry",$G2075,EDATE($G2075,$F2075)))),"Check Date")</f>
        <v/>
      </c>
      <c r="I2075" s="12" t="str">
        <f aca="true">IF($H2075="","",IF(ISNUMBER($H2075),$H2075-TODAY(),""))</f>
        <v/>
      </c>
      <c r="J2075" s="4" t="str">
        <f aca="true">IF($D2075="Manual Review","Manual Review",IF($G2075="","No Data",IF(NOT(ISNUMBER($H2075)),"N/A",IF($H2075&lt;TODAY(),"Overdue",IF($H2075&lt;=TODAY()+30,"Due within 1 Month",IF($H2075&lt;=TODAY()+60,"Due within 2 Months","OK"))))))</f>
        <v>No Data</v>
      </c>
      <c r="K2075" s="13"/>
    </row>
    <row r="2076" customFormat="false" ht="15" hidden="false" customHeight="false" outlineLevel="0" collapsed="false">
      <c r="A2076" s="9" t="str">
        <f aca="false">Vessels!B23</f>
        <v>Vessel 19</v>
      </c>
      <c r="B2076" s="9" t="s">
        <v>88</v>
      </c>
      <c r="C2076" s="7" t="s">
        <v>95</v>
      </c>
      <c r="D2076" s="9" t="s">
        <v>45</v>
      </c>
      <c r="E2076" s="9" t="s">
        <v>92</v>
      </c>
      <c r="F2076" s="5" t="n">
        <v>120</v>
      </c>
      <c r="G2076" s="10"/>
      <c r="H2076" s="11" t="str">
        <f aca="false">IFERROR(IF($D2076="Manual Review","",IF($G2076="","",IF($D2076="Direct Expiry",$G2076,EDATE($G2076,$F2076)))),"Check Date")</f>
        <v/>
      </c>
      <c r="I2076" s="12" t="str">
        <f aca="true">IF($H2076="","",IF(ISNUMBER($H2076),$H2076-TODAY(),""))</f>
        <v/>
      </c>
      <c r="J2076" s="4" t="str">
        <f aca="true">IF($D2076="Manual Review","Manual Review",IF($G2076="","No Data",IF(NOT(ISNUMBER($H2076)),"N/A",IF($H2076&lt;TODAY(),"Overdue",IF($H2076&lt;=TODAY()+30,"Due within 1 Month",IF($H2076&lt;=TODAY()+60,"Due within 2 Months","OK"))))))</f>
        <v>No Data</v>
      </c>
      <c r="K2076" s="13"/>
    </row>
    <row r="2077" customFormat="false" ht="15" hidden="false" customHeight="false" outlineLevel="0" collapsed="false">
      <c r="A2077" s="9" t="str">
        <f aca="false">Vessels!B23</f>
        <v>Vessel 19</v>
      </c>
      <c r="B2077" s="9" t="s">
        <v>88</v>
      </c>
      <c r="C2077" s="7" t="s">
        <v>96</v>
      </c>
      <c r="D2077" s="9" t="s">
        <v>45</v>
      </c>
      <c r="E2077" s="9" t="s">
        <v>44</v>
      </c>
      <c r="F2077" s="5" t="n">
        <v>12</v>
      </c>
      <c r="G2077" s="10"/>
      <c r="H2077" s="11" t="str">
        <f aca="false">IFERROR(IF($D2077="Manual Review","",IF($G2077="","",IF($D2077="Direct Expiry",$G2077,EDATE($G2077,$F2077)))),"Check Date")</f>
        <v/>
      </c>
      <c r="I2077" s="12" t="str">
        <f aca="true">IF($H2077="","",IF(ISNUMBER($H2077),$H2077-TODAY(),""))</f>
        <v/>
      </c>
      <c r="J2077" s="4" t="str">
        <f aca="true">IF($D2077="Manual Review","Manual Review",IF($G2077="","No Data",IF(NOT(ISNUMBER($H2077)),"N/A",IF($H2077&lt;TODAY(),"Overdue",IF($H2077&lt;=TODAY()+30,"Due within 1 Month",IF($H2077&lt;=TODAY()+60,"Due within 2 Months","OK"))))))</f>
        <v>No Data</v>
      </c>
      <c r="K2077" s="13"/>
    </row>
    <row r="2078" customFormat="false" ht="15" hidden="false" customHeight="false" outlineLevel="0" collapsed="false">
      <c r="A2078" s="9" t="str">
        <f aca="false">Vessels!B23</f>
        <v>Vessel 19</v>
      </c>
      <c r="B2078" s="9" t="s">
        <v>88</v>
      </c>
      <c r="C2078" s="7" t="s">
        <v>96</v>
      </c>
      <c r="D2078" s="9" t="s">
        <v>45</v>
      </c>
      <c r="E2078" s="9" t="s">
        <v>97</v>
      </c>
      <c r="F2078" s="5" t="n">
        <v>120</v>
      </c>
      <c r="G2078" s="10"/>
      <c r="H2078" s="11" t="str">
        <f aca="false">IFERROR(IF($D2078="Manual Review","",IF($G2078="","",IF($D2078="Direct Expiry",$G2078,EDATE($G2078,$F2078)))),"Check Date")</f>
        <v/>
      </c>
      <c r="I2078" s="12" t="str">
        <f aca="true">IF($H2078="","",IF(ISNUMBER($H2078),$H2078-TODAY(),""))</f>
        <v/>
      </c>
      <c r="J2078" s="4" t="str">
        <f aca="true">IF($D2078="Manual Review","Manual Review",IF($G2078="","No Data",IF(NOT(ISNUMBER($H2078)),"N/A",IF($H2078&lt;TODAY(),"Overdue",IF($H2078&lt;=TODAY()+30,"Due within 1 Month",IF($H2078&lt;=TODAY()+60,"Due within 2 Months","OK"))))))</f>
        <v>No Data</v>
      </c>
      <c r="K2078" s="13"/>
    </row>
    <row r="2079" customFormat="false" ht="15" hidden="false" customHeight="false" outlineLevel="0" collapsed="false">
      <c r="A2079" s="9" t="str">
        <f aca="false">Vessels!B23</f>
        <v>Vessel 19</v>
      </c>
      <c r="B2079" s="9" t="s">
        <v>88</v>
      </c>
      <c r="C2079" s="7" t="s">
        <v>98</v>
      </c>
      <c r="D2079" s="9" t="s">
        <v>45</v>
      </c>
      <c r="E2079" s="9" t="s">
        <v>44</v>
      </c>
      <c r="F2079" s="5" t="n">
        <v>12</v>
      </c>
      <c r="G2079" s="10"/>
      <c r="H2079" s="11" t="str">
        <f aca="false">IFERROR(IF($D2079="Manual Review","",IF($G2079="","",IF($D2079="Direct Expiry",$G2079,EDATE($G2079,$F2079)))),"Check Date")</f>
        <v/>
      </c>
      <c r="I2079" s="12" t="str">
        <f aca="true">IF($H2079="","",IF(ISNUMBER($H2079),$H2079-TODAY(),""))</f>
        <v/>
      </c>
      <c r="J2079" s="4" t="str">
        <f aca="true">IF($D2079="Manual Review","Manual Review",IF($G2079="","No Data",IF(NOT(ISNUMBER($H2079)),"N/A",IF($H2079&lt;TODAY(),"Overdue",IF($H2079&lt;=TODAY()+30,"Due within 1 Month",IF($H2079&lt;=TODAY()+60,"Due within 2 Months","OK"))))))</f>
        <v>No Data</v>
      </c>
      <c r="K2079" s="13"/>
    </row>
    <row r="2080" customFormat="false" ht="15" hidden="false" customHeight="false" outlineLevel="0" collapsed="false">
      <c r="A2080" s="9" t="str">
        <f aca="false">Vessels!B23</f>
        <v>Vessel 19</v>
      </c>
      <c r="B2080" s="9" t="s">
        <v>88</v>
      </c>
      <c r="C2080" s="7" t="s">
        <v>98</v>
      </c>
      <c r="D2080" s="9" t="s">
        <v>45</v>
      </c>
      <c r="E2080" s="9" t="s">
        <v>99</v>
      </c>
      <c r="F2080" s="5" t="n">
        <v>60</v>
      </c>
      <c r="G2080" s="10"/>
      <c r="H2080" s="11" t="str">
        <f aca="false">IFERROR(IF($D2080="Manual Review","",IF($G2080="","",IF($D2080="Direct Expiry",$G2080,EDATE($G2080,$F2080)))),"Check Date")</f>
        <v/>
      </c>
      <c r="I2080" s="12" t="str">
        <f aca="true">IF($H2080="","",IF(ISNUMBER($H2080),$H2080-TODAY(),""))</f>
        <v/>
      </c>
      <c r="J2080" s="4" t="str">
        <f aca="true">IF($D2080="Manual Review","Manual Review",IF($G2080="","No Data",IF(NOT(ISNUMBER($H2080)),"N/A",IF($H2080&lt;TODAY(),"Overdue",IF($H2080&lt;=TODAY()+30,"Due within 1 Month",IF($H2080&lt;=TODAY()+60,"Due within 2 Months","OK"))))))</f>
        <v>No Data</v>
      </c>
      <c r="K2080" s="13"/>
    </row>
    <row r="2081" customFormat="false" ht="15" hidden="false" customHeight="false" outlineLevel="0" collapsed="false">
      <c r="A2081" s="9" t="str">
        <f aca="false">Vessels!B23</f>
        <v>Vessel 19</v>
      </c>
      <c r="B2081" s="9" t="s">
        <v>88</v>
      </c>
      <c r="C2081" s="7" t="s">
        <v>100</v>
      </c>
      <c r="D2081" s="9" t="s">
        <v>45</v>
      </c>
      <c r="E2081" s="9" t="s">
        <v>44</v>
      </c>
      <c r="F2081" s="5" t="n">
        <v>12</v>
      </c>
      <c r="G2081" s="10"/>
      <c r="H2081" s="11" t="str">
        <f aca="false">IFERROR(IF($D2081="Manual Review","",IF($G2081="","",IF($D2081="Direct Expiry",$G2081,EDATE($G2081,$F2081)))),"Check Date")</f>
        <v/>
      </c>
      <c r="I2081" s="12" t="str">
        <f aca="true">IF($H2081="","",IF(ISNUMBER($H2081),$H2081-TODAY(),""))</f>
        <v/>
      </c>
      <c r="J2081" s="4" t="str">
        <f aca="true">IF($D2081="Manual Review","Manual Review",IF($G2081="","No Data",IF(NOT(ISNUMBER($H2081)),"N/A",IF($H2081&lt;TODAY(),"Overdue",IF($H2081&lt;=TODAY()+30,"Due within 1 Month",IF($H2081&lt;=TODAY()+60,"Due within 2 Months","OK"))))))</f>
        <v>No Data</v>
      </c>
      <c r="K2081" s="13"/>
    </row>
    <row r="2082" customFormat="false" ht="15" hidden="false" customHeight="false" outlineLevel="0" collapsed="false">
      <c r="A2082" s="9" t="str">
        <f aca="false">Vessels!B23</f>
        <v>Vessel 19</v>
      </c>
      <c r="B2082" s="9" t="s">
        <v>88</v>
      </c>
      <c r="C2082" s="7" t="s">
        <v>100</v>
      </c>
      <c r="D2082" s="9" t="s">
        <v>45</v>
      </c>
      <c r="E2082" s="9" t="s">
        <v>99</v>
      </c>
      <c r="F2082" s="5" t="n">
        <v>60</v>
      </c>
      <c r="G2082" s="10"/>
      <c r="H2082" s="11" t="str">
        <f aca="false">IFERROR(IF($D2082="Manual Review","",IF($G2082="","",IF($D2082="Direct Expiry",$G2082,EDATE($G2082,$F2082)))),"Check Date")</f>
        <v/>
      </c>
      <c r="I2082" s="12" t="str">
        <f aca="true">IF($H2082="","",IF(ISNUMBER($H2082),$H2082-TODAY(),""))</f>
        <v/>
      </c>
      <c r="J2082" s="4" t="str">
        <f aca="true">IF($D2082="Manual Review","Manual Review",IF($G2082="","No Data",IF(NOT(ISNUMBER($H2082)),"N/A",IF($H2082&lt;TODAY(),"Overdue",IF($H2082&lt;=TODAY()+30,"Due within 1 Month",IF($H2082&lt;=TODAY()+60,"Due within 2 Months","OK"))))))</f>
        <v>No Data</v>
      </c>
      <c r="K2082" s="13"/>
    </row>
    <row r="2083" customFormat="false" ht="15" hidden="false" customHeight="false" outlineLevel="0" collapsed="false">
      <c r="A2083" s="9" t="str">
        <f aca="false">Vessels!B23</f>
        <v>Vessel 19</v>
      </c>
      <c r="B2083" s="9" t="s">
        <v>88</v>
      </c>
      <c r="C2083" s="7" t="s">
        <v>101</v>
      </c>
      <c r="D2083" s="9" t="s">
        <v>45</v>
      </c>
      <c r="E2083" s="9" t="s">
        <v>44</v>
      </c>
      <c r="F2083" s="5" t="n">
        <v>12</v>
      </c>
      <c r="G2083" s="10"/>
      <c r="H2083" s="11" t="str">
        <f aca="false">IFERROR(IF($D2083="Manual Review","",IF($G2083="","",IF($D2083="Direct Expiry",$G2083,EDATE($G2083,$F2083)))),"Check Date")</f>
        <v/>
      </c>
      <c r="I2083" s="12" t="str">
        <f aca="true">IF($H2083="","",IF(ISNUMBER($H2083),$H2083-TODAY(),""))</f>
        <v/>
      </c>
      <c r="J2083" s="4" t="str">
        <f aca="true">IF($D2083="Manual Review","Manual Review",IF($G2083="","No Data",IF(NOT(ISNUMBER($H2083)),"N/A",IF($H2083&lt;TODAY(),"Overdue",IF($H2083&lt;=TODAY()+30,"Due within 1 Month",IF($H2083&lt;=TODAY()+60,"Due within 2 Months","OK"))))))</f>
        <v>No Data</v>
      </c>
      <c r="K2083" s="13"/>
    </row>
    <row r="2084" customFormat="false" ht="23.85" hidden="false" customHeight="false" outlineLevel="0" collapsed="false">
      <c r="A2084" s="9" t="str">
        <f aca="false">Vessels!B23</f>
        <v>Vessel 19</v>
      </c>
      <c r="B2084" s="9" t="s">
        <v>88</v>
      </c>
      <c r="C2084" s="7" t="s">
        <v>102</v>
      </c>
      <c r="D2084" s="9" t="s">
        <v>45</v>
      </c>
      <c r="E2084" s="9" t="s">
        <v>44</v>
      </c>
      <c r="F2084" s="5" t="n">
        <v>12</v>
      </c>
      <c r="G2084" s="10"/>
      <c r="H2084" s="11" t="str">
        <f aca="false">IFERROR(IF($D2084="Manual Review","",IF($G2084="","",IF($D2084="Direct Expiry",$G2084,EDATE($G2084,$F2084)))),"Check Date")</f>
        <v/>
      </c>
      <c r="I2084" s="12" t="str">
        <f aca="true">IF($H2084="","",IF(ISNUMBER($H2084),$H2084-TODAY(),""))</f>
        <v/>
      </c>
      <c r="J2084" s="4" t="str">
        <f aca="true">IF($D2084="Manual Review","Manual Review",IF($G2084="","No Data",IF(NOT(ISNUMBER($H2084)),"N/A",IF($H2084&lt;TODAY(),"Overdue",IF($H2084&lt;=TODAY()+30,"Due within 1 Month",IF($H2084&lt;=TODAY()+60,"Due within 2 Months","OK"))))))</f>
        <v>No Data</v>
      </c>
      <c r="K2084" s="13"/>
    </row>
    <row r="2085" customFormat="false" ht="23.85" hidden="false" customHeight="false" outlineLevel="0" collapsed="false">
      <c r="A2085" s="9" t="str">
        <f aca="false">Vessels!B23</f>
        <v>Vessel 19</v>
      </c>
      <c r="B2085" s="9" t="s">
        <v>88</v>
      </c>
      <c r="C2085" s="7" t="s">
        <v>102</v>
      </c>
      <c r="D2085" s="9" t="s">
        <v>45</v>
      </c>
      <c r="E2085" s="9" t="s">
        <v>97</v>
      </c>
      <c r="F2085" s="5" t="n">
        <v>120</v>
      </c>
      <c r="G2085" s="10"/>
      <c r="H2085" s="11" t="str">
        <f aca="false">IFERROR(IF($D2085="Manual Review","",IF($G2085="","",IF($D2085="Direct Expiry",$G2085,EDATE($G2085,$F2085)))),"Check Date")</f>
        <v/>
      </c>
      <c r="I2085" s="12" t="str">
        <f aca="true">IF($H2085="","",IF(ISNUMBER($H2085),$H2085-TODAY(),""))</f>
        <v/>
      </c>
      <c r="J2085" s="4" t="str">
        <f aca="true">IF($D2085="Manual Review","Manual Review",IF($G2085="","No Data",IF(NOT(ISNUMBER($H2085)),"N/A",IF($H2085&lt;TODAY(),"Overdue",IF($H2085&lt;=TODAY()+30,"Due within 1 Month",IF($H2085&lt;=TODAY()+60,"Due within 2 Months","OK"))))))</f>
        <v>No Data</v>
      </c>
      <c r="K2085" s="13"/>
    </row>
    <row r="2086" customFormat="false" ht="15" hidden="false" customHeight="false" outlineLevel="0" collapsed="false">
      <c r="A2086" s="9" t="str">
        <f aca="false">Vessels!B23</f>
        <v>Vessel 19</v>
      </c>
      <c r="B2086" s="9" t="s">
        <v>88</v>
      </c>
      <c r="C2086" s="7" t="s">
        <v>103</v>
      </c>
      <c r="D2086" s="9" t="s">
        <v>45</v>
      </c>
      <c r="E2086" s="9" t="s">
        <v>44</v>
      </c>
      <c r="F2086" s="5" t="n">
        <v>12</v>
      </c>
      <c r="G2086" s="10"/>
      <c r="H2086" s="11" t="str">
        <f aca="false">IFERROR(IF($D2086="Manual Review","",IF($G2086="","",IF($D2086="Direct Expiry",$G2086,EDATE($G2086,$F2086)))),"Check Date")</f>
        <v/>
      </c>
      <c r="I2086" s="12" t="str">
        <f aca="true">IF($H2086="","",IF(ISNUMBER($H2086),$H2086-TODAY(),""))</f>
        <v/>
      </c>
      <c r="J2086" s="4" t="str">
        <f aca="true">IF($D2086="Manual Review","Manual Review",IF($G2086="","No Data",IF(NOT(ISNUMBER($H2086)),"N/A",IF($H2086&lt;TODAY(),"Overdue",IF($H2086&lt;=TODAY()+30,"Due within 1 Month",IF($H2086&lt;=TODAY()+60,"Due within 2 Months","OK"))))))</f>
        <v>No Data</v>
      </c>
      <c r="K2086" s="13"/>
    </row>
    <row r="2087" customFormat="false" ht="15" hidden="false" customHeight="false" outlineLevel="0" collapsed="false">
      <c r="A2087" s="9" t="str">
        <f aca="false">Vessels!B23</f>
        <v>Vessel 19</v>
      </c>
      <c r="B2087" s="9" t="s">
        <v>88</v>
      </c>
      <c r="C2087" s="7" t="s">
        <v>103</v>
      </c>
      <c r="D2087" s="9" t="s">
        <v>45</v>
      </c>
      <c r="E2087" s="9" t="s">
        <v>97</v>
      </c>
      <c r="F2087" s="5" t="n">
        <v>120</v>
      </c>
      <c r="G2087" s="10"/>
      <c r="H2087" s="11" t="str">
        <f aca="false">IFERROR(IF($D2087="Manual Review","",IF($G2087="","",IF($D2087="Direct Expiry",$G2087,EDATE($G2087,$F2087)))),"Check Date")</f>
        <v/>
      </c>
      <c r="I2087" s="12" t="str">
        <f aca="true">IF($H2087="","",IF(ISNUMBER($H2087),$H2087-TODAY(),""))</f>
        <v/>
      </c>
      <c r="J2087" s="4" t="str">
        <f aca="true">IF($D2087="Manual Review","Manual Review",IF($G2087="","No Data",IF(NOT(ISNUMBER($H2087)),"N/A",IF($H2087&lt;TODAY(),"Overdue",IF($H2087&lt;=TODAY()+30,"Due within 1 Month",IF($H2087&lt;=TODAY()+60,"Due within 2 Months","OK"))))))</f>
        <v>No Data</v>
      </c>
      <c r="K2087" s="13"/>
    </row>
    <row r="2088" customFormat="false" ht="15" hidden="false" customHeight="false" outlineLevel="0" collapsed="false">
      <c r="A2088" s="9" t="str">
        <f aca="false">Vessels!B23</f>
        <v>Vessel 19</v>
      </c>
      <c r="B2088" s="9" t="s">
        <v>88</v>
      </c>
      <c r="C2088" s="7" t="s">
        <v>104</v>
      </c>
      <c r="D2088" s="9" t="s">
        <v>45</v>
      </c>
      <c r="E2088" s="9" t="s">
        <v>44</v>
      </c>
      <c r="F2088" s="5" t="n">
        <v>12</v>
      </c>
      <c r="G2088" s="10"/>
      <c r="H2088" s="11" t="str">
        <f aca="false">IFERROR(IF($D2088="Manual Review","",IF($G2088="","",IF($D2088="Direct Expiry",$G2088,EDATE($G2088,$F2088)))),"Check Date")</f>
        <v/>
      </c>
      <c r="I2088" s="12" t="str">
        <f aca="true">IF($H2088="","",IF(ISNUMBER($H2088),$H2088-TODAY(),""))</f>
        <v/>
      </c>
      <c r="J2088" s="4" t="str">
        <f aca="true">IF($D2088="Manual Review","Manual Review",IF($G2088="","No Data",IF(NOT(ISNUMBER($H2088)),"N/A",IF($H2088&lt;TODAY(),"Overdue",IF($H2088&lt;=TODAY()+30,"Due within 1 Month",IF($H2088&lt;=TODAY()+60,"Due within 2 Months","OK"))))))</f>
        <v>No Data</v>
      </c>
      <c r="K2088" s="13"/>
    </row>
    <row r="2089" customFormat="false" ht="15" hidden="false" customHeight="false" outlineLevel="0" collapsed="false">
      <c r="A2089" s="9" t="str">
        <f aca="false">Vessels!B23</f>
        <v>Vessel 19</v>
      </c>
      <c r="B2089" s="9" t="s">
        <v>88</v>
      </c>
      <c r="C2089" s="7" t="s">
        <v>105</v>
      </c>
      <c r="D2089" s="9" t="s">
        <v>45</v>
      </c>
      <c r="E2089" s="9" t="s">
        <v>44</v>
      </c>
      <c r="F2089" s="5" t="n">
        <v>12</v>
      </c>
      <c r="G2089" s="10"/>
      <c r="H2089" s="11" t="str">
        <f aca="false">IFERROR(IF($D2089="Manual Review","",IF($G2089="","",IF($D2089="Direct Expiry",$G2089,EDATE($G2089,$F2089)))),"Check Date")</f>
        <v/>
      </c>
      <c r="I2089" s="12" t="str">
        <f aca="true">IF($H2089="","",IF(ISNUMBER($H2089),$H2089-TODAY(),""))</f>
        <v/>
      </c>
      <c r="J2089" s="4" t="str">
        <f aca="true">IF($D2089="Manual Review","Manual Review",IF($G2089="","No Data",IF(NOT(ISNUMBER($H2089)),"N/A",IF($H2089&lt;TODAY(),"Overdue",IF($H2089&lt;=TODAY()+30,"Due within 1 Month",IF($H2089&lt;=TODAY()+60,"Due within 2 Months","OK"))))))</f>
        <v>No Data</v>
      </c>
      <c r="K2089" s="13"/>
    </row>
    <row r="2090" customFormat="false" ht="15" hidden="false" customHeight="false" outlineLevel="0" collapsed="false">
      <c r="A2090" s="9" t="str">
        <f aca="false">Vessels!B23</f>
        <v>Vessel 19</v>
      </c>
      <c r="B2090" s="9" t="s">
        <v>88</v>
      </c>
      <c r="C2090" s="7" t="s">
        <v>106</v>
      </c>
      <c r="D2090" s="9" t="s">
        <v>45</v>
      </c>
      <c r="E2090" s="9" t="s">
        <v>44</v>
      </c>
      <c r="F2090" s="5" t="n">
        <v>12</v>
      </c>
      <c r="G2090" s="10"/>
      <c r="H2090" s="11" t="str">
        <f aca="false">IFERROR(IF($D2090="Manual Review","",IF($G2090="","",IF($D2090="Direct Expiry",$G2090,EDATE($G2090,$F2090)))),"Check Date")</f>
        <v/>
      </c>
      <c r="I2090" s="12" t="str">
        <f aca="true">IF($H2090="","",IF(ISNUMBER($H2090),$H2090-TODAY(),""))</f>
        <v/>
      </c>
      <c r="J2090" s="4" t="str">
        <f aca="true">IF($D2090="Manual Review","Manual Review",IF($G2090="","No Data",IF(NOT(ISNUMBER($H2090)),"N/A",IF($H2090&lt;TODAY(),"Overdue",IF($H2090&lt;=TODAY()+30,"Due within 1 Month",IF($H2090&lt;=TODAY()+60,"Due within 2 Months","OK"))))))</f>
        <v>No Data</v>
      </c>
      <c r="K2090" s="13"/>
    </row>
    <row r="2091" customFormat="false" ht="15" hidden="false" customHeight="false" outlineLevel="0" collapsed="false">
      <c r="A2091" s="9" t="str">
        <f aca="false">Vessels!B23</f>
        <v>Vessel 19</v>
      </c>
      <c r="B2091" s="9" t="s">
        <v>88</v>
      </c>
      <c r="C2091" s="7" t="s">
        <v>107</v>
      </c>
      <c r="D2091" s="9" t="s">
        <v>45</v>
      </c>
      <c r="E2091" s="9" t="s">
        <v>44</v>
      </c>
      <c r="F2091" s="5" t="n">
        <v>12</v>
      </c>
      <c r="G2091" s="10"/>
      <c r="H2091" s="11" t="str">
        <f aca="false">IFERROR(IF($D2091="Manual Review","",IF($G2091="","",IF($D2091="Direct Expiry",$G2091,EDATE($G2091,$F2091)))),"Check Date")</f>
        <v/>
      </c>
      <c r="I2091" s="12" t="str">
        <f aca="true">IF($H2091="","",IF(ISNUMBER($H2091),$H2091-TODAY(),""))</f>
        <v/>
      </c>
      <c r="J2091" s="4" t="str">
        <f aca="true">IF($D2091="Manual Review","Manual Review",IF($G2091="","No Data",IF(NOT(ISNUMBER($H2091)),"N/A",IF($H2091&lt;TODAY(),"Overdue",IF($H2091&lt;=TODAY()+30,"Due within 1 Month",IF($H2091&lt;=TODAY()+60,"Due within 2 Months","OK"))))))</f>
        <v>No Data</v>
      </c>
      <c r="K2091" s="13"/>
    </row>
    <row r="2092" customFormat="false" ht="15" hidden="false" customHeight="false" outlineLevel="0" collapsed="false">
      <c r="A2092" s="9" t="str">
        <f aca="false">Vessels!B23</f>
        <v>Vessel 19</v>
      </c>
      <c r="B2092" s="9" t="s">
        <v>88</v>
      </c>
      <c r="C2092" s="7" t="s">
        <v>108</v>
      </c>
      <c r="D2092" s="9" t="s">
        <v>45</v>
      </c>
      <c r="E2092" s="9" t="s">
        <v>109</v>
      </c>
      <c r="F2092" s="5" t="n">
        <v>12</v>
      </c>
      <c r="G2092" s="10"/>
      <c r="H2092" s="11" t="str">
        <f aca="false">IFERROR(IF($D2092="Manual Review","",IF($G2092="","",IF($D2092="Direct Expiry",$G2092,EDATE($G2092,$F2092)))),"Check Date")</f>
        <v/>
      </c>
      <c r="I2092" s="12" t="str">
        <f aca="true">IF($H2092="","",IF(ISNUMBER($H2092),$H2092-TODAY(),""))</f>
        <v/>
      </c>
      <c r="J2092" s="4" t="str">
        <f aca="true">IF($D2092="Manual Review","Manual Review",IF($G2092="","No Data",IF(NOT(ISNUMBER($H2092)),"N/A",IF($H2092&lt;TODAY(),"Overdue",IF($H2092&lt;=TODAY()+30,"Due within 1 Month",IF($H2092&lt;=TODAY()+60,"Due within 2 Months","OK"))))))</f>
        <v>No Data</v>
      </c>
      <c r="K2092" s="13"/>
    </row>
    <row r="2093" customFormat="false" ht="15" hidden="false" customHeight="false" outlineLevel="0" collapsed="false">
      <c r="A2093" s="9" t="str">
        <f aca="false">Vessels!B23</f>
        <v>Vessel 19</v>
      </c>
      <c r="B2093" s="9" t="s">
        <v>88</v>
      </c>
      <c r="C2093" s="7" t="s">
        <v>108</v>
      </c>
      <c r="D2093" s="9" t="s">
        <v>45</v>
      </c>
      <c r="E2093" s="9" t="s">
        <v>110</v>
      </c>
      <c r="F2093" s="5" t="n">
        <v>60</v>
      </c>
      <c r="G2093" s="10"/>
      <c r="H2093" s="11" t="str">
        <f aca="false">IFERROR(IF($D2093="Manual Review","",IF($G2093="","",IF($D2093="Direct Expiry",$G2093,EDATE($G2093,$F2093)))),"Check Date")</f>
        <v/>
      </c>
      <c r="I2093" s="12" t="str">
        <f aca="true">IF($H2093="","",IF(ISNUMBER($H2093),$H2093-TODAY(),""))</f>
        <v/>
      </c>
      <c r="J2093" s="4" t="str">
        <f aca="true">IF($D2093="Manual Review","Manual Review",IF($G2093="","No Data",IF(NOT(ISNUMBER($H2093)),"N/A",IF($H2093&lt;TODAY(),"Overdue",IF($H2093&lt;=TODAY()+30,"Due within 1 Month",IF($H2093&lt;=TODAY()+60,"Due within 2 Months","OK"))))))</f>
        <v>No Data</v>
      </c>
      <c r="K2093" s="13"/>
    </row>
    <row r="2094" customFormat="false" ht="15" hidden="false" customHeight="false" outlineLevel="0" collapsed="false">
      <c r="A2094" s="9" t="str">
        <f aca="false">Vessels!B23</f>
        <v>Vessel 19</v>
      </c>
      <c r="B2094" s="9" t="s">
        <v>88</v>
      </c>
      <c r="C2094" s="7" t="s">
        <v>111</v>
      </c>
      <c r="D2094" s="9" t="s">
        <v>45</v>
      </c>
      <c r="E2094" s="9" t="s">
        <v>44</v>
      </c>
      <c r="F2094" s="5" t="n">
        <v>12</v>
      </c>
      <c r="G2094" s="10"/>
      <c r="H2094" s="11" t="str">
        <f aca="false">IFERROR(IF($D2094="Manual Review","",IF($G2094="","",IF($D2094="Direct Expiry",$G2094,EDATE($G2094,$F2094)))),"Check Date")</f>
        <v/>
      </c>
      <c r="I2094" s="12" t="str">
        <f aca="true">IF($H2094="","",IF(ISNUMBER($H2094),$H2094-TODAY(),""))</f>
        <v/>
      </c>
      <c r="J2094" s="4" t="str">
        <f aca="true">IF($D2094="Manual Review","Manual Review",IF($G2094="","No Data",IF(NOT(ISNUMBER($H2094)),"N/A",IF($H2094&lt;TODAY(),"Overdue",IF($H2094&lt;=TODAY()+30,"Due within 1 Month",IF($H2094&lt;=TODAY()+60,"Due within 2 Months","OK"))))))</f>
        <v>No Data</v>
      </c>
      <c r="K2094" s="13"/>
    </row>
    <row r="2095" customFormat="false" ht="15" hidden="false" customHeight="false" outlineLevel="0" collapsed="false">
      <c r="A2095" s="9" t="str">
        <f aca="false">Vessels!B23</f>
        <v>Vessel 19</v>
      </c>
      <c r="B2095" s="9" t="s">
        <v>88</v>
      </c>
      <c r="C2095" s="7" t="s">
        <v>112</v>
      </c>
      <c r="D2095" s="9" t="s">
        <v>45</v>
      </c>
      <c r="E2095" s="9" t="s">
        <v>44</v>
      </c>
      <c r="F2095" s="5" t="n">
        <v>12</v>
      </c>
      <c r="G2095" s="10"/>
      <c r="H2095" s="11" t="str">
        <f aca="false">IFERROR(IF($D2095="Manual Review","",IF($G2095="","",IF($D2095="Direct Expiry",$G2095,EDATE($G2095,$F2095)))),"Check Date")</f>
        <v/>
      </c>
      <c r="I2095" s="12" t="str">
        <f aca="true">IF($H2095="","",IF(ISNUMBER($H2095),$H2095-TODAY(),""))</f>
        <v/>
      </c>
      <c r="J2095" s="4" t="str">
        <f aca="true">IF($D2095="Manual Review","Manual Review",IF($G2095="","No Data",IF(NOT(ISNUMBER($H2095)),"N/A",IF($H2095&lt;TODAY(),"Overdue",IF($H2095&lt;=TODAY()+30,"Due within 1 Month",IF($H2095&lt;=TODAY()+60,"Due within 2 Months","OK"))))))</f>
        <v>No Data</v>
      </c>
      <c r="K2095" s="13"/>
    </row>
    <row r="2096" customFormat="false" ht="15" hidden="false" customHeight="false" outlineLevel="0" collapsed="false">
      <c r="A2096" s="9" t="str">
        <f aca="false">Vessels!B23</f>
        <v>Vessel 19</v>
      </c>
      <c r="B2096" s="9" t="s">
        <v>88</v>
      </c>
      <c r="C2096" s="7" t="s">
        <v>113</v>
      </c>
      <c r="D2096" s="9" t="s">
        <v>115</v>
      </c>
      <c r="E2096" s="9" t="s">
        <v>114</v>
      </c>
      <c r="F2096" s="5"/>
      <c r="G2096" s="10"/>
      <c r="H2096" s="11" t="str">
        <f aca="false">IFERROR(IF($D2096="Manual Review","",IF($G2096="","",IF($D2096="Direct Expiry",$G2096,EDATE($G2096,$F2096)))),"Check Date")</f>
        <v/>
      </c>
      <c r="I2096" s="12" t="str">
        <f aca="true">IF($H2096="","",IF(ISNUMBER($H2096),$H2096-TODAY(),""))</f>
        <v/>
      </c>
      <c r="J2096" s="4" t="str">
        <f aca="true">IF($D2096="Manual Review","Manual Review",IF($G2096="","No Data",IF(NOT(ISNUMBER($H2096)),"N/A",IF($H2096&lt;TODAY(),"Overdue",IF($H2096&lt;=TODAY()+30,"Due within 1 Month",IF($H2096&lt;=TODAY()+60,"Due within 2 Months","OK"))))))</f>
        <v>Manual Review</v>
      </c>
      <c r="K2096" s="13"/>
    </row>
    <row r="2097" customFormat="false" ht="15" hidden="false" customHeight="false" outlineLevel="0" collapsed="false">
      <c r="A2097" s="9" t="str">
        <f aca="false">Vessels!B23</f>
        <v>Vessel 19</v>
      </c>
      <c r="B2097" s="9" t="s">
        <v>88</v>
      </c>
      <c r="C2097" s="7" t="s">
        <v>116</v>
      </c>
      <c r="D2097" s="9" t="s">
        <v>115</v>
      </c>
      <c r="E2097" s="9" t="s">
        <v>114</v>
      </c>
      <c r="F2097" s="5"/>
      <c r="G2097" s="10"/>
      <c r="H2097" s="11" t="str">
        <f aca="false">IFERROR(IF($D2097="Manual Review","",IF($G2097="","",IF($D2097="Direct Expiry",$G2097,EDATE($G2097,$F2097)))),"Check Date")</f>
        <v/>
      </c>
      <c r="I2097" s="12" t="str">
        <f aca="true">IF($H2097="","",IF(ISNUMBER($H2097),$H2097-TODAY(),""))</f>
        <v/>
      </c>
      <c r="J2097" s="4" t="str">
        <f aca="true">IF($D2097="Manual Review","Manual Review",IF($G2097="","No Data",IF(NOT(ISNUMBER($H2097)),"N/A",IF($H2097&lt;TODAY(),"Overdue",IF($H2097&lt;=TODAY()+30,"Due within 1 Month",IF($H2097&lt;=TODAY()+60,"Due within 2 Months","OK"))))))</f>
        <v>Manual Review</v>
      </c>
      <c r="K2097" s="13"/>
    </row>
    <row r="2098" customFormat="false" ht="15" hidden="false" customHeight="false" outlineLevel="0" collapsed="false">
      <c r="A2098" s="9" t="str">
        <f aca="false">Vessels!B23</f>
        <v>Vessel 19</v>
      </c>
      <c r="B2098" s="9" t="s">
        <v>117</v>
      </c>
      <c r="C2098" s="7" t="s">
        <v>118</v>
      </c>
      <c r="D2098" s="9" t="s">
        <v>59</v>
      </c>
      <c r="E2098" s="9" t="s">
        <v>119</v>
      </c>
      <c r="F2098" s="5"/>
      <c r="G2098" s="10"/>
      <c r="H2098" s="11" t="str">
        <f aca="false">IFERROR(IF($D2098="Manual Review","",IF($G2098="","",IF($D2098="Direct Expiry",$G2098,EDATE($G2098,$F2098)))),"Check Date")</f>
        <v/>
      </c>
      <c r="I2098" s="12" t="str">
        <f aca="true">IF($H2098="","",IF(ISNUMBER($H2098),$H2098-TODAY(),""))</f>
        <v/>
      </c>
      <c r="J2098" s="4" t="str">
        <f aca="true">IF($D2098="Manual Review","Manual Review",IF($G2098="","No Data",IF(NOT(ISNUMBER($H2098)),"N/A",IF($H2098&lt;TODAY(),"Overdue",IF($H2098&lt;=TODAY()+30,"Due within 1 Month",IF($H2098&lt;=TODAY()+60,"Due within 2 Months","OK"))))))</f>
        <v>No Data</v>
      </c>
      <c r="K2098" s="13"/>
    </row>
    <row r="2099" customFormat="false" ht="15" hidden="false" customHeight="false" outlineLevel="0" collapsed="false">
      <c r="A2099" s="9" t="str">
        <f aca="false">Vessels!B23</f>
        <v>Vessel 19</v>
      </c>
      <c r="B2099" s="9" t="s">
        <v>117</v>
      </c>
      <c r="C2099" s="7" t="s">
        <v>120</v>
      </c>
      <c r="D2099" s="9" t="s">
        <v>45</v>
      </c>
      <c r="E2099" s="9" t="s">
        <v>44</v>
      </c>
      <c r="F2099" s="5" t="n">
        <v>12</v>
      </c>
      <c r="G2099" s="10"/>
      <c r="H2099" s="11" t="str">
        <f aca="false">IFERROR(IF($D2099="Manual Review","",IF($G2099="","",IF($D2099="Direct Expiry",$G2099,EDATE($G2099,$F2099)))),"Check Date")</f>
        <v/>
      </c>
      <c r="I2099" s="12" t="str">
        <f aca="true">IF($H2099="","",IF(ISNUMBER($H2099),$H2099-TODAY(),""))</f>
        <v/>
      </c>
      <c r="J2099" s="4" t="str">
        <f aca="true">IF($D2099="Manual Review","Manual Review",IF($G2099="","No Data",IF(NOT(ISNUMBER($H2099)),"N/A",IF($H2099&lt;TODAY(),"Overdue",IF($H2099&lt;=TODAY()+30,"Due within 1 Month",IF($H2099&lt;=TODAY()+60,"Due within 2 Months","OK"))))))</f>
        <v>No Data</v>
      </c>
      <c r="K2099" s="13"/>
    </row>
    <row r="2100" customFormat="false" ht="15" hidden="false" customHeight="false" outlineLevel="0" collapsed="false">
      <c r="A2100" s="9" t="str">
        <f aca="false">Vessels!B23</f>
        <v>Vessel 19</v>
      </c>
      <c r="B2100" s="9" t="s">
        <v>117</v>
      </c>
      <c r="C2100" s="7" t="s">
        <v>121</v>
      </c>
      <c r="D2100" s="9" t="s">
        <v>45</v>
      </c>
      <c r="E2100" s="9" t="s">
        <v>44</v>
      </c>
      <c r="F2100" s="5" t="n">
        <v>12</v>
      </c>
      <c r="G2100" s="10"/>
      <c r="H2100" s="11" t="str">
        <f aca="false">IFERROR(IF($D2100="Manual Review","",IF($G2100="","",IF($D2100="Direct Expiry",$G2100,EDATE($G2100,$F2100)))),"Check Date")</f>
        <v/>
      </c>
      <c r="I2100" s="12" t="str">
        <f aca="true">IF($H2100="","",IF(ISNUMBER($H2100),$H2100-TODAY(),""))</f>
        <v/>
      </c>
      <c r="J2100" s="4" t="str">
        <f aca="true">IF($D2100="Manual Review","Manual Review",IF($G2100="","No Data",IF(NOT(ISNUMBER($H2100)),"N/A",IF($H2100&lt;TODAY(),"Overdue",IF($H2100&lt;=TODAY()+30,"Due within 1 Month",IF($H2100&lt;=TODAY()+60,"Due within 2 Months","OK"))))))</f>
        <v>No Data</v>
      </c>
      <c r="K2100" s="13"/>
    </row>
    <row r="2101" customFormat="false" ht="15" hidden="false" customHeight="false" outlineLevel="0" collapsed="false">
      <c r="A2101" s="9" t="str">
        <f aca="false">Vessels!B23</f>
        <v>Vessel 19</v>
      </c>
      <c r="B2101" s="9" t="s">
        <v>117</v>
      </c>
      <c r="C2101" s="7" t="s">
        <v>122</v>
      </c>
      <c r="D2101" s="9" t="s">
        <v>45</v>
      </c>
      <c r="E2101" s="9" t="s">
        <v>123</v>
      </c>
      <c r="F2101" s="5" t="n">
        <v>24</v>
      </c>
      <c r="G2101" s="10"/>
      <c r="H2101" s="11" t="str">
        <f aca="false">IFERROR(IF($D2101="Manual Review","",IF($G2101="","",IF($D2101="Direct Expiry",$G2101,EDATE($G2101,$F2101)))),"Check Date")</f>
        <v/>
      </c>
      <c r="I2101" s="12" t="str">
        <f aca="true">IF($H2101="","",IF(ISNUMBER($H2101),$H2101-TODAY(),""))</f>
        <v/>
      </c>
      <c r="J2101" s="4" t="str">
        <f aca="true">IF($D2101="Manual Review","Manual Review",IF($G2101="","No Data",IF(NOT(ISNUMBER($H2101)),"N/A",IF($H2101&lt;TODAY(),"Overdue",IF($H2101&lt;=TODAY()+30,"Due within 1 Month",IF($H2101&lt;=TODAY()+60,"Due within 2 Months","OK"))))))</f>
        <v>No Data</v>
      </c>
      <c r="K2101" s="13"/>
    </row>
    <row r="2102" customFormat="false" ht="15" hidden="false" customHeight="false" outlineLevel="0" collapsed="false">
      <c r="A2102" s="9" t="str">
        <f aca="false">Vessels!B23</f>
        <v>Vessel 19</v>
      </c>
      <c r="B2102" s="9" t="s">
        <v>117</v>
      </c>
      <c r="C2102" s="7" t="s">
        <v>124</v>
      </c>
      <c r="D2102" s="9" t="s">
        <v>59</v>
      </c>
      <c r="E2102" s="9" t="s">
        <v>58</v>
      </c>
      <c r="F2102" s="5"/>
      <c r="G2102" s="10"/>
      <c r="H2102" s="11" t="str">
        <f aca="false">IFERROR(IF($D2102="Manual Review","",IF($G2102="","",IF($D2102="Direct Expiry",$G2102,EDATE($G2102,$F2102)))),"Check Date")</f>
        <v/>
      </c>
      <c r="I2102" s="12" t="str">
        <f aca="true">IF($H2102="","",IF(ISNUMBER($H2102),$H2102-TODAY(),""))</f>
        <v/>
      </c>
      <c r="J2102" s="4" t="str">
        <f aca="true">IF($D2102="Manual Review","Manual Review",IF($G2102="","No Data",IF(NOT(ISNUMBER($H2102)),"N/A",IF($H2102&lt;TODAY(),"Overdue",IF($H2102&lt;=TODAY()+30,"Due within 1 Month",IF($H2102&lt;=TODAY()+60,"Due within 2 Months","OK"))))))</f>
        <v>No Data</v>
      </c>
      <c r="K2102" s="13"/>
    </row>
    <row r="2103" customFormat="false" ht="15" hidden="false" customHeight="false" outlineLevel="0" collapsed="false">
      <c r="A2103" s="9" t="str">
        <f aca="false">Vessels!B23</f>
        <v>Vessel 19</v>
      </c>
      <c r="B2103" s="9" t="s">
        <v>117</v>
      </c>
      <c r="C2103" s="7" t="s">
        <v>125</v>
      </c>
      <c r="D2103" s="9" t="s">
        <v>59</v>
      </c>
      <c r="E2103" s="9" t="s">
        <v>58</v>
      </c>
      <c r="F2103" s="5"/>
      <c r="G2103" s="10"/>
      <c r="H2103" s="11" t="str">
        <f aca="false">IFERROR(IF($D2103="Manual Review","",IF($G2103="","",IF($D2103="Direct Expiry",$G2103,EDATE($G2103,$F2103)))),"Check Date")</f>
        <v/>
      </c>
      <c r="I2103" s="12" t="str">
        <f aca="true">IF($H2103="","",IF(ISNUMBER($H2103),$H2103-TODAY(),""))</f>
        <v/>
      </c>
      <c r="J2103" s="4" t="str">
        <f aca="true">IF($D2103="Manual Review","Manual Review",IF($G2103="","No Data",IF(NOT(ISNUMBER($H2103)),"N/A",IF($H2103&lt;TODAY(),"Overdue",IF($H2103&lt;=TODAY()+30,"Due within 1 Month",IF($H2103&lt;=TODAY()+60,"Due within 2 Months","OK"))))))</f>
        <v>No Data</v>
      </c>
      <c r="K2103" s="13"/>
    </row>
    <row r="2104" customFormat="false" ht="15" hidden="false" customHeight="false" outlineLevel="0" collapsed="false">
      <c r="A2104" s="9" t="str">
        <f aca="false">Vessels!B23</f>
        <v>Vessel 19</v>
      </c>
      <c r="B2104" s="9" t="s">
        <v>117</v>
      </c>
      <c r="C2104" s="7" t="s">
        <v>126</v>
      </c>
      <c r="D2104" s="9" t="s">
        <v>45</v>
      </c>
      <c r="E2104" s="9" t="s">
        <v>44</v>
      </c>
      <c r="F2104" s="5" t="n">
        <v>12</v>
      </c>
      <c r="G2104" s="10"/>
      <c r="H2104" s="11" t="str">
        <f aca="false">IFERROR(IF($D2104="Manual Review","",IF($G2104="","",IF($D2104="Direct Expiry",$G2104,EDATE($G2104,$F2104)))),"Check Date")</f>
        <v/>
      </c>
      <c r="I2104" s="12" t="str">
        <f aca="true">IF($H2104="","",IF(ISNUMBER($H2104),$H2104-TODAY(),""))</f>
        <v/>
      </c>
      <c r="J2104" s="4" t="str">
        <f aca="true">IF($D2104="Manual Review","Manual Review",IF($G2104="","No Data",IF(NOT(ISNUMBER($H2104)),"N/A",IF($H2104&lt;TODAY(),"Overdue",IF($H2104&lt;=TODAY()+30,"Due within 1 Month",IF($H2104&lt;=TODAY()+60,"Due within 2 Months","OK"))))))</f>
        <v>No Data</v>
      </c>
      <c r="K2104" s="13"/>
    </row>
    <row r="2105" customFormat="false" ht="15" hidden="false" customHeight="false" outlineLevel="0" collapsed="false">
      <c r="A2105" s="9" t="str">
        <f aca="false">Vessels!B23</f>
        <v>Vessel 19</v>
      </c>
      <c r="B2105" s="9" t="s">
        <v>117</v>
      </c>
      <c r="C2105" s="7" t="s">
        <v>127</v>
      </c>
      <c r="D2105" s="9" t="s">
        <v>59</v>
      </c>
      <c r="E2105" s="9" t="s">
        <v>58</v>
      </c>
      <c r="F2105" s="5"/>
      <c r="G2105" s="10"/>
      <c r="H2105" s="11" t="str">
        <f aca="false">IFERROR(IF($D2105="Manual Review","",IF($G2105="","",IF($D2105="Direct Expiry",$G2105,EDATE($G2105,$F2105)))),"Check Date")</f>
        <v/>
      </c>
      <c r="I2105" s="12" t="str">
        <f aca="true">IF($H2105="","",IF(ISNUMBER($H2105),$H2105-TODAY(),""))</f>
        <v/>
      </c>
      <c r="J2105" s="4" t="str">
        <f aca="true">IF($D2105="Manual Review","Manual Review",IF($G2105="","No Data",IF(NOT(ISNUMBER($H2105)),"N/A",IF($H2105&lt;TODAY(),"Overdue",IF($H2105&lt;=TODAY()+30,"Due within 1 Month",IF($H2105&lt;=TODAY()+60,"Due within 2 Months","OK"))))))</f>
        <v>No Data</v>
      </c>
      <c r="K2105" s="13"/>
    </row>
    <row r="2106" customFormat="false" ht="15" hidden="false" customHeight="false" outlineLevel="0" collapsed="false">
      <c r="A2106" s="9" t="str">
        <f aca="false">Vessels!B23</f>
        <v>Vessel 19</v>
      </c>
      <c r="B2106" s="9" t="s">
        <v>117</v>
      </c>
      <c r="C2106" s="7" t="s">
        <v>128</v>
      </c>
      <c r="D2106" s="9" t="s">
        <v>59</v>
      </c>
      <c r="E2106" s="9" t="s">
        <v>58</v>
      </c>
      <c r="F2106" s="5"/>
      <c r="G2106" s="10"/>
      <c r="H2106" s="11" t="str">
        <f aca="false">IFERROR(IF($D2106="Manual Review","",IF($G2106="","",IF($D2106="Direct Expiry",$G2106,EDATE($G2106,$F2106)))),"Check Date")</f>
        <v/>
      </c>
      <c r="I2106" s="12" t="str">
        <f aca="true">IF($H2106="","",IF(ISNUMBER($H2106),$H2106-TODAY(),""))</f>
        <v/>
      </c>
      <c r="J2106" s="4" t="str">
        <f aca="true">IF($D2106="Manual Review","Manual Review",IF($G2106="","No Data",IF(NOT(ISNUMBER($H2106)),"N/A",IF($H2106&lt;TODAY(),"Overdue",IF($H2106&lt;=TODAY()+30,"Due within 1 Month",IF($H2106&lt;=TODAY()+60,"Due within 2 Months","OK"))))))</f>
        <v>No Data</v>
      </c>
      <c r="K2106" s="13"/>
    </row>
    <row r="2107" customFormat="false" ht="15" hidden="false" customHeight="false" outlineLevel="0" collapsed="false">
      <c r="A2107" s="9" t="str">
        <f aca="false">Vessels!B23</f>
        <v>Vessel 19</v>
      </c>
      <c r="B2107" s="9" t="s">
        <v>117</v>
      </c>
      <c r="C2107" s="7" t="s">
        <v>129</v>
      </c>
      <c r="D2107" s="9" t="s">
        <v>59</v>
      </c>
      <c r="E2107" s="9" t="s">
        <v>58</v>
      </c>
      <c r="F2107" s="5"/>
      <c r="G2107" s="10"/>
      <c r="H2107" s="11" t="str">
        <f aca="false">IFERROR(IF($D2107="Manual Review","",IF($G2107="","",IF($D2107="Direct Expiry",$G2107,EDATE($G2107,$F2107)))),"Check Date")</f>
        <v/>
      </c>
      <c r="I2107" s="12" t="str">
        <f aca="true">IF($H2107="","",IF(ISNUMBER($H2107),$H2107-TODAY(),""))</f>
        <v/>
      </c>
      <c r="J2107" s="4" t="str">
        <f aca="true">IF($D2107="Manual Review","Manual Review",IF($G2107="","No Data",IF(NOT(ISNUMBER($H2107)),"N/A",IF($H2107&lt;TODAY(),"Overdue",IF($H2107&lt;=TODAY()+30,"Due within 1 Month",IF($H2107&lt;=TODAY()+60,"Due within 2 Months","OK"))))))</f>
        <v>No Data</v>
      </c>
      <c r="K2107" s="13"/>
    </row>
    <row r="2108" customFormat="false" ht="15" hidden="false" customHeight="false" outlineLevel="0" collapsed="false">
      <c r="A2108" s="9" t="str">
        <f aca="false">Vessels!B23</f>
        <v>Vessel 19</v>
      </c>
      <c r="B2108" s="9" t="s">
        <v>117</v>
      </c>
      <c r="C2108" s="7" t="s">
        <v>130</v>
      </c>
      <c r="D2108" s="9" t="s">
        <v>45</v>
      </c>
      <c r="E2108" s="9" t="s">
        <v>44</v>
      </c>
      <c r="F2108" s="5" t="n">
        <v>12</v>
      </c>
      <c r="G2108" s="10"/>
      <c r="H2108" s="11" t="str">
        <f aca="false">IFERROR(IF($D2108="Manual Review","",IF($G2108="","",IF($D2108="Direct Expiry",$G2108,EDATE($G2108,$F2108)))),"Check Date")</f>
        <v/>
      </c>
      <c r="I2108" s="12" t="str">
        <f aca="true">IF($H2108="","",IF(ISNUMBER($H2108),$H2108-TODAY(),""))</f>
        <v/>
      </c>
      <c r="J2108" s="4" t="str">
        <f aca="true">IF($D2108="Manual Review","Manual Review",IF($G2108="","No Data",IF(NOT(ISNUMBER($H2108)),"N/A",IF($H2108&lt;TODAY(),"Overdue",IF($H2108&lt;=TODAY()+30,"Due within 1 Month",IF($H2108&lt;=TODAY()+60,"Due within 2 Months","OK"))))))</f>
        <v>No Data</v>
      </c>
      <c r="K2108" s="13"/>
    </row>
    <row r="2109" customFormat="false" ht="15" hidden="false" customHeight="false" outlineLevel="0" collapsed="false">
      <c r="A2109" s="9" t="str">
        <f aca="false">Vessels!B23</f>
        <v>Vessel 19</v>
      </c>
      <c r="B2109" s="9" t="s">
        <v>117</v>
      </c>
      <c r="C2109" s="7" t="s">
        <v>131</v>
      </c>
      <c r="D2109" s="9" t="s">
        <v>45</v>
      </c>
      <c r="E2109" s="9" t="s">
        <v>44</v>
      </c>
      <c r="F2109" s="5" t="n">
        <v>12</v>
      </c>
      <c r="G2109" s="10"/>
      <c r="H2109" s="11" t="str">
        <f aca="false">IFERROR(IF($D2109="Manual Review","",IF($G2109="","",IF($D2109="Direct Expiry",$G2109,EDATE($G2109,$F2109)))),"Check Date")</f>
        <v/>
      </c>
      <c r="I2109" s="12" t="str">
        <f aca="true">IF($H2109="","",IF(ISNUMBER($H2109),$H2109-TODAY(),""))</f>
        <v/>
      </c>
      <c r="J2109" s="4" t="str">
        <f aca="true">IF($D2109="Manual Review","Manual Review",IF($G2109="","No Data",IF(NOT(ISNUMBER($H2109)),"N/A",IF($H2109&lt;TODAY(),"Overdue",IF($H2109&lt;=TODAY()+30,"Due within 1 Month",IF($H2109&lt;=TODAY()+60,"Due within 2 Months","OK"))))))</f>
        <v>No Data</v>
      </c>
      <c r="K2109" s="13"/>
    </row>
    <row r="2110" customFormat="false" ht="15" hidden="false" customHeight="false" outlineLevel="0" collapsed="false">
      <c r="A2110" s="9" t="str">
        <f aca="false">Vessels!B23</f>
        <v>Vessel 19</v>
      </c>
      <c r="B2110" s="9" t="s">
        <v>117</v>
      </c>
      <c r="C2110" s="7" t="s">
        <v>132</v>
      </c>
      <c r="D2110" s="9" t="s">
        <v>45</v>
      </c>
      <c r="E2110" s="9" t="s">
        <v>44</v>
      </c>
      <c r="F2110" s="5" t="n">
        <v>12</v>
      </c>
      <c r="G2110" s="10"/>
      <c r="H2110" s="11" t="str">
        <f aca="false">IFERROR(IF($D2110="Manual Review","",IF($G2110="","",IF($D2110="Direct Expiry",$G2110,EDATE($G2110,$F2110)))),"Check Date")</f>
        <v/>
      </c>
      <c r="I2110" s="12" t="str">
        <f aca="true">IF($H2110="","",IF(ISNUMBER($H2110),$H2110-TODAY(),""))</f>
        <v/>
      </c>
      <c r="J2110" s="4" t="str">
        <f aca="true">IF($D2110="Manual Review","Manual Review",IF($G2110="","No Data",IF(NOT(ISNUMBER($H2110)),"N/A",IF($H2110&lt;TODAY(),"Overdue",IF($H2110&lt;=TODAY()+30,"Due within 1 Month",IF($H2110&lt;=TODAY()+60,"Due within 2 Months","OK"))))))</f>
        <v>No Data</v>
      </c>
      <c r="K2110" s="13"/>
    </row>
    <row r="2111" customFormat="false" ht="15" hidden="false" customHeight="false" outlineLevel="0" collapsed="false">
      <c r="A2111" s="9" t="str">
        <f aca="false">Vessels!B23</f>
        <v>Vessel 19</v>
      </c>
      <c r="B2111" s="9" t="s">
        <v>117</v>
      </c>
      <c r="C2111" s="7" t="s">
        <v>133</v>
      </c>
      <c r="D2111" s="9" t="s">
        <v>45</v>
      </c>
      <c r="E2111" s="9" t="s">
        <v>44</v>
      </c>
      <c r="F2111" s="5" t="n">
        <v>12</v>
      </c>
      <c r="G2111" s="10"/>
      <c r="H2111" s="11" t="str">
        <f aca="false">IFERROR(IF($D2111="Manual Review","",IF($G2111="","",IF($D2111="Direct Expiry",$G2111,EDATE($G2111,$F2111)))),"Check Date")</f>
        <v/>
      </c>
      <c r="I2111" s="12" t="str">
        <f aca="true">IF($H2111="","",IF(ISNUMBER($H2111),$H2111-TODAY(),""))</f>
        <v/>
      </c>
      <c r="J2111" s="4" t="str">
        <f aca="true">IF($D2111="Manual Review","Manual Review",IF($G2111="","No Data",IF(NOT(ISNUMBER($H2111)),"N/A",IF($H2111&lt;TODAY(),"Overdue",IF($H2111&lt;=TODAY()+30,"Due within 1 Month",IF($H2111&lt;=TODAY()+60,"Due within 2 Months","OK"))))))</f>
        <v>No Data</v>
      </c>
      <c r="K2111" s="13"/>
    </row>
    <row r="2112" customFormat="false" ht="15" hidden="false" customHeight="false" outlineLevel="0" collapsed="false">
      <c r="A2112" s="9" t="str">
        <f aca="false">Vessels!B23</f>
        <v>Vessel 19</v>
      </c>
      <c r="B2112" s="9" t="s">
        <v>117</v>
      </c>
      <c r="C2112" s="7" t="s">
        <v>134</v>
      </c>
      <c r="D2112" s="9" t="s">
        <v>45</v>
      </c>
      <c r="E2112" s="9" t="s">
        <v>44</v>
      </c>
      <c r="F2112" s="5" t="n">
        <v>12</v>
      </c>
      <c r="G2112" s="10"/>
      <c r="H2112" s="11" t="str">
        <f aca="false">IFERROR(IF($D2112="Manual Review","",IF($G2112="","",IF($D2112="Direct Expiry",$G2112,EDATE($G2112,$F2112)))),"Check Date")</f>
        <v/>
      </c>
      <c r="I2112" s="12" t="str">
        <f aca="true">IF($H2112="","",IF(ISNUMBER($H2112),$H2112-TODAY(),""))</f>
        <v/>
      </c>
      <c r="J2112" s="4" t="str">
        <f aca="true">IF($D2112="Manual Review","Manual Review",IF($G2112="","No Data",IF(NOT(ISNUMBER($H2112)),"N/A",IF($H2112&lt;TODAY(),"Overdue",IF($H2112&lt;=TODAY()+30,"Due within 1 Month",IF($H2112&lt;=TODAY()+60,"Due within 2 Months","OK"))))))</f>
        <v>No Data</v>
      </c>
      <c r="K2112" s="13"/>
    </row>
    <row r="2113" customFormat="false" ht="15" hidden="false" customHeight="false" outlineLevel="0" collapsed="false">
      <c r="A2113" s="9" t="str">
        <f aca="false">Vessels!B23</f>
        <v>Vessel 19</v>
      </c>
      <c r="B2113" s="9" t="s">
        <v>117</v>
      </c>
      <c r="C2113" s="7" t="s">
        <v>135</v>
      </c>
      <c r="D2113" s="9" t="s">
        <v>45</v>
      </c>
      <c r="E2113" s="9" t="s">
        <v>44</v>
      </c>
      <c r="F2113" s="5" t="n">
        <v>12</v>
      </c>
      <c r="G2113" s="10"/>
      <c r="H2113" s="11" t="str">
        <f aca="false">IFERROR(IF($D2113="Manual Review","",IF($G2113="","",IF($D2113="Direct Expiry",$G2113,EDATE($G2113,$F2113)))),"Check Date")</f>
        <v/>
      </c>
      <c r="I2113" s="12" t="str">
        <f aca="true">IF($H2113="","",IF(ISNUMBER($H2113),$H2113-TODAY(),""))</f>
        <v/>
      </c>
      <c r="J2113" s="4" t="str">
        <f aca="true">IF($D2113="Manual Review","Manual Review",IF($G2113="","No Data",IF(NOT(ISNUMBER($H2113)),"N/A",IF($H2113&lt;TODAY(),"Overdue",IF($H2113&lt;=TODAY()+30,"Due within 1 Month",IF($H2113&lt;=TODAY()+60,"Due within 2 Months","OK"))))))</f>
        <v>No Data</v>
      </c>
      <c r="K2113" s="13"/>
    </row>
    <row r="2114" customFormat="false" ht="15" hidden="false" customHeight="false" outlineLevel="0" collapsed="false">
      <c r="A2114" s="9" t="str">
        <f aca="false">Vessels!B23</f>
        <v>Vessel 19</v>
      </c>
      <c r="B2114" s="9" t="s">
        <v>136</v>
      </c>
      <c r="C2114" s="7" t="s">
        <v>137</v>
      </c>
      <c r="D2114" s="9" t="s">
        <v>45</v>
      </c>
      <c r="E2114" s="9" t="s">
        <v>44</v>
      </c>
      <c r="F2114" s="5" t="n">
        <v>12</v>
      </c>
      <c r="G2114" s="10"/>
      <c r="H2114" s="11" t="str">
        <f aca="false">IFERROR(IF($D2114="Manual Review","",IF($G2114="","",IF($D2114="Direct Expiry",$G2114,EDATE($G2114,$F2114)))),"Check Date")</f>
        <v/>
      </c>
      <c r="I2114" s="12" t="str">
        <f aca="true">IF($H2114="","",IF(ISNUMBER($H2114),$H2114-TODAY(),""))</f>
        <v/>
      </c>
      <c r="J2114" s="4" t="str">
        <f aca="true">IF($D2114="Manual Review","Manual Review",IF($G2114="","No Data",IF(NOT(ISNUMBER($H2114)),"N/A",IF($H2114&lt;TODAY(),"Overdue",IF($H2114&lt;=TODAY()+30,"Due within 1 Month",IF($H2114&lt;=TODAY()+60,"Due within 2 Months","OK"))))))</f>
        <v>No Data</v>
      </c>
      <c r="K2114" s="13"/>
    </row>
    <row r="2115" customFormat="false" ht="15" hidden="false" customHeight="false" outlineLevel="0" collapsed="false">
      <c r="A2115" s="9" t="str">
        <f aca="false">Vessels!B23</f>
        <v>Vessel 19</v>
      </c>
      <c r="B2115" s="9" t="s">
        <v>136</v>
      </c>
      <c r="C2115" s="7" t="s">
        <v>138</v>
      </c>
      <c r="D2115" s="9" t="s">
        <v>45</v>
      </c>
      <c r="E2115" s="9" t="s">
        <v>44</v>
      </c>
      <c r="F2115" s="5" t="n">
        <v>12</v>
      </c>
      <c r="G2115" s="10"/>
      <c r="H2115" s="11" t="str">
        <f aca="false">IFERROR(IF($D2115="Manual Review","",IF($G2115="","",IF($D2115="Direct Expiry",$G2115,EDATE($G2115,$F2115)))),"Check Date")</f>
        <v/>
      </c>
      <c r="I2115" s="12" t="str">
        <f aca="true">IF($H2115="","",IF(ISNUMBER($H2115),$H2115-TODAY(),""))</f>
        <v/>
      </c>
      <c r="J2115" s="4" t="str">
        <f aca="true">IF($D2115="Manual Review","Manual Review",IF($G2115="","No Data",IF(NOT(ISNUMBER($H2115)),"N/A",IF($H2115&lt;TODAY(),"Overdue",IF($H2115&lt;=TODAY()+30,"Due within 1 Month",IF($H2115&lt;=TODAY()+60,"Due within 2 Months","OK"))))))</f>
        <v>No Data</v>
      </c>
      <c r="K2115" s="13"/>
    </row>
    <row r="2116" customFormat="false" ht="15" hidden="false" customHeight="false" outlineLevel="0" collapsed="false">
      <c r="A2116" s="9" t="str">
        <f aca="false">Vessels!B23</f>
        <v>Vessel 19</v>
      </c>
      <c r="B2116" s="9" t="s">
        <v>136</v>
      </c>
      <c r="C2116" s="7" t="s">
        <v>139</v>
      </c>
      <c r="D2116" s="9" t="s">
        <v>45</v>
      </c>
      <c r="E2116" s="9" t="s">
        <v>140</v>
      </c>
      <c r="F2116" s="5" t="n">
        <v>12</v>
      </c>
      <c r="G2116" s="10"/>
      <c r="H2116" s="11" t="str">
        <f aca="false">IFERROR(IF($D2116="Manual Review","",IF($G2116="","",IF($D2116="Direct Expiry",$G2116,EDATE($G2116,$F2116)))),"Check Date")</f>
        <v/>
      </c>
      <c r="I2116" s="12" t="str">
        <f aca="true">IF($H2116="","",IF(ISNUMBER($H2116),$H2116-TODAY(),""))</f>
        <v/>
      </c>
      <c r="J2116" s="4" t="str">
        <f aca="true">IF($D2116="Manual Review","Manual Review",IF($G2116="","No Data",IF(NOT(ISNUMBER($H2116)),"N/A",IF($H2116&lt;TODAY(),"Overdue",IF($H2116&lt;=TODAY()+30,"Due within 1 Month",IF($H2116&lt;=TODAY()+60,"Due within 2 Months","OK"))))))</f>
        <v>No Data</v>
      </c>
      <c r="K2116" s="13"/>
    </row>
    <row r="2117" customFormat="false" ht="15" hidden="false" customHeight="false" outlineLevel="0" collapsed="false">
      <c r="A2117" s="9" t="str">
        <f aca="false">Vessels!B23</f>
        <v>Vessel 19</v>
      </c>
      <c r="B2117" s="9" t="s">
        <v>136</v>
      </c>
      <c r="C2117" s="7" t="s">
        <v>141</v>
      </c>
      <c r="D2117" s="9" t="s">
        <v>45</v>
      </c>
      <c r="E2117" s="9" t="s">
        <v>44</v>
      </c>
      <c r="F2117" s="5" t="n">
        <v>12</v>
      </c>
      <c r="G2117" s="10"/>
      <c r="H2117" s="11" t="str">
        <f aca="false">IFERROR(IF($D2117="Manual Review","",IF($G2117="","",IF($D2117="Direct Expiry",$G2117,EDATE($G2117,$F2117)))),"Check Date")</f>
        <v/>
      </c>
      <c r="I2117" s="12" t="str">
        <f aca="true">IF($H2117="","",IF(ISNUMBER($H2117),$H2117-TODAY(),""))</f>
        <v/>
      </c>
      <c r="J2117" s="4" t="str">
        <f aca="true">IF($D2117="Manual Review","Manual Review",IF($G2117="","No Data",IF(NOT(ISNUMBER($H2117)),"N/A",IF($H2117&lt;TODAY(),"Overdue",IF($H2117&lt;=TODAY()+30,"Due within 1 Month",IF($H2117&lt;=TODAY()+60,"Due within 2 Months","OK"))))))</f>
        <v>No Data</v>
      </c>
      <c r="K2117" s="13"/>
    </row>
    <row r="2118" customFormat="false" ht="15" hidden="false" customHeight="false" outlineLevel="0" collapsed="false">
      <c r="A2118" s="9" t="str">
        <f aca="false">Vessels!B23</f>
        <v>Vessel 19</v>
      </c>
      <c r="B2118" s="9" t="s">
        <v>136</v>
      </c>
      <c r="C2118" s="7" t="s">
        <v>142</v>
      </c>
      <c r="D2118" s="9" t="s">
        <v>115</v>
      </c>
      <c r="E2118" s="9" t="s">
        <v>143</v>
      </c>
      <c r="F2118" s="5"/>
      <c r="G2118" s="10"/>
      <c r="H2118" s="11" t="str">
        <f aca="false">IFERROR(IF($D2118="Manual Review","",IF($G2118="","",IF($D2118="Direct Expiry",$G2118,EDATE($G2118,$F2118)))),"Check Date")</f>
        <v/>
      </c>
      <c r="I2118" s="12" t="str">
        <f aca="true">IF($H2118="","",IF(ISNUMBER($H2118),$H2118-TODAY(),""))</f>
        <v/>
      </c>
      <c r="J2118" s="4" t="str">
        <f aca="true">IF($D2118="Manual Review","Manual Review",IF($G2118="","No Data",IF(NOT(ISNUMBER($H2118)),"N/A",IF($H2118&lt;TODAY(),"Overdue",IF($H2118&lt;=TODAY()+30,"Due within 1 Month",IF($H2118&lt;=TODAY()+60,"Due within 2 Months","OK"))))))</f>
        <v>Manual Review</v>
      </c>
      <c r="K2118" s="13"/>
    </row>
    <row r="2119" customFormat="false" ht="15" hidden="false" customHeight="false" outlineLevel="0" collapsed="false">
      <c r="A2119" s="9" t="str">
        <f aca="false">Vessels!B23</f>
        <v>Vessel 19</v>
      </c>
      <c r="B2119" s="9" t="s">
        <v>136</v>
      </c>
      <c r="C2119" s="7" t="s">
        <v>144</v>
      </c>
      <c r="D2119" s="9" t="s">
        <v>45</v>
      </c>
      <c r="E2119" s="9" t="s">
        <v>44</v>
      </c>
      <c r="F2119" s="5" t="n">
        <v>12</v>
      </c>
      <c r="G2119" s="10"/>
      <c r="H2119" s="11" t="str">
        <f aca="false">IFERROR(IF($D2119="Manual Review","",IF($G2119="","",IF($D2119="Direct Expiry",$G2119,EDATE($G2119,$F2119)))),"Check Date")</f>
        <v/>
      </c>
      <c r="I2119" s="12" t="str">
        <f aca="true">IF($H2119="","",IF(ISNUMBER($H2119),$H2119-TODAY(),""))</f>
        <v/>
      </c>
      <c r="J2119" s="4" t="str">
        <f aca="true">IF($D2119="Manual Review","Manual Review",IF($G2119="","No Data",IF(NOT(ISNUMBER($H2119)),"N/A",IF($H2119&lt;TODAY(),"Overdue",IF($H2119&lt;=TODAY()+30,"Due within 1 Month",IF($H2119&lt;=TODAY()+60,"Due within 2 Months","OK"))))))</f>
        <v>No Data</v>
      </c>
      <c r="K2119" s="13"/>
    </row>
    <row r="2120" customFormat="false" ht="15" hidden="false" customHeight="false" outlineLevel="0" collapsed="false">
      <c r="A2120" s="9" t="str">
        <f aca="false">Vessels!B23</f>
        <v>Vessel 19</v>
      </c>
      <c r="B2120" s="9" t="s">
        <v>136</v>
      </c>
      <c r="C2120" s="7" t="s">
        <v>145</v>
      </c>
      <c r="D2120" s="9" t="s">
        <v>45</v>
      </c>
      <c r="E2120" s="9" t="s">
        <v>44</v>
      </c>
      <c r="F2120" s="5" t="n">
        <v>12</v>
      </c>
      <c r="G2120" s="10"/>
      <c r="H2120" s="11" t="str">
        <f aca="false">IFERROR(IF($D2120="Manual Review","",IF($G2120="","",IF($D2120="Direct Expiry",$G2120,EDATE($G2120,$F2120)))),"Check Date")</f>
        <v/>
      </c>
      <c r="I2120" s="12" t="str">
        <f aca="true">IF($H2120="","",IF(ISNUMBER($H2120),$H2120-TODAY(),""))</f>
        <v/>
      </c>
      <c r="J2120" s="4" t="str">
        <f aca="true">IF($D2120="Manual Review","Manual Review",IF($G2120="","No Data",IF(NOT(ISNUMBER($H2120)),"N/A",IF($H2120&lt;TODAY(),"Overdue",IF($H2120&lt;=TODAY()+30,"Due within 1 Month",IF($H2120&lt;=TODAY()+60,"Due within 2 Months","OK"))))))</f>
        <v>No Data</v>
      </c>
      <c r="K2120" s="13"/>
    </row>
    <row r="2121" customFormat="false" ht="15" hidden="false" customHeight="false" outlineLevel="0" collapsed="false">
      <c r="A2121" s="9" t="str">
        <f aca="false">Vessels!B23</f>
        <v>Vessel 19</v>
      </c>
      <c r="B2121" s="9" t="s">
        <v>136</v>
      </c>
      <c r="C2121" s="7" t="s">
        <v>146</v>
      </c>
      <c r="D2121" s="9" t="s">
        <v>45</v>
      </c>
      <c r="E2121" s="9" t="s">
        <v>44</v>
      </c>
      <c r="F2121" s="5" t="n">
        <v>12</v>
      </c>
      <c r="G2121" s="10"/>
      <c r="H2121" s="11" t="str">
        <f aca="false">IFERROR(IF($D2121="Manual Review","",IF($G2121="","",IF($D2121="Direct Expiry",$G2121,EDATE($G2121,$F2121)))),"Check Date")</f>
        <v/>
      </c>
      <c r="I2121" s="12" t="str">
        <f aca="true">IF($H2121="","",IF(ISNUMBER($H2121),$H2121-TODAY(),""))</f>
        <v/>
      </c>
      <c r="J2121" s="4" t="str">
        <f aca="true">IF($D2121="Manual Review","Manual Review",IF($G2121="","No Data",IF(NOT(ISNUMBER($H2121)),"N/A",IF($H2121&lt;TODAY(),"Overdue",IF($H2121&lt;=TODAY()+30,"Due within 1 Month",IF($H2121&lt;=TODAY()+60,"Due within 2 Months","OK"))))))</f>
        <v>No Data</v>
      </c>
      <c r="K2121" s="13"/>
    </row>
    <row r="2122" customFormat="false" ht="15" hidden="false" customHeight="false" outlineLevel="0" collapsed="false">
      <c r="A2122" s="9" t="str">
        <f aca="false">Vessels!B23</f>
        <v>Vessel 19</v>
      </c>
      <c r="B2122" s="9" t="s">
        <v>136</v>
      </c>
      <c r="C2122" s="7" t="s">
        <v>147</v>
      </c>
      <c r="D2122" s="9" t="s">
        <v>45</v>
      </c>
      <c r="E2122" s="9" t="s">
        <v>44</v>
      </c>
      <c r="F2122" s="5" t="n">
        <v>12</v>
      </c>
      <c r="G2122" s="10"/>
      <c r="H2122" s="11" t="str">
        <f aca="false">IFERROR(IF($D2122="Manual Review","",IF($G2122="","",IF($D2122="Direct Expiry",$G2122,EDATE($G2122,$F2122)))),"Check Date")</f>
        <v/>
      </c>
      <c r="I2122" s="12" t="str">
        <f aca="true">IF($H2122="","",IF(ISNUMBER($H2122),$H2122-TODAY(),""))</f>
        <v/>
      </c>
      <c r="J2122" s="4" t="str">
        <f aca="true">IF($D2122="Manual Review","Manual Review",IF($G2122="","No Data",IF(NOT(ISNUMBER($H2122)),"N/A",IF($H2122&lt;TODAY(),"Overdue",IF($H2122&lt;=TODAY()+30,"Due within 1 Month",IF($H2122&lt;=TODAY()+60,"Due within 2 Months","OK"))))))</f>
        <v>No Data</v>
      </c>
      <c r="K2122" s="13"/>
    </row>
    <row r="2123" customFormat="false" ht="15" hidden="false" customHeight="false" outlineLevel="0" collapsed="false">
      <c r="A2123" s="9" t="str">
        <f aca="false">Vessels!B23</f>
        <v>Vessel 19</v>
      </c>
      <c r="B2123" s="9" t="s">
        <v>136</v>
      </c>
      <c r="C2123" s="7" t="s">
        <v>148</v>
      </c>
      <c r="D2123" s="9" t="s">
        <v>45</v>
      </c>
      <c r="E2123" s="9" t="s">
        <v>44</v>
      </c>
      <c r="F2123" s="5" t="n">
        <v>12</v>
      </c>
      <c r="G2123" s="10"/>
      <c r="H2123" s="11" t="str">
        <f aca="false">IFERROR(IF($D2123="Manual Review","",IF($G2123="","",IF($D2123="Direct Expiry",$G2123,EDATE($G2123,$F2123)))),"Check Date")</f>
        <v/>
      </c>
      <c r="I2123" s="12" t="str">
        <f aca="true">IF($H2123="","",IF(ISNUMBER($H2123),$H2123-TODAY(),""))</f>
        <v/>
      </c>
      <c r="J2123" s="4" t="str">
        <f aca="true">IF($D2123="Manual Review","Manual Review",IF($G2123="","No Data",IF(NOT(ISNUMBER($H2123)),"N/A",IF($H2123&lt;TODAY(),"Overdue",IF($H2123&lt;=TODAY()+30,"Due within 1 Month",IF($H2123&lt;=TODAY()+60,"Due within 2 Months","OK"))))))</f>
        <v>No Data</v>
      </c>
      <c r="K2123" s="13"/>
    </row>
    <row r="2124" customFormat="false" ht="15" hidden="false" customHeight="false" outlineLevel="0" collapsed="false">
      <c r="A2124" s="9" t="str">
        <f aca="false">Vessels!B23</f>
        <v>Vessel 19</v>
      </c>
      <c r="B2124" s="9" t="s">
        <v>136</v>
      </c>
      <c r="C2124" s="7" t="s">
        <v>149</v>
      </c>
      <c r="D2124" s="9" t="s">
        <v>45</v>
      </c>
      <c r="E2124" s="9" t="s">
        <v>44</v>
      </c>
      <c r="F2124" s="5" t="n">
        <v>12</v>
      </c>
      <c r="G2124" s="10"/>
      <c r="H2124" s="11" t="str">
        <f aca="false">IFERROR(IF($D2124="Manual Review","",IF($G2124="","",IF($D2124="Direct Expiry",$G2124,EDATE($G2124,$F2124)))),"Check Date")</f>
        <v/>
      </c>
      <c r="I2124" s="12" t="str">
        <f aca="true">IF($H2124="","",IF(ISNUMBER($H2124),$H2124-TODAY(),""))</f>
        <v/>
      </c>
      <c r="J2124" s="4" t="str">
        <f aca="true">IF($D2124="Manual Review","Manual Review",IF($G2124="","No Data",IF(NOT(ISNUMBER($H2124)),"N/A",IF($H2124&lt;TODAY(),"Overdue",IF($H2124&lt;=TODAY()+30,"Due within 1 Month",IF($H2124&lt;=TODAY()+60,"Due within 2 Months","OK"))))))</f>
        <v>No Data</v>
      </c>
      <c r="K2124" s="13"/>
    </row>
    <row r="2125" customFormat="false" ht="15" hidden="false" customHeight="false" outlineLevel="0" collapsed="false">
      <c r="A2125" s="9" t="str">
        <f aca="false">Vessels!B23</f>
        <v>Vessel 19</v>
      </c>
      <c r="B2125" s="9" t="s">
        <v>136</v>
      </c>
      <c r="C2125" s="7" t="s">
        <v>150</v>
      </c>
      <c r="D2125" s="9" t="s">
        <v>45</v>
      </c>
      <c r="E2125" s="9" t="s">
        <v>44</v>
      </c>
      <c r="F2125" s="5" t="n">
        <v>12</v>
      </c>
      <c r="G2125" s="10"/>
      <c r="H2125" s="11" t="str">
        <f aca="false">IFERROR(IF($D2125="Manual Review","",IF($G2125="","",IF($D2125="Direct Expiry",$G2125,EDATE($G2125,$F2125)))),"Check Date")</f>
        <v/>
      </c>
      <c r="I2125" s="12" t="str">
        <f aca="true">IF($H2125="","",IF(ISNUMBER($H2125),$H2125-TODAY(),""))</f>
        <v/>
      </c>
      <c r="J2125" s="4" t="str">
        <f aca="true">IF($D2125="Manual Review","Manual Review",IF($G2125="","No Data",IF(NOT(ISNUMBER($H2125)),"N/A",IF($H2125&lt;TODAY(),"Overdue",IF($H2125&lt;=TODAY()+30,"Due within 1 Month",IF($H2125&lt;=TODAY()+60,"Due within 2 Months","OK"))))))</f>
        <v>No Data</v>
      </c>
      <c r="K2125" s="13"/>
    </row>
    <row r="2126" customFormat="false" ht="15" hidden="false" customHeight="false" outlineLevel="0" collapsed="false">
      <c r="A2126" s="9" t="str">
        <f aca="false">Vessels!B23</f>
        <v>Vessel 19</v>
      </c>
      <c r="B2126" s="9" t="s">
        <v>136</v>
      </c>
      <c r="C2126" s="7" t="s">
        <v>151</v>
      </c>
      <c r="D2126" s="9" t="s">
        <v>45</v>
      </c>
      <c r="E2126" s="9" t="s">
        <v>44</v>
      </c>
      <c r="F2126" s="5" t="n">
        <v>12</v>
      </c>
      <c r="G2126" s="10"/>
      <c r="H2126" s="11" t="str">
        <f aca="false">IFERROR(IF($D2126="Manual Review","",IF($G2126="","",IF($D2126="Direct Expiry",$G2126,EDATE($G2126,$F2126)))),"Check Date")</f>
        <v/>
      </c>
      <c r="I2126" s="12" t="str">
        <f aca="true">IF($H2126="","",IF(ISNUMBER($H2126),$H2126-TODAY(),""))</f>
        <v/>
      </c>
      <c r="J2126" s="4" t="str">
        <f aca="true">IF($D2126="Manual Review","Manual Review",IF($G2126="","No Data",IF(NOT(ISNUMBER($H2126)),"N/A",IF($H2126&lt;TODAY(),"Overdue",IF($H2126&lt;=TODAY()+30,"Due within 1 Month",IF($H2126&lt;=TODAY()+60,"Due within 2 Months","OK"))))))</f>
        <v>No Data</v>
      </c>
      <c r="K2126" s="13"/>
    </row>
    <row r="2127" customFormat="false" ht="15" hidden="false" customHeight="false" outlineLevel="0" collapsed="false">
      <c r="A2127" s="9" t="str">
        <f aca="false">Vessels!B23</f>
        <v>Vessel 19</v>
      </c>
      <c r="B2127" s="9" t="s">
        <v>136</v>
      </c>
      <c r="C2127" s="7" t="s">
        <v>152</v>
      </c>
      <c r="D2127" s="9" t="s">
        <v>45</v>
      </c>
      <c r="E2127" s="9" t="s">
        <v>44</v>
      </c>
      <c r="F2127" s="5" t="n">
        <v>12</v>
      </c>
      <c r="G2127" s="10"/>
      <c r="H2127" s="11" t="str">
        <f aca="false">IFERROR(IF($D2127="Manual Review","",IF($G2127="","",IF($D2127="Direct Expiry",$G2127,EDATE($G2127,$F2127)))),"Check Date")</f>
        <v/>
      </c>
      <c r="I2127" s="12" t="str">
        <f aca="true">IF($H2127="","",IF(ISNUMBER($H2127),$H2127-TODAY(),""))</f>
        <v/>
      </c>
      <c r="J2127" s="4" t="str">
        <f aca="true">IF($D2127="Manual Review","Manual Review",IF($G2127="","No Data",IF(NOT(ISNUMBER($H2127)),"N/A",IF($H2127&lt;TODAY(),"Overdue",IF($H2127&lt;=TODAY()+30,"Due within 1 Month",IF($H2127&lt;=TODAY()+60,"Due within 2 Months","OK"))))))</f>
        <v>No Data</v>
      </c>
      <c r="K2127" s="13"/>
    </row>
    <row r="2128" customFormat="false" ht="15" hidden="false" customHeight="false" outlineLevel="0" collapsed="false">
      <c r="A2128" s="9" t="str">
        <f aca="false">Vessels!B23</f>
        <v>Vessel 19</v>
      </c>
      <c r="B2128" s="9" t="s">
        <v>136</v>
      </c>
      <c r="C2128" s="7" t="s">
        <v>153</v>
      </c>
      <c r="D2128" s="9" t="s">
        <v>45</v>
      </c>
      <c r="E2128" s="9" t="s">
        <v>44</v>
      </c>
      <c r="F2128" s="5" t="n">
        <v>12</v>
      </c>
      <c r="G2128" s="10"/>
      <c r="H2128" s="11" t="str">
        <f aca="false">IFERROR(IF($D2128="Manual Review","",IF($G2128="","",IF($D2128="Direct Expiry",$G2128,EDATE($G2128,$F2128)))),"Check Date")</f>
        <v/>
      </c>
      <c r="I2128" s="12" t="str">
        <f aca="true">IF($H2128="","",IF(ISNUMBER($H2128),$H2128-TODAY(),""))</f>
        <v/>
      </c>
      <c r="J2128" s="4" t="str">
        <f aca="true">IF($D2128="Manual Review","Manual Review",IF($G2128="","No Data",IF(NOT(ISNUMBER($H2128)),"N/A",IF($H2128&lt;TODAY(),"Overdue",IF($H2128&lt;=TODAY()+30,"Due within 1 Month",IF($H2128&lt;=TODAY()+60,"Due within 2 Months","OK"))))))</f>
        <v>No Data</v>
      </c>
      <c r="K2128" s="13"/>
    </row>
    <row r="2129" customFormat="false" ht="15" hidden="false" customHeight="false" outlineLevel="0" collapsed="false">
      <c r="A2129" s="9" t="str">
        <f aca="false">Vessels!B23</f>
        <v>Vessel 19</v>
      </c>
      <c r="B2129" s="9" t="s">
        <v>136</v>
      </c>
      <c r="C2129" s="7" t="s">
        <v>154</v>
      </c>
      <c r="D2129" s="9" t="s">
        <v>45</v>
      </c>
      <c r="E2129" s="9" t="s">
        <v>44</v>
      </c>
      <c r="F2129" s="5" t="n">
        <v>12</v>
      </c>
      <c r="G2129" s="10"/>
      <c r="H2129" s="11" t="str">
        <f aca="false">IFERROR(IF($D2129="Manual Review","",IF($G2129="","",IF($D2129="Direct Expiry",$G2129,EDATE($G2129,$F2129)))),"Check Date")</f>
        <v/>
      </c>
      <c r="I2129" s="12" t="str">
        <f aca="true">IF($H2129="","",IF(ISNUMBER($H2129),$H2129-TODAY(),""))</f>
        <v/>
      </c>
      <c r="J2129" s="4" t="str">
        <f aca="true">IF($D2129="Manual Review","Manual Review",IF($G2129="","No Data",IF(NOT(ISNUMBER($H2129)),"N/A",IF($H2129&lt;TODAY(),"Overdue",IF($H2129&lt;=TODAY()+30,"Due within 1 Month",IF($H2129&lt;=TODAY()+60,"Due within 2 Months","OK"))))))</f>
        <v>No Data</v>
      </c>
      <c r="K2129" s="13"/>
    </row>
    <row r="2130" customFormat="false" ht="15" hidden="false" customHeight="false" outlineLevel="0" collapsed="false">
      <c r="A2130" s="9" t="str">
        <f aca="false">Vessels!B23</f>
        <v>Vessel 19</v>
      </c>
      <c r="B2130" s="9" t="s">
        <v>136</v>
      </c>
      <c r="C2130" s="7" t="s">
        <v>155</v>
      </c>
      <c r="D2130" s="9" t="s">
        <v>45</v>
      </c>
      <c r="E2130" s="9" t="s">
        <v>44</v>
      </c>
      <c r="F2130" s="5" t="n">
        <v>12</v>
      </c>
      <c r="G2130" s="10"/>
      <c r="H2130" s="11" t="str">
        <f aca="false">IFERROR(IF($D2130="Manual Review","",IF($G2130="","",IF($D2130="Direct Expiry",$G2130,EDATE($G2130,$F2130)))),"Check Date")</f>
        <v/>
      </c>
      <c r="I2130" s="12" t="str">
        <f aca="true">IF($H2130="","",IF(ISNUMBER($H2130),$H2130-TODAY(),""))</f>
        <v/>
      </c>
      <c r="J2130" s="4" t="str">
        <f aca="true">IF($D2130="Manual Review","Manual Review",IF($G2130="","No Data",IF(NOT(ISNUMBER($H2130)),"N/A",IF($H2130&lt;TODAY(),"Overdue",IF($H2130&lt;=TODAY()+30,"Due within 1 Month",IF($H2130&lt;=TODAY()+60,"Due within 2 Months","OK"))))))</f>
        <v>No Data</v>
      </c>
      <c r="K2130" s="13"/>
    </row>
    <row r="2131" customFormat="false" ht="15" hidden="false" customHeight="false" outlineLevel="0" collapsed="false">
      <c r="A2131" s="9" t="str">
        <f aca="false">Vessels!B23</f>
        <v>Vessel 19</v>
      </c>
      <c r="B2131" s="9" t="s">
        <v>136</v>
      </c>
      <c r="C2131" s="7" t="s">
        <v>156</v>
      </c>
      <c r="D2131" s="9" t="s">
        <v>45</v>
      </c>
      <c r="E2131" s="9" t="s">
        <v>44</v>
      </c>
      <c r="F2131" s="5" t="n">
        <v>12</v>
      </c>
      <c r="G2131" s="10"/>
      <c r="H2131" s="11" t="str">
        <f aca="false">IFERROR(IF($D2131="Manual Review","",IF($G2131="","",IF($D2131="Direct Expiry",$G2131,EDATE($G2131,$F2131)))),"Check Date")</f>
        <v/>
      </c>
      <c r="I2131" s="12" t="str">
        <f aca="true">IF($H2131="","",IF(ISNUMBER($H2131),$H2131-TODAY(),""))</f>
        <v/>
      </c>
      <c r="J2131" s="4" t="str">
        <f aca="true">IF($D2131="Manual Review","Manual Review",IF($G2131="","No Data",IF(NOT(ISNUMBER($H2131)),"N/A",IF($H2131&lt;TODAY(),"Overdue",IF($H2131&lt;=TODAY()+30,"Due within 1 Month",IF($H2131&lt;=TODAY()+60,"Due within 2 Months","OK"))))))</f>
        <v>No Data</v>
      </c>
      <c r="K2131" s="13"/>
    </row>
    <row r="2132" customFormat="false" ht="15" hidden="false" customHeight="false" outlineLevel="0" collapsed="false">
      <c r="A2132" s="9" t="str">
        <f aca="false">Vessels!B23</f>
        <v>Vessel 19</v>
      </c>
      <c r="B2132" s="9" t="s">
        <v>136</v>
      </c>
      <c r="C2132" s="7" t="s">
        <v>157</v>
      </c>
      <c r="D2132" s="9" t="s">
        <v>45</v>
      </c>
      <c r="E2132" s="9" t="s">
        <v>44</v>
      </c>
      <c r="F2132" s="5" t="n">
        <v>12</v>
      </c>
      <c r="G2132" s="10"/>
      <c r="H2132" s="11" t="str">
        <f aca="false">IFERROR(IF($D2132="Manual Review","",IF($G2132="","",IF($D2132="Direct Expiry",$G2132,EDATE($G2132,$F2132)))),"Check Date")</f>
        <v/>
      </c>
      <c r="I2132" s="12" t="str">
        <f aca="true">IF($H2132="","",IF(ISNUMBER($H2132),$H2132-TODAY(),""))</f>
        <v/>
      </c>
      <c r="J2132" s="4" t="str">
        <f aca="true">IF($D2132="Manual Review","Manual Review",IF($G2132="","No Data",IF(NOT(ISNUMBER($H2132)),"N/A",IF($H2132&lt;TODAY(),"Overdue",IF($H2132&lt;=TODAY()+30,"Due within 1 Month",IF($H2132&lt;=TODAY()+60,"Due within 2 Months","OK"))))))</f>
        <v>No Data</v>
      </c>
      <c r="K2132" s="13"/>
    </row>
    <row r="2133" customFormat="false" ht="15" hidden="false" customHeight="false" outlineLevel="0" collapsed="false">
      <c r="A2133" s="9" t="str">
        <f aca="false">Vessels!B24</f>
        <v>Vessel 20</v>
      </c>
      <c r="B2133" s="9" t="s">
        <v>42</v>
      </c>
      <c r="C2133" s="7" t="s">
        <v>43</v>
      </c>
      <c r="D2133" s="9" t="s">
        <v>45</v>
      </c>
      <c r="E2133" s="9" t="s">
        <v>44</v>
      </c>
      <c r="F2133" s="5" t="n">
        <v>12</v>
      </c>
      <c r="G2133" s="10"/>
      <c r="H2133" s="11" t="str">
        <f aca="false">IFERROR(IF($D2133="Manual Review","",IF($G2133="","",IF($D2133="Direct Expiry",$G2133,EDATE($G2133,$F2133)))),"Check Date")</f>
        <v/>
      </c>
      <c r="I2133" s="12" t="str">
        <f aca="true">IF($H2133="","",IF(ISNUMBER($H2133),$H2133-TODAY(),""))</f>
        <v/>
      </c>
      <c r="J2133" s="4" t="str">
        <f aca="true">IF($D2133="Manual Review","Manual Review",IF($G2133="","No Data",IF(NOT(ISNUMBER($H2133)),"N/A",IF($H2133&lt;TODAY(),"Overdue",IF($H2133&lt;=TODAY()+30,"Due within 1 Month",IF($H2133&lt;=TODAY()+60,"Due within 2 Months","OK"))))))</f>
        <v>No Data</v>
      </c>
      <c r="K2133" s="13"/>
    </row>
    <row r="2134" customFormat="false" ht="15" hidden="false" customHeight="false" outlineLevel="0" collapsed="false">
      <c r="A2134" s="9" t="str">
        <f aca="false">Vessels!B24</f>
        <v>Vessel 20</v>
      </c>
      <c r="B2134" s="9" t="s">
        <v>42</v>
      </c>
      <c r="C2134" s="7" t="s">
        <v>43</v>
      </c>
      <c r="D2134" s="9" t="s">
        <v>45</v>
      </c>
      <c r="E2134" s="9" t="s">
        <v>46</v>
      </c>
      <c r="F2134" s="5" t="n">
        <v>60</v>
      </c>
      <c r="G2134" s="10"/>
      <c r="H2134" s="11" t="str">
        <f aca="false">IFERROR(IF($D2134="Manual Review","",IF($G2134="","",IF($D2134="Direct Expiry",$G2134,EDATE($G2134,$F2134)))),"Check Date")</f>
        <v/>
      </c>
      <c r="I2134" s="12" t="str">
        <f aca="true">IF($H2134="","",IF(ISNUMBER($H2134),$H2134-TODAY(),""))</f>
        <v/>
      </c>
      <c r="J2134" s="4" t="str">
        <f aca="true">IF($D2134="Manual Review","Manual Review",IF($G2134="","No Data",IF(NOT(ISNUMBER($H2134)),"N/A",IF($H2134&lt;TODAY(),"Overdue",IF($H2134&lt;=TODAY()+30,"Due within 1 Month",IF($H2134&lt;=TODAY()+60,"Due within 2 Months","OK"))))))</f>
        <v>No Data</v>
      </c>
      <c r="K2134" s="13"/>
    </row>
    <row r="2135" customFormat="false" ht="15" hidden="false" customHeight="false" outlineLevel="0" collapsed="false">
      <c r="A2135" s="9" t="str">
        <f aca="false">Vessels!B24</f>
        <v>Vessel 20</v>
      </c>
      <c r="B2135" s="9" t="s">
        <v>42</v>
      </c>
      <c r="C2135" s="7" t="s">
        <v>47</v>
      </c>
      <c r="D2135" s="9" t="s">
        <v>45</v>
      </c>
      <c r="E2135" s="9" t="s">
        <v>44</v>
      </c>
      <c r="F2135" s="5" t="n">
        <v>12</v>
      </c>
      <c r="G2135" s="10"/>
      <c r="H2135" s="11" t="str">
        <f aca="false">IFERROR(IF($D2135="Manual Review","",IF($G2135="","",IF($D2135="Direct Expiry",$G2135,EDATE($G2135,$F2135)))),"Check Date")</f>
        <v/>
      </c>
      <c r="I2135" s="12" t="str">
        <f aca="true">IF($H2135="","",IF(ISNUMBER($H2135),$H2135-TODAY(),""))</f>
        <v/>
      </c>
      <c r="J2135" s="4" t="str">
        <f aca="true">IF($D2135="Manual Review","Manual Review",IF($G2135="","No Data",IF(NOT(ISNUMBER($H2135)),"N/A",IF($H2135&lt;TODAY(),"Overdue",IF($H2135&lt;=TODAY()+30,"Due within 1 Month",IF($H2135&lt;=TODAY()+60,"Due within 2 Months","OK"))))))</f>
        <v>No Data</v>
      </c>
      <c r="K2135" s="13"/>
    </row>
    <row r="2136" customFormat="false" ht="15" hidden="false" customHeight="false" outlineLevel="0" collapsed="false">
      <c r="A2136" s="9" t="str">
        <f aca="false">Vessels!B24</f>
        <v>Vessel 20</v>
      </c>
      <c r="B2136" s="9" t="s">
        <v>42</v>
      </c>
      <c r="C2136" s="7" t="s">
        <v>47</v>
      </c>
      <c r="D2136" s="9" t="s">
        <v>45</v>
      </c>
      <c r="E2136" s="9" t="s">
        <v>46</v>
      </c>
      <c r="F2136" s="5" t="n">
        <v>60</v>
      </c>
      <c r="G2136" s="10"/>
      <c r="H2136" s="11" t="str">
        <f aca="false">IFERROR(IF($D2136="Manual Review","",IF($G2136="","",IF($D2136="Direct Expiry",$G2136,EDATE($G2136,$F2136)))),"Check Date")</f>
        <v/>
      </c>
      <c r="I2136" s="12" t="str">
        <f aca="true">IF($H2136="","",IF(ISNUMBER($H2136),$H2136-TODAY(),""))</f>
        <v/>
      </c>
      <c r="J2136" s="4" t="str">
        <f aca="true">IF($D2136="Manual Review","Manual Review",IF($G2136="","No Data",IF(NOT(ISNUMBER($H2136)),"N/A",IF($H2136&lt;TODAY(),"Overdue",IF($H2136&lt;=TODAY()+30,"Due within 1 Month",IF($H2136&lt;=TODAY()+60,"Due within 2 Months","OK"))))))</f>
        <v>No Data</v>
      </c>
      <c r="K2136" s="13"/>
    </row>
    <row r="2137" customFormat="false" ht="15" hidden="false" customHeight="false" outlineLevel="0" collapsed="false">
      <c r="A2137" s="9" t="str">
        <f aca="false">Vessels!B24</f>
        <v>Vessel 20</v>
      </c>
      <c r="B2137" s="9" t="s">
        <v>42</v>
      </c>
      <c r="C2137" s="7" t="s">
        <v>48</v>
      </c>
      <c r="D2137" s="9" t="s">
        <v>45</v>
      </c>
      <c r="E2137" s="9" t="s">
        <v>44</v>
      </c>
      <c r="F2137" s="5" t="n">
        <v>12</v>
      </c>
      <c r="G2137" s="10"/>
      <c r="H2137" s="11" t="str">
        <f aca="false">IFERROR(IF($D2137="Manual Review","",IF($G2137="","",IF($D2137="Direct Expiry",$G2137,EDATE($G2137,$F2137)))),"Check Date")</f>
        <v/>
      </c>
      <c r="I2137" s="12" t="str">
        <f aca="true">IF($H2137="","",IF(ISNUMBER($H2137),$H2137-TODAY(),""))</f>
        <v/>
      </c>
      <c r="J2137" s="4" t="str">
        <f aca="true">IF($D2137="Manual Review","Manual Review",IF($G2137="","No Data",IF(NOT(ISNUMBER($H2137)),"N/A",IF($H2137&lt;TODAY(),"Overdue",IF($H2137&lt;=TODAY()+30,"Due within 1 Month",IF($H2137&lt;=TODAY()+60,"Due within 2 Months","OK"))))))</f>
        <v>No Data</v>
      </c>
      <c r="K2137" s="13"/>
    </row>
    <row r="2138" customFormat="false" ht="15" hidden="false" customHeight="false" outlineLevel="0" collapsed="false">
      <c r="A2138" s="9" t="str">
        <f aca="false">Vessels!B24</f>
        <v>Vessel 20</v>
      </c>
      <c r="B2138" s="9" t="s">
        <v>42</v>
      </c>
      <c r="C2138" s="7" t="s">
        <v>48</v>
      </c>
      <c r="D2138" s="9" t="s">
        <v>45</v>
      </c>
      <c r="E2138" s="9" t="s">
        <v>49</v>
      </c>
      <c r="F2138" s="5" t="n">
        <v>60</v>
      </c>
      <c r="G2138" s="10"/>
      <c r="H2138" s="11" t="str">
        <f aca="false">IFERROR(IF($D2138="Manual Review","",IF($G2138="","",IF($D2138="Direct Expiry",$G2138,EDATE($G2138,$F2138)))),"Check Date")</f>
        <v/>
      </c>
      <c r="I2138" s="12" t="str">
        <f aca="true">IF($H2138="","",IF(ISNUMBER($H2138),$H2138-TODAY(),""))</f>
        <v/>
      </c>
      <c r="J2138" s="4" t="str">
        <f aca="true">IF($D2138="Manual Review","Manual Review",IF($G2138="","No Data",IF(NOT(ISNUMBER($H2138)),"N/A",IF($H2138&lt;TODAY(),"Overdue",IF($H2138&lt;=TODAY()+30,"Due within 1 Month",IF($H2138&lt;=TODAY()+60,"Due within 2 Months","OK"))))))</f>
        <v>No Data</v>
      </c>
      <c r="K2138" s="13"/>
    </row>
    <row r="2139" customFormat="false" ht="15" hidden="false" customHeight="false" outlineLevel="0" collapsed="false">
      <c r="A2139" s="9" t="str">
        <f aca="false">Vessels!B24</f>
        <v>Vessel 20</v>
      </c>
      <c r="B2139" s="9" t="s">
        <v>42</v>
      </c>
      <c r="C2139" s="7" t="s">
        <v>50</v>
      </c>
      <c r="D2139" s="9" t="s">
        <v>45</v>
      </c>
      <c r="E2139" s="9" t="s">
        <v>44</v>
      </c>
      <c r="F2139" s="5" t="n">
        <v>12</v>
      </c>
      <c r="G2139" s="10"/>
      <c r="H2139" s="11" t="str">
        <f aca="false">IFERROR(IF($D2139="Manual Review","",IF($G2139="","",IF($D2139="Direct Expiry",$G2139,EDATE($G2139,$F2139)))),"Check Date")</f>
        <v/>
      </c>
      <c r="I2139" s="12" t="str">
        <f aca="true">IF($H2139="","",IF(ISNUMBER($H2139),$H2139-TODAY(),""))</f>
        <v/>
      </c>
      <c r="J2139" s="4" t="str">
        <f aca="true">IF($D2139="Manual Review","Manual Review",IF($G2139="","No Data",IF(NOT(ISNUMBER($H2139)),"N/A",IF($H2139&lt;TODAY(),"Overdue",IF($H2139&lt;=TODAY()+30,"Due within 1 Month",IF($H2139&lt;=TODAY()+60,"Due within 2 Months","OK"))))))</f>
        <v>No Data</v>
      </c>
      <c r="K2139" s="13"/>
    </row>
    <row r="2140" customFormat="false" ht="15" hidden="false" customHeight="false" outlineLevel="0" collapsed="false">
      <c r="A2140" s="9" t="str">
        <f aca="false">Vessels!B24</f>
        <v>Vessel 20</v>
      </c>
      <c r="B2140" s="9" t="s">
        <v>42</v>
      </c>
      <c r="C2140" s="7" t="s">
        <v>50</v>
      </c>
      <c r="D2140" s="9" t="s">
        <v>45</v>
      </c>
      <c r="E2140" s="9" t="s">
        <v>49</v>
      </c>
      <c r="F2140" s="5" t="n">
        <v>60</v>
      </c>
      <c r="G2140" s="10"/>
      <c r="H2140" s="11" t="str">
        <f aca="false">IFERROR(IF($D2140="Manual Review","",IF($G2140="","",IF($D2140="Direct Expiry",$G2140,EDATE($G2140,$F2140)))),"Check Date")</f>
        <v/>
      </c>
      <c r="I2140" s="12" t="str">
        <f aca="true">IF($H2140="","",IF(ISNUMBER($H2140),$H2140-TODAY(),""))</f>
        <v/>
      </c>
      <c r="J2140" s="4" t="str">
        <f aca="true">IF($D2140="Manual Review","Manual Review",IF($G2140="","No Data",IF(NOT(ISNUMBER($H2140)),"N/A",IF($H2140&lt;TODAY(),"Overdue",IF($H2140&lt;=TODAY()+30,"Due within 1 Month",IF($H2140&lt;=TODAY()+60,"Due within 2 Months","OK"))))))</f>
        <v>No Data</v>
      </c>
      <c r="K2140" s="13"/>
    </row>
    <row r="2141" customFormat="false" ht="15" hidden="false" customHeight="false" outlineLevel="0" collapsed="false">
      <c r="A2141" s="9" t="str">
        <f aca="false">Vessels!B24</f>
        <v>Vessel 20</v>
      </c>
      <c r="B2141" s="9" t="s">
        <v>42</v>
      </c>
      <c r="C2141" s="7" t="s">
        <v>51</v>
      </c>
      <c r="D2141" s="9" t="s">
        <v>45</v>
      </c>
      <c r="E2141" s="9" t="s">
        <v>46</v>
      </c>
      <c r="F2141" s="5" t="n">
        <v>60</v>
      </c>
      <c r="G2141" s="10"/>
      <c r="H2141" s="11" t="str">
        <f aca="false">IFERROR(IF($D2141="Manual Review","",IF($G2141="","",IF($D2141="Direct Expiry",$G2141,EDATE($G2141,$F2141)))),"Check Date")</f>
        <v/>
      </c>
      <c r="I2141" s="12" t="str">
        <f aca="true">IF($H2141="","",IF(ISNUMBER($H2141),$H2141-TODAY(),""))</f>
        <v/>
      </c>
      <c r="J2141" s="4" t="str">
        <f aca="true">IF($D2141="Manual Review","Manual Review",IF($G2141="","No Data",IF(NOT(ISNUMBER($H2141)),"N/A",IF($H2141&lt;TODAY(),"Overdue",IF($H2141&lt;=TODAY()+30,"Due within 1 Month",IF($H2141&lt;=TODAY()+60,"Due within 2 Months","OK"))))))</f>
        <v>No Data</v>
      </c>
      <c r="K2141" s="13"/>
    </row>
    <row r="2142" customFormat="false" ht="15" hidden="false" customHeight="false" outlineLevel="0" collapsed="false">
      <c r="A2142" s="9" t="str">
        <f aca="false">Vessels!B24</f>
        <v>Vessel 20</v>
      </c>
      <c r="B2142" s="9" t="s">
        <v>42</v>
      </c>
      <c r="C2142" s="7" t="s">
        <v>52</v>
      </c>
      <c r="D2142" s="9" t="s">
        <v>45</v>
      </c>
      <c r="E2142" s="9" t="s">
        <v>46</v>
      </c>
      <c r="F2142" s="5" t="n">
        <v>60</v>
      </c>
      <c r="G2142" s="10"/>
      <c r="H2142" s="11" t="str">
        <f aca="false">IFERROR(IF($D2142="Manual Review","",IF($G2142="","",IF($D2142="Direct Expiry",$G2142,EDATE($G2142,$F2142)))),"Check Date")</f>
        <v/>
      </c>
      <c r="I2142" s="12" t="str">
        <f aca="true">IF($H2142="","",IF(ISNUMBER($H2142),$H2142-TODAY(),""))</f>
        <v/>
      </c>
      <c r="J2142" s="4" t="str">
        <f aca="true">IF($D2142="Manual Review","Manual Review",IF($G2142="","No Data",IF(NOT(ISNUMBER($H2142)),"N/A",IF($H2142&lt;TODAY(),"Overdue",IF($H2142&lt;=TODAY()+30,"Due within 1 Month",IF($H2142&lt;=TODAY()+60,"Due within 2 Months","OK"))))))</f>
        <v>No Data</v>
      </c>
      <c r="K2142" s="13"/>
    </row>
    <row r="2143" customFormat="false" ht="15" hidden="false" customHeight="false" outlineLevel="0" collapsed="false">
      <c r="A2143" s="9" t="str">
        <f aca="false">Vessels!B24</f>
        <v>Vessel 20</v>
      </c>
      <c r="B2143" s="9" t="s">
        <v>42</v>
      </c>
      <c r="C2143" s="7" t="s">
        <v>53</v>
      </c>
      <c r="D2143" s="9" t="s">
        <v>45</v>
      </c>
      <c r="E2143" s="9" t="s">
        <v>46</v>
      </c>
      <c r="F2143" s="5" t="n">
        <v>60</v>
      </c>
      <c r="G2143" s="10"/>
      <c r="H2143" s="11" t="str">
        <f aca="false">IFERROR(IF($D2143="Manual Review","",IF($G2143="","",IF($D2143="Direct Expiry",$G2143,EDATE($G2143,$F2143)))),"Check Date")</f>
        <v/>
      </c>
      <c r="I2143" s="12" t="str">
        <f aca="true">IF($H2143="","",IF(ISNUMBER($H2143),$H2143-TODAY(),""))</f>
        <v/>
      </c>
      <c r="J2143" s="4" t="str">
        <f aca="true">IF($D2143="Manual Review","Manual Review",IF($G2143="","No Data",IF(NOT(ISNUMBER($H2143)),"N/A",IF($H2143&lt;TODAY(),"Overdue",IF($H2143&lt;=TODAY()+30,"Due within 1 Month",IF($H2143&lt;=TODAY()+60,"Due within 2 Months","OK"))))))</f>
        <v>No Data</v>
      </c>
      <c r="K2143" s="13"/>
    </row>
    <row r="2144" customFormat="false" ht="15" hidden="false" customHeight="false" outlineLevel="0" collapsed="false">
      <c r="A2144" s="9" t="str">
        <f aca="false">Vessels!B24</f>
        <v>Vessel 20</v>
      </c>
      <c r="B2144" s="9" t="s">
        <v>42</v>
      </c>
      <c r="C2144" s="7" t="s">
        <v>54</v>
      </c>
      <c r="D2144" s="9" t="s">
        <v>45</v>
      </c>
      <c r="E2144" s="9" t="s">
        <v>46</v>
      </c>
      <c r="F2144" s="5" t="n">
        <v>60</v>
      </c>
      <c r="G2144" s="10"/>
      <c r="H2144" s="11" t="str">
        <f aca="false">IFERROR(IF($D2144="Manual Review","",IF($G2144="","",IF($D2144="Direct Expiry",$G2144,EDATE($G2144,$F2144)))),"Check Date")</f>
        <v/>
      </c>
      <c r="I2144" s="12" t="str">
        <f aca="true">IF($H2144="","",IF(ISNUMBER($H2144),$H2144-TODAY(),""))</f>
        <v/>
      </c>
      <c r="J2144" s="4" t="str">
        <f aca="true">IF($D2144="Manual Review","Manual Review",IF($G2144="","No Data",IF(NOT(ISNUMBER($H2144)),"N/A",IF($H2144&lt;TODAY(),"Overdue",IF($H2144&lt;=TODAY()+30,"Due within 1 Month",IF($H2144&lt;=TODAY()+60,"Due within 2 Months","OK"))))))</f>
        <v>No Data</v>
      </c>
      <c r="K2144" s="13"/>
    </row>
    <row r="2145" customFormat="false" ht="15" hidden="false" customHeight="false" outlineLevel="0" collapsed="false">
      <c r="A2145" s="9" t="str">
        <f aca="false">Vessels!B24</f>
        <v>Vessel 20</v>
      </c>
      <c r="B2145" s="9" t="s">
        <v>42</v>
      </c>
      <c r="C2145" s="7" t="s">
        <v>55</v>
      </c>
      <c r="D2145" s="9" t="s">
        <v>45</v>
      </c>
      <c r="E2145" s="9" t="s">
        <v>46</v>
      </c>
      <c r="F2145" s="5" t="n">
        <v>60</v>
      </c>
      <c r="G2145" s="10"/>
      <c r="H2145" s="11" t="str">
        <f aca="false">IFERROR(IF($D2145="Manual Review","",IF($G2145="","",IF($D2145="Direct Expiry",$G2145,EDATE($G2145,$F2145)))),"Check Date")</f>
        <v/>
      </c>
      <c r="I2145" s="12" t="str">
        <f aca="true">IF($H2145="","",IF(ISNUMBER($H2145),$H2145-TODAY(),""))</f>
        <v/>
      </c>
      <c r="J2145" s="4" t="str">
        <f aca="true">IF($D2145="Manual Review","Manual Review",IF($G2145="","No Data",IF(NOT(ISNUMBER($H2145)),"N/A",IF($H2145&lt;TODAY(),"Overdue",IF($H2145&lt;=TODAY()+30,"Due within 1 Month",IF($H2145&lt;=TODAY()+60,"Due within 2 Months","OK"))))))</f>
        <v>No Data</v>
      </c>
      <c r="K2145" s="13"/>
    </row>
    <row r="2146" customFormat="false" ht="15" hidden="false" customHeight="false" outlineLevel="0" collapsed="false">
      <c r="A2146" s="9" t="str">
        <f aca="false">Vessels!B24</f>
        <v>Vessel 20</v>
      </c>
      <c r="B2146" s="9" t="s">
        <v>42</v>
      </c>
      <c r="C2146" s="7" t="s">
        <v>56</v>
      </c>
      <c r="D2146" s="9" t="s">
        <v>45</v>
      </c>
      <c r="E2146" s="9" t="s">
        <v>46</v>
      </c>
      <c r="F2146" s="5" t="n">
        <v>60</v>
      </c>
      <c r="G2146" s="10"/>
      <c r="H2146" s="11" t="str">
        <f aca="false">IFERROR(IF($D2146="Manual Review","",IF($G2146="","",IF($D2146="Direct Expiry",$G2146,EDATE($G2146,$F2146)))),"Check Date")</f>
        <v/>
      </c>
      <c r="I2146" s="12" t="str">
        <f aca="true">IF($H2146="","",IF(ISNUMBER($H2146),$H2146-TODAY(),""))</f>
        <v/>
      </c>
      <c r="J2146" s="4" t="str">
        <f aca="true">IF($D2146="Manual Review","Manual Review",IF($G2146="","No Data",IF(NOT(ISNUMBER($H2146)),"N/A",IF($H2146&lt;TODAY(),"Overdue",IF($H2146&lt;=TODAY()+30,"Due within 1 Month",IF($H2146&lt;=TODAY()+60,"Due within 2 Months","OK"))))))</f>
        <v>No Data</v>
      </c>
      <c r="K2146" s="13"/>
    </row>
    <row r="2147" customFormat="false" ht="15" hidden="false" customHeight="false" outlineLevel="0" collapsed="false">
      <c r="A2147" s="9" t="str">
        <f aca="false">Vessels!B24</f>
        <v>Vessel 20</v>
      </c>
      <c r="B2147" s="9" t="s">
        <v>42</v>
      </c>
      <c r="C2147" s="7" t="s">
        <v>57</v>
      </c>
      <c r="D2147" s="9" t="s">
        <v>59</v>
      </c>
      <c r="E2147" s="9" t="s">
        <v>58</v>
      </c>
      <c r="F2147" s="5"/>
      <c r="G2147" s="10"/>
      <c r="H2147" s="11" t="str">
        <f aca="false">IFERROR(IF($D2147="Manual Review","",IF($G2147="","",IF($D2147="Direct Expiry",$G2147,EDATE($G2147,$F2147)))),"Check Date")</f>
        <v/>
      </c>
      <c r="I2147" s="12" t="str">
        <f aca="true">IF($H2147="","",IF(ISNUMBER($H2147),$H2147-TODAY(),""))</f>
        <v/>
      </c>
      <c r="J2147" s="4" t="str">
        <f aca="true">IF($D2147="Manual Review","Manual Review",IF($G2147="","No Data",IF(NOT(ISNUMBER($H2147)),"N/A",IF($H2147&lt;TODAY(),"Overdue",IF($H2147&lt;=TODAY()+30,"Due within 1 Month",IF($H2147&lt;=TODAY()+60,"Due within 2 Months","OK"))))))</f>
        <v>No Data</v>
      </c>
      <c r="K2147" s="13"/>
    </row>
    <row r="2148" customFormat="false" ht="15" hidden="false" customHeight="false" outlineLevel="0" collapsed="false">
      <c r="A2148" s="9" t="str">
        <f aca="false">Vessels!B24</f>
        <v>Vessel 20</v>
      </c>
      <c r="B2148" s="9" t="s">
        <v>42</v>
      </c>
      <c r="C2148" s="7" t="s">
        <v>60</v>
      </c>
      <c r="D2148" s="9" t="s">
        <v>45</v>
      </c>
      <c r="E2148" s="9" t="s">
        <v>44</v>
      </c>
      <c r="F2148" s="5" t="n">
        <v>12</v>
      </c>
      <c r="G2148" s="10"/>
      <c r="H2148" s="11" t="str">
        <f aca="false">IFERROR(IF($D2148="Manual Review","",IF($G2148="","",IF($D2148="Direct Expiry",$G2148,EDATE($G2148,$F2148)))),"Check Date")</f>
        <v/>
      </c>
      <c r="I2148" s="12" t="str">
        <f aca="true">IF($H2148="","",IF(ISNUMBER($H2148),$H2148-TODAY(),""))</f>
        <v/>
      </c>
      <c r="J2148" s="4" t="str">
        <f aca="true">IF($D2148="Manual Review","Manual Review",IF($G2148="","No Data",IF(NOT(ISNUMBER($H2148)),"N/A",IF($H2148&lt;TODAY(),"Overdue",IF($H2148&lt;=TODAY()+30,"Due within 1 Month",IF($H2148&lt;=TODAY()+60,"Due within 2 Months","OK"))))))</f>
        <v>No Data</v>
      </c>
      <c r="K2148" s="13"/>
    </row>
    <row r="2149" customFormat="false" ht="15" hidden="false" customHeight="false" outlineLevel="0" collapsed="false">
      <c r="A2149" s="9" t="str">
        <f aca="false">Vessels!B24</f>
        <v>Vessel 20</v>
      </c>
      <c r="B2149" s="9" t="s">
        <v>42</v>
      </c>
      <c r="C2149" s="7" t="s">
        <v>60</v>
      </c>
      <c r="D2149" s="9" t="s">
        <v>45</v>
      </c>
      <c r="E2149" s="9" t="s">
        <v>46</v>
      </c>
      <c r="F2149" s="5" t="n">
        <v>60</v>
      </c>
      <c r="G2149" s="10"/>
      <c r="H2149" s="11" t="str">
        <f aca="false">IFERROR(IF($D2149="Manual Review","",IF($G2149="","",IF($D2149="Direct Expiry",$G2149,EDATE($G2149,$F2149)))),"Check Date")</f>
        <v/>
      </c>
      <c r="I2149" s="12" t="str">
        <f aca="true">IF($H2149="","",IF(ISNUMBER($H2149),$H2149-TODAY(),""))</f>
        <v/>
      </c>
      <c r="J2149" s="4" t="str">
        <f aca="true">IF($D2149="Manual Review","Manual Review",IF($G2149="","No Data",IF(NOT(ISNUMBER($H2149)),"N/A",IF($H2149&lt;TODAY(),"Overdue",IF($H2149&lt;=TODAY()+30,"Due within 1 Month",IF($H2149&lt;=TODAY()+60,"Due within 2 Months","OK"))))))</f>
        <v>No Data</v>
      </c>
      <c r="K2149" s="13"/>
    </row>
    <row r="2150" customFormat="false" ht="15" hidden="false" customHeight="false" outlineLevel="0" collapsed="false">
      <c r="A2150" s="9" t="str">
        <f aca="false">Vessels!B24</f>
        <v>Vessel 20</v>
      </c>
      <c r="B2150" s="9" t="s">
        <v>42</v>
      </c>
      <c r="C2150" s="7" t="s">
        <v>61</v>
      </c>
      <c r="D2150" s="9" t="s">
        <v>45</v>
      </c>
      <c r="E2150" s="9" t="s">
        <v>44</v>
      </c>
      <c r="F2150" s="5" t="n">
        <v>12</v>
      </c>
      <c r="G2150" s="10"/>
      <c r="H2150" s="11" t="str">
        <f aca="false">IFERROR(IF($D2150="Manual Review","",IF($G2150="","",IF($D2150="Direct Expiry",$G2150,EDATE($G2150,$F2150)))),"Check Date")</f>
        <v/>
      </c>
      <c r="I2150" s="12" t="str">
        <f aca="true">IF($H2150="","",IF(ISNUMBER($H2150),$H2150-TODAY(),""))</f>
        <v/>
      </c>
      <c r="J2150" s="4" t="str">
        <f aca="true">IF($D2150="Manual Review","Manual Review",IF($G2150="","No Data",IF(NOT(ISNUMBER($H2150)),"N/A",IF($H2150&lt;TODAY(),"Overdue",IF($H2150&lt;=TODAY()+30,"Due within 1 Month",IF($H2150&lt;=TODAY()+60,"Due within 2 Months","OK"))))))</f>
        <v>No Data</v>
      </c>
      <c r="K2150" s="13"/>
    </row>
    <row r="2151" customFormat="false" ht="15" hidden="false" customHeight="false" outlineLevel="0" collapsed="false">
      <c r="A2151" s="9" t="str">
        <f aca="false">Vessels!B24</f>
        <v>Vessel 20</v>
      </c>
      <c r="B2151" s="9" t="s">
        <v>42</v>
      </c>
      <c r="C2151" s="7" t="s">
        <v>61</v>
      </c>
      <c r="D2151" s="9" t="s">
        <v>45</v>
      </c>
      <c r="E2151" s="9" t="s">
        <v>46</v>
      </c>
      <c r="F2151" s="5" t="n">
        <v>60</v>
      </c>
      <c r="G2151" s="10"/>
      <c r="H2151" s="11" t="str">
        <f aca="false">IFERROR(IF($D2151="Manual Review","",IF($G2151="","",IF($D2151="Direct Expiry",$G2151,EDATE($G2151,$F2151)))),"Check Date")</f>
        <v/>
      </c>
      <c r="I2151" s="12" t="str">
        <f aca="true">IF($H2151="","",IF(ISNUMBER($H2151),$H2151-TODAY(),""))</f>
        <v/>
      </c>
      <c r="J2151" s="4" t="str">
        <f aca="true">IF($D2151="Manual Review","Manual Review",IF($G2151="","No Data",IF(NOT(ISNUMBER($H2151)),"N/A",IF($H2151&lt;TODAY(),"Overdue",IF($H2151&lt;=TODAY()+30,"Due within 1 Month",IF($H2151&lt;=TODAY()+60,"Due within 2 Months","OK"))))))</f>
        <v>No Data</v>
      </c>
      <c r="K2151" s="13"/>
    </row>
    <row r="2152" customFormat="false" ht="15" hidden="false" customHeight="false" outlineLevel="0" collapsed="false">
      <c r="A2152" s="9" t="str">
        <f aca="false">Vessels!B24</f>
        <v>Vessel 20</v>
      </c>
      <c r="B2152" s="9" t="s">
        <v>42</v>
      </c>
      <c r="C2152" s="7" t="s">
        <v>62</v>
      </c>
      <c r="D2152" s="9" t="s">
        <v>45</v>
      </c>
      <c r="E2152" s="9" t="s">
        <v>44</v>
      </c>
      <c r="F2152" s="5" t="n">
        <v>12</v>
      </c>
      <c r="G2152" s="10"/>
      <c r="H2152" s="11" t="str">
        <f aca="false">IFERROR(IF($D2152="Manual Review","",IF($G2152="","",IF($D2152="Direct Expiry",$G2152,EDATE($G2152,$F2152)))),"Check Date")</f>
        <v/>
      </c>
      <c r="I2152" s="12" t="str">
        <f aca="true">IF($H2152="","",IF(ISNUMBER($H2152),$H2152-TODAY(),""))</f>
        <v/>
      </c>
      <c r="J2152" s="4" t="str">
        <f aca="true">IF($D2152="Manual Review","Manual Review",IF($G2152="","No Data",IF(NOT(ISNUMBER($H2152)),"N/A",IF($H2152&lt;TODAY(),"Overdue",IF($H2152&lt;=TODAY()+30,"Due within 1 Month",IF($H2152&lt;=TODAY()+60,"Due within 2 Months","OK"))))))</f>
        <v>No Data</v>
      </c>
      <c r="K2152" s="13"/>
    </row>
    <row r="2153" customFormat="false" ht="15" hidden="false" customHeight="false" outlineLevel="0" collapsed="false">
      <c r="A2153" s="9" t="str">
        <f aca="false">Vessels!B24</f>
        <v>Vessel 20</v>
      </c>
      <c r="B2153" s="9" t="s">
        <v>42</v>
      </c>
      <c r="C2153" s="7" t="s">
        <v>62</v>
      </c>
      <c r="D2153" s="9" t="s">
        <v>45</v>
      </c>
      <c r="E2153" s="9" t="s">
        <v>49</v>
      </c>
      <c r="F2153" s="5" t="n">
        <v>60</v>
      </c>
      <c r="G2153" s="10"/>
      <c r="H2153" s="11" t="str">
        <f aca="false">IFERROR(IF($D2153="Manual Review","",IF($G2153="","",IF($D2153="Direct Expiry",$G2153,EDATE($G2153,$F2153)))),"Check Date")</f>
        <v/>
      </c>
      <c r="I2153" s="12" t="str">
        <f aca="true">IF($H2153="","",IF(ISNUMBER($H2153),$H2153-TODAY(),""))</f>
        <v/>
      </c>
      <c r="J2153" s="4" t="str">
        <f aca="true">IF($D2153="Manual Review","Manual Review",IF($G2153="","No Data",IF(NOT(ISNUMBER($H2153)),"N/A",IF($H2153&lt;TODAY(),"Overdue",IF($H2153&lt;=TODAY()+30,"Due within 1 Month",IF($H2153&lt;=TODAY()+60,"Due within 2 Months","OK"))))))</f>
        <v>No Data</v>
      </c>
      <c r="K2153" s="13"/>
    </row>
    <row r="2154" customFormat="false" ht="15" hidden="false" customHeight="false" outlineLevel="0" collapsed="false">
      <c r="A2154" s="9" t="str">
        <f aca="false">Vessels!B24</f>
        <v>Vessel 20</v>
      </c>
      <c r="B2154" s="9" t="s">
        <v>42</v>
      </c>
      <c r="C2154" s="7" t="s">
        <v>63</v>
      </c>
      <c r="D2154" s="9" t="s">
        <v>45</v>
      </c>
      <c r="E2154" s="9" t="s">
        <v>44</v>
      </c>
      <c r="F2154" s="5" t="n">
        <v>12</v>
      </c>
      <c r="G2154" s="10"/>
      <c r="H2154" s="11" t="str">
        <f aca="false">IFERROR(IF($D2154="Manual Review","",IF($G2154="","",IF($D2154="Direct Expiry",$G2154,EDATE($G2154,$F2154)))),"Check Date")</f>
        <v/>
      </c>
      <c r="I2154" s="12" t="str">
        <f aca="true">IF($H2154="","",IF(ISNUMBER($H2154),$H2154-TODAY(),""))</f>
        <v/>
      </c>
      <c r="J2154" s="4" t="str">
        <f aca="true">IF($D2154="Manual Review","Manual Review",IF($G2154="","No Data",IF(NOT(ISNUMBER($H2154)),"N/A",IF($H2154&lt;TODAY(),"Overdue",IF($H2154&lt;=TODAY()+30,"Due within 1 Month",IF($H2154&lt;=TODAY()+60,"Due within 2 Months","OK"))))))</f>
        <v>No Data</v>
      </c>
      <c r="K2154" s="13"/>
    </row>
    <row r="2155" customFormat="false" ht="15" hidden="false" customHeight="false" outlineLevel="0" collapsed="false">
      <c r="A2155" s="9" t="str">
        <f aca="false">Vessels!B24</f>
        <v>Vessel 20</v>
      </c>
      <c r="B2155" s="9" t="s">
        <v>42</v>
      </c>
      <c r="C2155" s="7" t="s">
        <v>63</v>
      </c>
      <c r="D2155" s="9" t="s">
        <v>45</v>
      </c>
      <c r="E2155" s="9" t="s">
        <v>49</v>
      </c>
      <c r="F2155" s="5" t="n">
        <v>60</v>
      </c>
      <c r="G2155" s="10"/>
      <c r="H2155" s="11" t="str">
        <f aca="false">IFERROR(IF($D2155="Manual Review","",IF($G2155="","",IF($D2155="Direct Expiry",$G2155,EDATE($G2155,$F2155)))),"Check Date")</f>
        <v/>
      </c>
      <c r="I2155" s="12" t="str">
        <f aca="true">IF($H2155="","",IF(ISNUMBER($H2155),$H2155-TODAY(),""))</f>
        <v/>
      </c>
      <c r="J2155" s="4" t="str">
        <f aca="true">IF($D2155="Manual Review","Manual Review",IF($G2155="","No Data",IF(NOT(ISNUMBER($H2155)),"N/A",IF($H2155&lt;TODAY(),"Overdue",IF($H2155&lt;=TODAY()+30,"Due within 1 Month",IF($H2155&lt;=TODAY()+60,"Due within 2 Months","OK"))))))</f>
        <v>No Data</v>
      </c>
      <c r="K2155" s="13"/>
    </row>
    <row r="2156" customFormat="false" ht="15" hidden="false" customHeight="false" outlineLevel="0" collapsed="false">
      <c r="A2156" s="9" t="str">
        <f aca="false">Vessels!B24</f>
        <v>Vessel 20</v>
      </c>
      <c r="B2156" s="9" t="s">
        <v>42</v>
      </c>
      <c r="C2156" s="7" t="s">
        <v>64</v>
      </c>
      <c r="D2156" s="9" t="s">
        <v>45</v>
      </c>
      <c r="E2156" s="9" t="s">
        <v>46</v>
      </c>
      <c r="F2156" s="5" t="n">
        <v>60</v>
      </c>
      <c r="G2156" s="10"/>
      <c r="H2156" s="11" t="str">
        <f aca="false">IFERROR(IF($D2156="Manual Review","",IF($G2156="","",IF($D2156="Direct Expiry",$G2156,EDATE($G2156,$F2156)))),"Check Date")</f>
        <v/>
      </c>
      <c r="I2156" s="12" t="str">
        <f aca="true">IF($H2156="","",IF(ISNUMBER($H2156),$H2156-TODAY(),""))</f>
        <v/>
      </c>
      <c r="J2156" s="4" t="str">
        <f aca="true">IF($D2156="Manual Review","Manual Review",IF($G2156="","No Data",IF(NOT(ISNUMBER($H2156)),"N/A",IF($H2156&lt;TODAY(),"Overdue",IF($H2156&lt;=TODAY()+30,"Due within 1 Month",IF($H2156&lt;=TODAY()+60,"Due within 2 Months","OK"))))))</f>
        <v>No Data</v>
      </c>
      <c r="K2156" s="13"/>
    </row>
    <row r="2157" customFormat="false" ht="15" hidden="false" customHeight="false" outlineLevel="0" collapsed="false">
      <c r="A2157" s="9" t="str">
        <f aca="false">Vessels!B24</f>
        <v>Vessel 20</v>
      </c>
      <c r="B2157" s="9" t="s">
        <v>42</v>
      </c>
      <c r="C2157" s="7" t="s">
        <v>65</v>
      </c>
      <c r="D2157" s="9" t="s">
        <v>45</v>
      </c>
      <c r="E2157" s="9" t="s">
        <v>46</v>
      </c>
      <c r="F2157" s="5" t="n">
        <v>60</v>
      </c>
      <c r="G2157" s="10"/>
      <c r="H2157" s="11" t="str">
        <f aca="false">IFERROR(IF($D2157="Manual Review","",IF($G2157="","",IF($D2157="Direct Expiry",$G2157,EDATE($G2157,$F2157)))),"Check Date")</f>
        <v/>
      </c>
      <c r="I2157" s="12" t="str">
        <f aca="true">IF($H2157="","",IF(ISNUMBER($H2157),$H2157-TODAY(),""))</f>
        <v/>
      </c>
      <c r="J2157" s="4" t="str">
        <f aca="true">IF($D2157="Manual Review","Manual Review",IF($G2157="","No Data",IF(NOT(ISNUMBER($H2157)),"N/A",IF($H2157&lt;TODAY(),"Overdue",IF($H2157&lt;=TODAY()+30,"Due within 1 Month",IF($H2157&lt;=TODAY()+60,"Due within 2 Months","OK"))))))</f>
        <v>No Data</v>
      </c>
      <c r="K2157" s="13"/>
    </row>
    <row r="2158" customFormat="false" ht="15" hidden="false" customHeight="false" outlineLevel="0" collapsed="false">
      <c r="A2158" s="9" t="str">
        <f aca="false">Vessels!B24</f>
        <v>Vessel 20</v>
      </c>
      <c r="B2158" s="9" t="s">
        <v>42</v>
      </c>
      <c r="C2158" s="7" t="s">
        <v>66</v>
      </c>
      <c r="D2158" s="9" t="s">
        <v>45</v>
      </c>
      <c r="E2158" s="9" t="s">
        <v>46</v>
      </c>
      <c r="F2158" s="5" t="n">
        <v>60</v>
      </c>
      <c r="G2158" s="10"/>
      <c r="H2158" s="11" t="str">
        <f aca="false">IFERROR(IF($D2158="Manual Review","",IF($G2158="","",IF($D2158="Direct Expiry",$G2158,EDATE($G2158,$F2158)))),"Check Date")</f>
        <v/>
      </c>
      <c r="I2158" s="12" t="str">
        <f aca="true">IF($H2158="","",IF(ISNUMBER($H2158),$H2158-TODAY(),""))</f>
        <v/>
      </c>
      <c r="J2158" s="4" t="str">
        <f aca="true">IF($D2158="Manual Review","Manual Review",IF($G2158="","No Data",IF(NOT(ISNUMBER($H2158)),"N/A",IF($H2158&lt;TODAY(),"Overdue",IF($H2158&lt;=TODAY()+30,"Due within 1 Month",IF($H2158&lt;=TODAY()+60,"Due within 2 Months","OK"))))))</f>
        <v>No Data</v>
      </c>
      <c r="K2158" s="13"/>
    </row>
    <row r="2159" customFormat="false" ht="15" hidden="false" customHeight="false" outlineLevel="0" collapsed="false">
      <c r="A2159" s="9" t="str">
        <f aca="false">Vessels!B24</f>
        <v>Vessel 20</v>
      </c>
      <c r="B2159" s="9" t="s">
        <v>42</v>
      </c>
      <c r="C2159" s="7" t="s">
        <v>67</v>
      </c>
      <c r="D2159" s="9" t="s">
        <v>45</v>
      </c>
      <c r="E2159" s="9" t="s">
        <v>46</v>
      </c>
      <c r="F2159" s="5" t="n">
        <v>60</v>
      </c>
      <c r="G2159" s="10"/>
      <c r="H2159" s="11" t="str">
        <f aca="false">IFERROR(IF($D2159="Manual Review","",IF($G2159="","",IF($D2159="Direct Expiry",$G2159,EDATE($G2159,$F2159)))),"Check Date")</f>
        <v/>
      </c>
      <c r="I2159" s="12" t="str">
        <f aca="true">IF($H2159="","",IF(ISNUMBER($H2159),$H2159-TODAY(),""))</f>
        <v/>
      </c>
      <c r="J2159" s="4" t="str">
        <f aca="true">IF($D2159="Manual Review","Manual Review",IF($G2159="","No Data",IF(NOT(ISNUMBER($H2159)),"N/A",IF($H2159&lt;TODAY(),"Overdue",IF($H2159&lt;=TODAY()+30,"Due within 1 Month",IF($H2159&lt;=TODAY()+60,"Due within 2 Months","OK"))))))</f>
        <v>No Data</v>
      </c>
      <c r="K2159" s="13"/>
    </row>
    <row r="2160" customFormat="false" ht="15" hidden="false" customHeight="false" outlineLevel="0" collapsed="false">
      <c r="A2160" s="9" t="str">
        <f aca="false">Vessels!B24</f>
        <v>Vessel 20</v>
      </c>
      <c r="B2160" s="9" t="s">
        <v>42</v>
      </c>
      <c r="C2160" s="7" t="s">
        <v>68</v>
      </c>
      <c r="D2160" s="9" t="s">
        <v>45</v>
      </c>
      <c r="E2160" s="9" t="s">
        <v>46</v>
      </c>
      <c r="F2160" s="5" t="n">
        <v>60</v>
      </c>
      <c r="G2160" s="10"/>
      <c r="H2160" s="11" t="str">
        <f aca="false">IFERROR(IF($D2160="Manual Review","",IF($G2160="","",IF($D2160="Direct Expiry",$G2160,EDATE($G2160,$F2160)))),"Check Date")</f>
        <v/>
      </c>
      <c r="I2160" s="12" t="str">
        <f aca="true">IF($H2160="","",IF(ISNUMBER($H2160),$H2160-TODAY(),""))</f>
        <v/>
      </c>
      <c r="J2160" s="4" t="str">
        <f aca="true">IF($D2160="Manual Review","Manual Review",IF($G2160="","No Data",IF(NOT(ISNUMBER($H2160)),"N/A",IF($H2160&lt;TODAY(),"Overdue",IF($H2160&lt;=TODAY()+30,"Due within 1 Month",IF($H2160&lt;=TODAY()+60,"Due within 2 Months","OK"))))))</f>
        <v>No Data</v>
      </c>
      <c r="K2160" s="13"/>
    </row>
    <row r="2161" customFormat="false" ht="15" hidden="false" customHeight="false" outlineLevel="0" collapsed="false">
      <c r="A2161" s="9" t="str">
        <f aca="false">Vessels!B24</f>
        <v>Vessel 20</v>
      </c>
      <c r="B2161" s="9" t="s">
        <v>42</v>
      </c>
      <c r="C2161" s="7" t="s">
        <v>69</v>
      </c>
      <c r="D2161" s="9" t="s">
        <v>45</v>
      </c>
      <c r="E2161" s="9" t="s">
        <v>46</v>
      </c>
      <c r="F2161" s="5" t="n">
        <v>60</v>
      </c>
      <c r="G2161" s="10"/>
      <c r="H2161" s="11" t="str">
        <f aca="false">IFERROR(IF($D2161="Manual Review","",IF($G2161="","",IF($D2161="Direct Expiry",$G2161,EDATE($G2161,$F2161)))),"Check Date")</f>
        <v/>
      </c>
      <c r="I2161" s="12" t="str">
        <f aca="true">IF($H2161="","",IF(ISNUMBER($H2161),$H2161-TODAY(),""))</f>
        <v/>
      </c>
      <c r="J2161" s="4" t="str">
        <f aca="true">IF($D2161="Manual Review","Manual Review",IF($G2161="","No Data",IF(NOT(ISNUMBER($H2161)),"N/A",IF($H2161&lt;TODAY(),"Overdue",IF($H2161&lt;=TODAY()+30,"Due within 1 Month",IF($H2161&lt;=TODAY()+60,"Due within 2 Months","OK"))))))</f>
        <v>No Data</v>
      </c>
      <c r="K2161" s="13"/>
    </row>
    <row r="2162" customFormat="false" ht="15" hidden="false" customHeight="false" outlineLevel="0" collapsed="false">
      <c r="A2162" s="9" t="str">
        <f aca="false">Vessels!B24</f>
        <v>Vessel 20</v>
      </c>
      <c r="B2162" s="9" t="s">
        <v>42</v>
      </c>
      <c r="C2162" s="7" t="s">
        <v>70</v>
      </c>
      <c r="D2162" s="9" t="s">
        <v>59</v>
      </c>
      <c r="E2162" s="9" t="s">
        <v>58</v>
      </c>
      <c r="F2162" s="5"/>
      <c r="G2162" s="10"/>
      <c r="H2162" s="11" t="str">
        <f aca="false">IFERROR(IF($D2162="Manual Review","",IF($G2162="","",IF($D2162="Direct Expiry",$G2162,EDATE($G2162,$F2162)))),"Check Date")</f>
        <v/>
      </c>
      <c r="I2162" s="12" t="str">
        <f aca="true">IF($H2162="","",IF(ISNUMBER($H2162),$H2162-TODAY(),""))</f>
        <v/>
      </c>
      <c r="J2162" s="4" t="str">
        <f aca="true">IF($D2162="Manual Review","Manual Review",IF($G2162="","No Data",IF(NOT(ISNUMBER($H2162)),"N/A",IF($H2162&lt;TODAY(),"Overdue",IF($H2162&lt;=TODAY()+30,"Due within 1 Month",IF($H2162&lt;=TODAY()+60,"Due within 2 Months","OK"))))))</f>
        <v>No Data</v>
      </c>
      <c r="K2162" s="13"/>
    </row>
    <row r="2163" customFormat="false" ht="15" hidden="false" customHeight="false" outlineLevel="0" collapsed="false">
      <c r="A2163" s="9" t="str">
        <f aca="false">Vessels!B24</f>
        <v>Vessel 20</v>
      </c>
      <c r="B2163" s="9" t="s">
        <v>42</v>
      </c>
      <c r="C2163" s="7" t="s">
        <v>71</v>
      </c>
      <c r="D2163" s="9" t="s">
        <v>45</v>
      </c>
      <c r="E2163" s="9" t="s">
        <v>44</v>
      </c>
      <c r="F2163" s="5" t="n">
        <v>12</v>
      </c>
      <c r="G2163" s="10"/>
      <c r="H2163" s="11" t="str">
        <f aca="false">IFERROR(IF($D2163="Manual Review","",IF($G2163="","",IF($D2163="Direct Expiry",$G2163,EDATE($G2163,$F2163)))),"Check Date")</f>
        <v/>
      </c>
      <c r="I2163" s="12" t="str">
        <f aca="true">IF($H2163="","",IF(ISNUMBER($H2163),$H2163-TODAY(),""))</f>
        <v/>
      </c>
      <c r="J2163" s="4" t="str">
        <f aca="true">IF($D2163="Manual Review","Manual Review",IF($G2163="","No Data",IF(NOT(ISNUMBER($H2163)),"N/A",IF($H2163&lt;TODAY(),"Overdue",IF($H2163&lt;=TODAY()+30,"Due within 1 Month",IF($H2163&lt;=TODAY()+60,"Due within 2 Months","OK"))))))</f>
        <v>No Data</v>
      </c>
      <c r="K2163" s="13"/>
    </row>
    <row r="2164" customFormat="false" ht="15" hidden="false" customHeight="false" outlineLevel="0" collapsed="false">
      <c r="A2164" s="9" t="str">
        <f aca="false">Vessels!B24</f>
        <v>Vessel 20</v>
      </c>
      <c r="B2164" s="9" t="s">
        <v>42</v>
      </c>
      <c r="C2164" s="7" t="s">
        <v>72</v>
      </c>
      <c r="D2164" s="9" t="s">
        <v>59</v>
      </c>
      <c r="E2164" s="9" t="s">
        <v>58</v>
      </c>
      <c r="F2164" s="5"/>
      <c r="G2164" s="10"/>
      <c r="H2164" s="11" t="str">
        <f aca="false">IFERROR(IF($D2164="Manual Review","",IF($G2164="","",IF($D2164="Direct Expiry",$G2164,EDATE($G2164,$F2164)))),"Check Date")</f>
        <v/>
      </c>
      <c r="I2164" s="12" t="str">
        <f aca="true">IF($H2164="","",IF(ISNUMBER($H2164),$H2164-TODAY(),""))</f>
        <v/>
      </c>
      <c r="J2164" s="4" t="str">
        <f aca="true">IF($D2164="Manual Review","Manual Review",IF($G2164="","No Data",IF(NOT(ISNUMBER($H2164)),"N/A",IF($H2164&lt;TODAY(),"Overdue",IF($H2164&lt;=TODAY()+30,"Due within 1 Month",IF($H2164&lt;=TODAY()+60,"Due within 2 Months","OK"))))))</f>
        <v>No Data</v>
      </c>
      <c r="K2164" s="13"/>
    </row>
    <row r="2165" customFormat="false" ht="15" hidden="false" customHeight="false" outlineLevel="0" collapsed="false">
      <c r="A2165" s="9" t="str">
        <f aca="false">Vessels!B24</f>
        <v>Vessel 20</v>
      </c>
      <c r="B2165" s="9" t="s">
        <v>42</v>
      </c>
      <c r="C2165" s="7" t="s">
        <v>73</v>
      </c>
      <c r="D2165" s="9" t="s">
        <v>45</v>
      </c>
      <c r="E2165" s="9" t="s">
        <v>44</v>
      </c>
      <c r="F2165" s="5" t="n">
        <v>12</v>
      </c>
      <c r="G2165" s="10"/>
      <c r="H2165" s="11" t="str">
        <f aca="false">IFERROR(IF($D2165="Manual Review","",IF($G2165="","",IF($D2165="Direct Expiry",$G2165,EDATE($G2165,$F2165)))),"Check Date")</f>
        <v/>
      </c>
      <c r="I2165" s="12" t="str">
        <f aca="true">IF($H2165="","",IF(ISNUMBER($H2165),$H2165-TODAY(),""))</f>
        <v/>
      </c>
      <c r="J2165" s="4" t="str">
        <f aca="true">IF($D2165="Manual Review","Manual Review",IF($G2165="","No Data",IF(NOT(ISNUMBER($H2165)),"N/A",IF($H2165&lt;TODAY(),"Overdue",IF($H2165&lt;=TODAY()+30,"Due within 1 Month",IF($H2165&lt;=TODAY()+60,"Due within 2 Months","OK"))))))</f>
        <v>No Data</v>
      </c>
      <c r="K2165" s="13"/>
    </row>
    <row r="2166" customFormat="false" ht="15" hidden="false" customHeight="false" outlineLevel="0" collapsed="false">
      <c r="A2166" s="9" t="str">
        <f aca="false">Vessels!B24</f>
        <v>Vessel 20</v>
      </c>
      <c r="B2166" s="9" t="s">
        <v>42</v>
      </c>
      <c r="C2166" s="7" t="s">
        <v>74</v>
      </c>
      <c r="D2166" s="9" t="s">
        <v>59</v>
      </c>
      <c r="E2166" s="9" t="s">
        <v>58</v>
      </c>
      <c r="F2166" s="5"/>
      <c r="G2166" s="10"/>
      <c r="H2166" s="11" t="str">
        <f aca="false">IFERROR(IF($D2166="Manual Review","",IF($G2166="","",IF($D2166="Direct Expiry",$G2166,EDATE($G2166,$F2166)))),"Check Date")</f>
        <v/>
      </c>
      <c r="I2166" s="12" t="str">
        <f aca="true">IF($H2166="","",IF(ISNUMBER($H2166),$H2166-TODAY(),""))</f>
        <v/>
      </c>
      <c r="J2166" s="4" t="str">
        <f aca="true">IF($D2166="Manual Review","Manual Review",IF($G2166="","No Data",IF(NOT(ISNUMBER($H2166)),"N/A",IF($H2166&lt;TODAY(),"Overdue",IF($H2166&lt;=TODAY()+30,"Due within 1 Month",IF($H2166&lt;=TODAY()+60,"Due within 2 Months","OK"))))))</f>
        <v>No Data</v>
      </c>
      <c r="K2166" s="13"/>
    </row>
    <row r="2167" customFormat="false" ht="15" hidden="false" customHeight="false" outlineLevel="0" collapsed="false">
      <c r="A2167" s="9" t="str">
        <f aca="false">Vessels!B24</f>
        <v>Vessel 20</v>
      </c>
      <c r="B2167" s="9" t="s">
        <v>42</v>
      </c>
      <c r="C2167" s="7" t="s">
        <v>75</v>
      </c>
      <c r="D2167" s="9" t="s">
        <v>45</v>
      </c>
      <c r="E2167" s="9" t="s">
        <v>44</v>
      </c>
      <c r="F2167" s="5" t="n">
        <v>12</v>
      </c>
      <c r="G2167" s="10"/>
      <c r="H2167" s="11" t="str">
        <f aca="false">IFERROR(IF($D2167="Manual Review","",IF($G2167="","",IF($D2167="Direct Expiry",$G2167,EDATE($G2167,$F2167)))),"Check Date")</f>
        <v/>
      </c>
      <c r="I2167" s="12" t="str">
        <f aca="true">IF($H2167="","",IF(ISNUMBER($H2167),$H2167-TODAY(),""))</f>
        <v/>
      </c>
      <c r="J2167" s="4" t="str">
        <f aca="true">IF($D2167="Manual Review","Manual Review",IF($G2167="","No Data",IF(NOT(ISNUMBER($H2167)),"N/A",IF($H2167&lt;TODAY(),"Overdue",IF($H2167&lt;=TODAY()+30,"Due within 1 Month",IF($H2167&lt;=TODAY()+60,"Due within 2 Months","OK"))))))</f>
        <v>No Data</v>
      </c>
      <c r="K2167" s="13"/>
    </row>
    <row r="2168" customFormat="false" ht="15" hidden="false" customHeight="false" outlineLevel="0" collapsed="false">
      <c r="A2168" s="9" t="str">
        <f aca="false">Vessels!B24</f>
        <v>Vessel 20</v>
      </c>
      <c r="B2168" s="9" t="s">
        <v>42</v>
      </c>
      <c r="C2168" s="7" t="s">
        <v>76</v>
      </c>
      <c r="D2168" s="9" t="s">
        <v>59</v>
      </c>
      <c r="E2168" s="9" t="s">
        <v>58</v>
      </c>
      <c r="F2168" s="5"/>
      <c r="G2168" s="10"/>
      <c r="H2168" s="11" t="str">
        <f aca="false">IFERROR(IF($D2168="Manual Review","",IF($G2168="","",IF($D2168="Direct Expiry",$G2168,EDATE($G2168,$F2168)))),"Check Date")</f>
        <v/>
      </c>
      <c r="I2168" s="12" t="str">
        <f aca="true">IF($H2168="","",IF(ISNUMBER($H2168),$H2168-TODAY(),""))</f>
        <v/>
      </c>
      <c r="J2168" s="4" t="str">
        <f aca="true">IF($D2168="Manual Review","Manual Review",IF($G2168="","No Data",IF(NOT(ISNUMBER($H2168)),"N/A",IF($H2168&lt;TODAY(),"Overdue",IF($H2168&lt;=TODAY()+30,"Due within 1 Month",IF($H2168&lt;=TODAY()+60,"Due within 2 Months","OK"))))))</f>
        <v>No Data</v>
      </c>
      <c r="K2168" s="13"/>
    </row>
    <row r="2169" customFormat="false" ht="15" hidden="false" customHeight="false" outlineLevel="0" collapsed="false">
      <c r="A2169" s="9" t="str">
        <f aca="false">Vessels!B24</f>
        <v>Vessel 20</v>
      </c>
      <c r="B2169" s="9" t="s">
        <v>42</v>
      </c>
      <c r="C2169" s="7" t="s">
        <v>77</v>
      </c>
      <c r="D2169" s="9" t="s">
        <v>59</v>
      </c>
      <c r="E2169" s="9" t="s">
        <v>58</v>
      </c>
      <c r="F2169" s="5"/>
      <c r="G2169" s="10"/>
      <c r="H2169" s="11" t="str">
        <f aca="false">IFERROR(IF($D2169="Manual Review","",IF($G2169="","",IF($D2169="Direct Expiry",$G2169,EDATE($G2169,$F2169)))),"Check Date")</f>
        <v/>
      </c>
      <c r="I2169" s="12" t="str">
        <f aca="true">IF($H2169="","",IF(ISNUMBER($H2169),$H2169-TODAY(),""))</f>
        <v/>
      </c>
      <c r="J2169" s="4" t="str">
        <f aca="true">IF($D2169="Manual Review","Manual Review",IF($G2169="","No Data",IF(NOT(ISNUMBER($H2169)),"N/A",IF($H2169&lt;TODAY(),"Overdue",IF($H2169&lt;=TODAY()+30,"Due within 1 Month",IF($H2169&lt;=TODAY()+60,"Due within 2 Months","OK"))))))</f>
        <v>No Data</v>
      </c>
      <c r="K2169" s="13"/>
    </row>
    <row r="2170" customFormat="false" ht="15" hidden="false" customHeight="false" outlineLevel="0" collapsed="false">
      <c r="A2170" s="9" t="str">
        <f aca="false">Vessels!B24</f>
        <v>Vessel 20</v>
      </c>
      <c r="B2170" s="9" t="s">
        <v>42</v>
      </c>
      <c r="C2170" s="7" t="s">
        <v>78</v>
      </c>
      <c r="D2170" s="9" t="s">
        <v>59</v>
      </c>
      <c r="E2170" s="9" t="s">
        <v>58</v>
      </c>
      <c r="F2170" s="5"/>
      <c r="G2170" s="10"/>
      <c r="H2170" s="11" t="str">
        <f aca="false">IFERROR(IF($D2170="Manual Review","",IF($G2170="","",IF($D2170="Direct Expiry",$G2170,EDATE($G2170,$F2170)))),"Check Date")</f>
        <v/>
      </c>
      <c r="I2170" s="12" t="str">
        <f aca="true">IF($H2170="","",IF(ISNUMBER($H2170),$H2170-TODAY(),""))</f>
        <v/>
      </c>
      <c r="J2170" s="4" t="str">
        <f aca="true">IF($D2170="Manual Review","Manual Review",IF($G2170="","No Data",IF(NOT(ISNUMBER($H2170)),"N/A",IF($H2170&lt;TODAY(),"Overdue",IF($H2170&lt;=TODAY()+30,"Due within 1 Month",IF($H2170&lt;=TODAY()+60,"Due within 2 Months","OK"))))))</f>
        <v>No Data</v>
      </c>
      <c r="K2170" s="13"/>
    </row>
    <row r="2171" customFormat="false" ht="15" hidden="false" customHeight="false" outlineLevel="0" collapsed="false">
      <c r="A2171" s="9" t="str">
        <f aca="false">Vessels!B24</f>
        <v>Vessel 20</v>
      </c>
      <c r="B2171" s="9" t="s">
        <v>42</v>
      </c>
      <c r="C2171" s="7" t="s">
        <v>79</v>
      </c>
      <c r="D2171" s="9" t="s">
        <v>45</v>
      </c>
      <c r="E2171" s="9" t="s">
        <v>44</v>
      </c>
      <c r="F2171" s="5" t="n">
        <v>12</v>
      </c>
      <c r="G2171" s="10"/>
      <c r="H2171" s="11" t="str">
        <f aca="false">IFERROR(IF($D2171="Manual Review","",IF($G2171="","",IF($D2171="Direct Expiry",$G2171,EDATE($G2171,$F2171)))),"Check Date")</f>
        <v/>
      </c>
      <c r="I2171" s="12" t="str">
        <f aca="true">IF($H2171="","",IF(ISNUMBER($H2171),$H2171-TODAY(),""))</f>
        <v/>
      </c>
      <c r="J2171" s="4" t="str">
        <f aca="true">IF($D2171="Manual Review","Manual Review",IF($G2171="","No Data",IF(NOT(ISNUMBER($H2171)),"N/A",IF($H2171&lt;TODAY(),"Overdue",IF($H2171&lt;=TODAY()+30,"Due within 1 Month",IF($H2171&lt;=TODAY()+60,"Due within 2 Months","OK"))))))</f>
        <v>No Data</v>
      </c>
      <c r="K2171" s="13"/>
    </row>
    <row r="2172" customFormat="false" ht="15" hidden="false" customHeight="false" outlineLevel="0" collapsed="false">
      <c r="A2172" s="9" t="str">
        <f aca="false">Vessels!B24</f>
        <v>Vessel 20</v>
      </c>
      <c r="B2172" s="9" t="s">
        <v>42</v>
      </c>
      <c r="C2172" s="7" t="s">
        <v>80</v>
      </c>
      <c r="D2172" s="9" t="s">
        <v>45</v>
      </c>
      <c r="E2172" s="9" t="s">
        <v>81</v>
      </c>
      <c r="F2172" s="5" t="n">
        <v>36</v>
      </c>
      <c r="G2172" s="10"/>
      <c r="H2172" s="11" t="str">
        <f aca="false">IFERROR(IF($D2172="Manual Review","",IF($G2172="","",IF($D2172="Direct Expiry",$G2172,EDATE($G2172,$F2172)))),"Check Date")</f>
        <v/>
      </c>
      <c r="I2172" s="12" t="str">
        <f aca="true">IF($H2172="","",IF(ISNUMBER($H2172),$H2172-TODAY(),""))</f>
        <v/>
      </c>
      <c r="J2172" s="4" t="str">
        <f aca="true">IF($D2172="Manual Review","Manual Review",IF($G2172="","No Data",IF(NOT(ISNUMBER($H2172)),"N/A",IF($H2172&lt;TODAY(),"Overdue",IF($H2172&lt;=TODAY()+30,"Due within 1 Month",IF($H2172&lt;=TODAY()+60,"Due within 2 Months","OK"))))))</f>
        <v>No Data</v>
      </c>
      <c r="K2172" s="13"/>
    </row>
    <row r="2173" customFormat="false" ht="15" hidden="false" customHeight="false" outlineLevel="0" collapsed="false">
      <c r="A2173" s="9" t="str">
        <f aca="false">Vessels!B24</f>
        <v>Vessel 20</v>
      </c>
      <c r="B2173" s="9" t="s">
        <v>42</v>
      </c>
      <c r="C2173" s="7" t="s">
        <v>80</v>
      </c>
      <c r="D2173" s="9" t="s">
        <v>45</v>
      </c>
      <c r="E2173" s="9" t="s">
        <v>82</v>
      </c>
      <c r="F2173" s="5" t="n">
        <v>24</v>
      </c>
      <c r="G2173" s="10"/>
      <c r="H2173" s="11" t="str">
        <f aca="false">IFERROR(IF($D2173="Manual Review","",IF($G2173="","",IF($D2173="Direct Expiry",$G2173,EDATE($G2173,$F2173)))),"Check Date")</f>
        <v/>
      </c>
      <c r="I2173" s="12" t="str">
        <f aca="true">IF($H2173="","",IF(ISNUMBER($H2173),$H2173-TODAY(),""))</f>
        <v/>
      </c>
      <c r="J2173" s="4" t="str">
        <f aca="true">IF($D2173="Manual Review","Manual Review",IF($G2173="","No Data",IF(NOT(ISNUMBER($H2173)),"N/A",IF($H2173&lt;TODAY(),"Overdue",IF($H2173&lt;=TODAY()+30,"Due within 1 Month",IF($H2173&lt;=TODAY()+60,"Due within 2 Months","OK"))))))</f>
        <v>No Data</v>
      </c>
      <c r="K2173" s="13"/>
    </row>
    <row r="2174" customFormat="false" ht="15" hidden="false" customHeight="false" outlineLevel="0" collapsed="false">
      <c r="A2174" s="9" t="str">
        <f aca="false">Vessels!B24</f>
        <v>Vessel 20</v>
      </c>
      <c r="B2174" s="9" t="s">
        <v>42</v>
      </c>
      <c r="C2174" s="7" t="s">
        <v>83</v>
      </c>
      <c r="D2174" s="9" t="s">
        <v>45</v>
      </c>
      <c r="E2174" s="9" t="s">
        <v>44</v>
      </c>
      <c r="F2174" s="5" t="n">
        <v>12</v>
      </c>
      <c r="G2174" s="10"/>
      <c r="H2174" s="11" t="str">
        <f aca="false">IFERROR(IF($D2174="Manual Review","",IF($G2174="","",IF($D2174="Direct Expiry",$G2174,EDATE($G2174,$F2174)))),"Check Date")</f>
        <v/>
      </c>
      <c r="I2174" s="12" t="str">
        <f aca="true">IF($H2174="","",IF(ISNUMBER($H2174),$H2174-TODAY(),""))</f>
        <v/>
      </c>
      <c r="J2174" s="4" t="str">
        <f aca="true">IF($D2174="Manual Review","Manual Review",IF($G2174="","No Data",IF(NOT(ISNUMBER($H2174)),"N/A",IF($H2174&lt;TODAY(),"Overdue",IF($H2174&lt;=TODAY()+30,"Due within 1 Month",IF($H2174&lt;=TODAY()+60,"Due within 2 Months","OK"))))))</f>
        <v>No Data</v>
      </c>
      <c r="K2174" s="13"/>
    </row>
    <row r="2175" customFormat="false" ht="15" hidden="false" customHeight="false" outlineLevel="0" collapsed="false">
      <c r="A2175" s="9" t="str">
        <f aca="false">Vessels!B24</f>
        <v>Vessel 20</v>
      </c>
      <c r="B2175" s="9" t="s">
        <v>42</v>
      </c>
      <c r="C2175" s="7" t="s">
        <v>83</v>
      </c>
      <c r="D2175" s="9" t="s">
        <v>45</v>
      </c>
      <c r="E2175" s="9" t="s">
        <v>84</v>
      </c>
      <c r="F2175" s="5" t="n">
        <v>60</v>
      </c>
      <c r="G2175" s="10"/>
      <c r="H2175" s="11" t="str">
        <f aca="false">IFERROR(IF($D2175="Manual Review","",IF($G2175="","",IF($D2175="Direct Expiry",$G2175,EDATE($G2175,$F2175)))),"Check Date")</f>
        <v/>
      </c>
      <c r="I2175" s="12" t="str">
        <f aca="true">IF($H2175="","",IF(ISNUMBER($H2175),$H2175-TODAY(),""))</f>
        <v/>
      </c>
      <c r="J2175" s="4" t="str">
        <f aca="true">IF($D2175="Manual Review","Manual Review",IF($G2175="","No Data",IF(NOT(ISNUMBER($H2175)),"N/A",IF($H2175&lt;TODAY(),"Overdue",IF($H2175&lt;=TODAY()+30,"Due within 1 Month",IF($H2175&lt;=TODAY()+60,"Due within 2 Months","OK"))))))</f>
        <v>No Data</v>
      </c>
      <c r="K2175" s="13"/>
    </row>
    <row r="2176" customFormat="false" ht="15" hidden="false" customHeight="false" outlineLevel="0" collapsed="false">
      <c r="A2176" s="9" t="str">
        <f aca="false">Vessels!B24</f>
        <v>Vessel 20</v>
      </c>
      <c r="B2176" s="9" t="s">
        <v>42</v>
      </c>
      <c r="C2176" s="7" t="s">
        <v>85</v>
      </c>
      <c r="D2176" s="9" t="s">
        <v>45</v>
      </c>
      <c r="E2176" s="9" t="s">
        <v>44</v>
      </c>
      <c r="F2176" s="5" t="n">
        <v>12</v>
      </c>
      <c r="G2176" s="10"/>
      <c r="H2176" s="11" t="str">
        <f aca="false">IFERROR(IF($D2176="Manual Review","",IF($G2176="","",IF($D2176="Direct Expiry",$G2176,EDATE($G2176,$F2176)))),"Check Date")</f>
        <v/>
      </c>
      <c r="I2176" s="12" t="str">
        <f aca="true">IF($H2176="","",IF(ISNUMBER($H2176),$H2176-TODAY(),""))</f>
        <v/>
      </c>
      <c r="J2176" s="4" t="str">
        <f aca="true">IF($D2176="Manual Review","Manual Review",IF($G2176="","No Data",IF(NOT(ISNUMBER($H2176)),"N/A",IF($H2176&lt;TODAY(),"Overdue",IF($H2176&lt;=TODAY()+30,"Due within 1 Month",IF($H2176&lt;=TODAY()+60,"Due within 2 Months","OK"))))))</f>
        <v>No Data</v>
      </c>
      <c r="K2176" s="13"/>
    </row>
    <row r="2177" customFormat="false" ht="15" hidden="false" customHeight="false" outlineLevel="0" collapsed="false">
      <c r="A2177" s="9" t="str">
        <f aca="false">Vessels!B24</f>
        <v>Vessel 20</v>
      </c>
      <c r="B2177" s="9" t="s">
        <v>42</v>
      </c>
      <c r="C2177" s="7" t="s">
        <v>85</v>
      </c>
      <c r="D2177" s="9" t="s">
        <v>45</v>
      </c>
      <c r="E2177" s="9" t="s">
        <v>84</v>
      </c>
      <c r="F2177" s="5" t="n">
        <v>60</v>
      </c>
      <c r="G2177" s="10"/>
      <c r="H2177" s="11" t="str">
        <f aca="false">IFERROR(IF($D2177="Manual Review","",IF($G2177="","",IF($D2177="Direct Expiry",$G2177,EDATE($G2177,$F2177)))),"Check Date")</f>
        <v/>
      </c>
      <c r="I2177" s="12" t="str">
        <f aca="true">IF($H2177="","",IF(ISNUMBER($H2177),$H2177-TODAY(),""))</f>
        <v/>
      </c>
      <c r="J2177" s="4" t="str">
        <f aca="true">IF($D2177="Manual Review","Manual Review",IF($G2177="","No Data",IF(NOT(ISNUMBER($H2177)),"N/A",IF($H2177&lt;TODAY(),"Overdue",IF($H2177&lt;=TODAY()+30,"Due within 1 Month",IF($H2177&lt;=TODAY()+60,"Due within 2 Months","OK"))))))</f>
        <v>No Data</v>
      </c>
      <c r="K2177" s="13"/>
    </row>
    <row r="2178" customFormat="false" ht="15" hidden="false" customHeight="false" outlineLevel="0" collapsed="false">
      <c r="A2178" s="9" t="str">
        <f aca="false">Vessels!B24</f>
        <v>Vessel 20</v>
      </c>
      <c r="B2178" s="9" t="s">
        <v>42</v>
      </c>
      <c r="C2178" s="7" t="s">
        <v>86</v>
      </c>
      <c r="D2178" s="9" t="s">
        <v>45</v>
      </c>
      <c r="E2178" s="9" t="s">
        <v>44</v>
      </c>
      <c r="F2178" s="5" t="n">
        <v>12</v>
      </c>
      <c r="G2178" s="10"/>
      <c r="H2178" s="11" t="str">
        <f aca="false">IFERROR(IF($D2178="Manual Review","",IF($G2178="","",IF($D2178="Direct Expiry",$G2178,EDATE($G2178,$F2178)))),"Check Date")</f>
        <v/>
      </c>
      <c r="I2178" s="12" t="str">
        <f aca="true">IF($H2178="","",IF(ISNUMBER($H2178),$H2178-TODAY(),""))</f>
        <v/>
      </c>
      <c r="J2178" s="4" t="str">
        <f aca="true">IF($D2178="Manual Review","Manual Review",IF($G2178="","No Data",IF(NOT(ISNUMBER($H2178)),"N/A",IF($H2178&lt;TODAY(),"Overdue",IF($H2178&lt;=TODAY()+30,"Due within 1 Month",IF($H2178&lt;=TODAY()+60,"Due within 2 Months","OK"))))))</f>
        <v>No Data</v>
      </c>
      <c r="K2178" s="13"/>
    </row>
    <row r="2179" customFormat="false" ht="15" hidden="false" customHeight="false" outlineLevel="0" collapsed="false">
      <c r="A2179" s="9" t="str">
        <f aca="false">Vessels!B24</f>
        <v>Vessel 20</v>
      </c>
      <c r="B2179" s="9" t="s">
        <v>42</v>
      </c>
      <c r="C2179" s="7" t="s">
        <v>87</v>
      </c>
      <c r="D2179" s="9" t="s">
        <v>45</v>
      </c>
      <c r="E2179" s="9" t="s">
        <v>44</v>
      </c>
      <c r="F2179" s="5" t="n">
        <v>12</v>
      </c>
      <c r="G2179" s="10"/>
      <c r="H2179" s="11" t="str">
        <f aca="false">IFERROR(IF($D2179="Manual Review","",IF($G2179="","",IF($D2179="Direct Expiry",$G2179,EDATE($G2179,$F2179)))),"Check Date")</f>
        <v/>
      </c>
      <c r="I2179" s="12" t="str">
        <f aca="true">IF($H2179="","",IF(ISNUMBER($H2179),$H2179-TODAY(),""))</f>
        <v/>
      </c>
      <c r="J2179" s="4" t="str">
        <f aca="true">IF($D2179="Manual Review","Manual Review",IF($G2179="","No Data",IF(NOT(ISNUMBER($H2179)),"N/A",IF($H2179&lt;TODAY(),"Overdue",IF($H2179&lt;=TODAY()+30,"Due within 1 Month",IF($H2179&lt;=TODAY()+60,"Due within 2 Months","OK"))))))</f>
        <v>No Data</v>
      </c>
      <c r="K2179" s="13"/>
    </row>
    <row r="2180" customFormat="false" ht="15" hidden="false" customHeight="false" outlineLevel="0" collapsed="false">
      <c r="A2180" s="9" t="str">
        <f aca="false">Vessels!B24</f>
        <v>Vessel 20</v>
      </c>
      <c r="B2180" s="9" t="s">
        <v>88</v>
      </c>
      <c r="C2180" s="7" t="s">
        <v>89</v>
      </c>
      <c r="D2180" s="9" t="s">
        <v>45</v>
      </c>
      <c r="E2180" s="9" t="s">
        <v>90</v>
      </c>
      <c r="F2180" s="5" t="n">
        <v>36</v>
      </c>
      <c r="G2180" s="10"/>
      <c r="H2180" s="11" t="str">
        <f aca="false">IFERROR(IF($D2180="Manual Review","",IF($G2180="","",IF($D2180="Direct Expiry",$G2180,EDATE($G2180,$F2180)))),"Check Date")</f>
        <v/>
      </c>
      <c r="I2180" s="12" t="str">
        <f aca="true">IF($H2180="","",IF(ISNUMBER($H2180),$H2180-TODAY(),""))</f>
        <v/>
      </c>
      <c r="J2180" s="4" t="str">
        <f aca="true">IF($D2180="Manual Review","Manual Review",IF($G2180="","No Data",IF(NOT(ISNUMBER($H2180)),"N/A",IF($H2180&lt;TODAY(),"Overdue",IF($H2180&lt;=TODAY()+30,"Due within 1 Month",IF($H2180&lt;=TODAY()+60,"Due within 2 Months","OK"))))))</f>
        <v>No Data</v>
      </c>
      <c r="K2180" s="13"/>
    </row>
    <row r="2181" customFormat="false" ht="15" hidden="false" customHeight="false" outlineLevel="0" collapsed="false">
      <c r="A2181" s="9" t="str">
        <f aca="false">Vessels!B24</f>
        <v>Vessel 20</v>
      </c>
      <c r="B2181" s="9" t="s">
        <v>88</v>
      </c>
      <c r="C2181" s="7" t="s">
        <v>91</v>
      </c>
      <c r="D2181" s="9" t="s">
        <v>45</v>
      </c>
      <c r="E2181" s="9" t="s">
        <v>44</v>
      </c>
      <c r="F2181" s="5" t="n">
        <v>12</v>
      </c>
      <c r="G2181" s="10"/>
      <c r="H2181" s="11" t="str">
        <f aca="false">IFERROR(IF($D2181="Manual Review","",IF($G2181="","",IF($D2181="Direct Expiry",$G2181,EDATE($G2181,$F2181)))),"Check Date")</f>
        <v/>
      </c>
      <c r="I2181" s="12" t="str">
        <f aca="true">IF($H2181="","",IF(ISNUMBER($H2181),$H2181-TODAY(),""))</f>
        <v/>
      </c>
      <c r="J2181" s="4" t="str">
        <f aca="true">IF($D2181="Manual Review","Manual Review",IF($G2181="","No Data",IF(NOT(ISNUMBER($H2181)),"N/A",IF($H2181&lt;TODAY(),"Overdue",IF($H2181&lt;=TODAY()+30,"Due within 1 Month",IF($H2181&lt;=TODAY()+60,"Due within 2 Months","OK"))))))</f>
        <v>No Data</v>
      </c>
      <c r="K2181" s="13"/>
    </row>
    <row r="2182" customFormat="false" ht="15" hidden="false" customHeight="false" outlineLevel="0" collapsed="false">
      <c r="A2182" s="9" t="str">
        <f aca="false">Vessels!B24</f>
        <v>Vessel 20</v>
      </c>
      <c r="B2182" s="9" t="s">
        <v>88</v>
      </c>
      <c r="C2182" s="7" t="s">
        <v>91</v>
      </c>
      <c r="D2182" s="9" t="s">
        <v>45</v>
      </c>
      <c r="E2182" s="9" t="s">
        <v>92</v>
      </c>
      <c r="F2182" s="5" t="n">
        <v>120</v>
      </c>
      <c r="G2182" s="10"/>
      <c r="H2182" s="11" t="str">
        <f aca="false">IFERROR(IF($D2182="Manual Review","",IF($G2182="","",IF($D2182="Direct Expiry",$G2182,EDATE($G2182,$F2182)))),"Check Date")</f>
        <v/>
      </c>
      <c r="I2182" s="12" t="str">
        <f aca="true">IF($H2182="","",IF(ISNUMBER($H2182),$H2182-TODAY(),""))</f>
        <v/>
      </c>
      <c r="J2182" s="4" t="str">
        <f aca="true">IF($D2182="Manual Review","Manual Review",IF($G2182="","No Data",IF(NOT(ISNUMBER($H2182)),"N/A",IF($H2182&lt;TODAY(),"Overdue",IF($H2182&lt;=TODAY()+30,"Due within 1 Month",IF($H2182&lt;=TODAY()+60,"Due within 2 Months","OK"))))))</f>
        <v>No Data</v>
      </c>
      <c r="K2182" s="13"/>
    </row>
    <row r="2183" customFormat="false" ht="15" hidden="false" customHeight="false" outlineLevel="0" collapsed="false">
      <c r="A2183" s="9" t="str">
        <f aca="false">Vessels!B24</f>
        <v>Vessel 20</v>
      </c>
      <c r="B2183" s="9" t="s">
        <v>88</v>
      </c>
      <c r="C2183" s="7" t="s">
        <v>93</v>
      </c>
      <c r="D2183" s="9" t="s">
        <v>45</v>
      </c>
      <c r="E2183" s="9" t="s">
        <v>44</v>
      </c>
      <c r="F2183" s="5" t="n">
        <v>12</v>
      </c>
      <c r="G2183" s="10"/>
      <c r="H2183" s="11" t="str">
        <f aca="false">IFERROR(IF($D2183="Manual Review","",IF($G2183="","",IF($D2183="Direct Expiry",$G2183,EDATE($G2183,$F2183)))),"Check Date")</f>
        <v/>
      </c>
      <c r="I2183" s="12" t="str">
        <f aca="true">IF($H2183="","",IF(ISNUMBER($H2183),$H2183-TODAY(),""))</f>
        <v/>
      </c>
      <c r="J2183" s="4" t="str">
        <f aca="true">IF($D2183="Manual Review","Manual Review",IF($G2183="","No Data",IF(NOT(ISNUMBER($H2183)),"N/A",IF($H2183&lt;TODAY(),"Overdue",IF($H2183&lt;=TODAY()+30,"Due within 1 Month",IF($H2183&lt;=TODAY()+60,"Due within 2 Months","OK"))))))</f>
        <v>No Data</v>
      </c>
      <c r="K2183" s="13"/>
    </row>
    <row r="2184" customFormat="false" ht="15" hidden="false" customHeight="false" outlineLevel="0" collapsed="false">
      <c r="A2184" s="9" t="str">
        <f aca="false">Vessels!B24</f>
        <v>Vessel 20</v>
      </c>
      <c r="B2184" s="9" t="s">
        <v>88</v>
      </c>
      <c r="C2184" s="7" t="s">
        <v>93</v>
      </c>
      <c r="D2184" s="9" t="s">
        <v>45</v>
      </c>
      <c r="E2184" s="9" t="s">
        <v>92</v>
      </c>
      <c r="F2184" s="5" t="n">
        <v>120</v>
      </c>
      <c r="G2184" s="10"/>
      <c r="H2184" s="11" t="str">
        <f aca="false">IFERROR(IF($D2184="Manual Review","",IF($G2184="","",IF($D2184="Direct Expiry",$G2184,EDATE($G2184,$F2184)))),"Check Date")</f>
        <v/>
      </c>
      <c r="I2184" s="12" t="str">
        <f aca="true">IF($H2184="","",IF(ISNUMBER($H2184),$H2184-TODAY(),""))</f>
        <v/>
      </c>
      <c r="J2184" s="4" t="str">
        <f aca="true">IF($D2184="Manual Review","Manual Review",IF($G2184="","No Data",IF(NOT(ISNUMBER($H2184)),"N/A",IF($H2184&lt;TODAY(),"Overdue",IF($H2184&lt;=TODAY()+30,"Due within 1 Month",IF($H2184&lt;=TODAY()+60,"Due within 2 Months","OK"))))))</f>
        <v>No Data</v>
      </c>
      <c r="K2184" s="13"/>
    </row>
    <row r="2185" customFormat="false" ht="15" hidden="false" customHeight="false" outlineLevel="0" collapsed="false">
      <c r="A2185" s="9" t="str">
        <f aca="false">Vessels!B24</f>
        <v>Vessel 20</v>
      </c>
      <c r="B2185" s="9" t="s">
        <v>88</v>
      </c>
      <c r="C2185" s="7" t="s">
        <v>94</v>
      </c>
      <c r="D2185" s="9" t="s">
        <v>45</v>
      </c>
      <c r="E2185" s="9" t="s">
        <v>44</v>
      </c>
      <c r="F2185" s="5" t="n">
        <v>12</v>
      </c>
      <c r="G2185" s="10"/>
      <c r="H2185" s="11" t="str">
        <f aca="false">IFERROR(IF($D2185="Manual Review","",IF($G2185="","",IF($D2185="Direct Expiry",$G2185,EDATE($G2185,$F2185)))),"Check Date")</f>
        <v/>
      </c>
      <c r="I2185" s="12" t="str">
        <f aca="true">IF($H2185="","",IF(ISNUMBER($H2185),$H2185-TODAY(),""))</f>
        <v/>
      </c>
      <c r="J2185" s="4" t="str">
        <f aca="true">IF($D2185="Manual Review","Manual Review",IF($G2185="","No Data",IF(NOT(ISNUMBER($H2185)),"N/A",IF($H2185&lt;TODAY(),"Overdue",IF($H2185&lt;=TODAY()+30,"Due within 1 Month",IF($H2185&lt;=TODAY()+60,"Due within 2 Months","OK"))))))</f>
        <v>No Data</v>
      </c>
      <c r="K2185" s="13"/>
    </row>
    <row r="2186" customFormat="false" ht="15" hidden="false" customHeight="false" outlineLevel="0" collapsed="false">
      <c r="A2186" s="9" t="str">
        <f aca="false">Vessels!B24</f>
        <v>Vessel 20</v>
      </c>
      <c r="B2186" s="9" t="s">
        <v>88</v>
      </c>
      <c r="C2186" s="7" t="s">
        <v>94</v>
      </c>
      <c r="D2186" s="9" t="s">
        <v>45</v>
      </c>
      <c r="E2186" s="9" t="s">
        <v>92</v>
      </c>
      <c r="F2186" s="5" t="n">
        <v>120</v>
      </c>
      <c r="G2186" s="10"/>
      <c r="H2186" s="11" t="str">
        <f aca="false">IFERROR(IF($D2186="Manual Review","",IF($G2186="","",IF($D2186="Direct Expiry",$G2186,EDATE($G2186,$F2186)))),"Check Date")</f>
        <v/>
      </c>
      <c r="I2186" s="12" t="str">
        <f aca="true">IF($H2186="","",IF(ISNUMBER($H2186),$H2186-TODAY(),""))</f>
        <v/>
      </c>
      <c r="J2186" s="4" t="str">
        <f aca="true">IF($D2186="Manual Review","Manual Review",IF($G2186="","No Data",IF(NOT(ISNUMBER($H2186)),"N/A",IF($H2186&lt;TODAY(),"Overdue",IF($H2186&lt;=TODAY()+30,"Due within 1 Month",IF($H2186&lt;=TODAY()+60,"Due within 2 Months","OK"))))))</f>
        <v>No Data</v>
      </c>
      <c r="K2186" s="13"/>
    </row>
    <row r="2187" customFormat="false" ht="15" hidden="false" customHeight="false" outlineLevel="0" collapsed="false">
      <c r="A2187" s="9" t="str">
        <f aca="false">Vessels!B24</f>
        <v>Vessel 20</v>
      </c>
      <c r="B2187" s="9" t="s">
        <v>88</v>
      </c>
      <c r="C2187" s="7" t="s">
        <v>95</v>
      </c>
      <c r="D2187" s="9" t="s">
        <v>45</v>
      </c>
      <c r="E2187" s="9" t="s">
        <v>44</v>
      </c>
      <c r="F2187" s="5" t="n">
        <v>12</v>
      </c>
      <c r="G2187" s="10"/>
      <c r="H2187" s="11" t="str">
        <f aca="false">IFERROR(IF($D2187="Manual Review","",IF($G2187="","",IF($D2187="Direct Expiry",$G2187,EDATE($G2187,$F2187)))),"Check Date")</f>
        <v/>
      </c>
      <c r="I2187" s="12" t="str">
        <f aca="true">IF($H2187="","",IF(ISNUMBER($H2187),$H2187-TODAY(),""))</f>
        <v/>
      </c>
      <c r="J2187" s="4" t="str">
        <f aca="true">IF($D2187="Manual Review","Manual Review",IF($G2187="","No Data",IF(NOT(ISNUMBER($H2187)),"N/A",IF($H2187&lt;TODAY(),"Overdue",IF($H2187&lt;=TODAY()+30,"Due within 1 Month",IF($H2187&lt;=TODAY()+60,"Due within 2 Months","OK"))))))</f>
        <v>No Data</v>
      </c>
      <c r="K2187" s="13"/>
    </row>
    <row r="2188" customFormat="false" ht="15" hidden="false" customHeight="false" outlineLevel="0" collapsed="false">
      <c r="A2188" s="9" t="str">
        <f aca="false">Vessels!B24</f>
        <v>Vessel 20</v>
      </c>
      <c r="B2188" s="9" t="s">
        <v>88</v>
      </c>
      <c r="C2188" s="7" t="s">
        <v>95</v>
      </c>
      <c r="D2188" s="9" t="s">
        <v>45</v>
      </c>
      <c r="E2188" s="9" t="s">
        <v>92</v>
      </c>
      <c r="F2188" s="5" t="n">
        <v>120</v>
      </c>
      <c r="G2188" s="10"/>
      <c r="H2188" s="11" t="str">
        <f aca="false">IFERROR(IF($D2188="Manual Review","",IF($G2188="","",IF($D2188="Direct Expiry",$G2188,EDATE($G2188,$F2188)))),"Check Date")</f>
        <v/>
      </c>
      <c r="I2188" s="12" t="str">
        <f aca="true">IF($H2188="","",IF(ISNUMBER($H2188),$H2188-TODAY(),""))</f>
        <v/>
      </c>
      <c r="J2188" s="4" t="str">
        <f aca="true">IF($D2188="Manual Review","Manual Review",IF($G2188="","No Data",IF(NOT(ISNUMBER($H2188)),"N/A",IF($H2188&lt;TODAY(),"Overdue",IF($H2188&lt;=TODAY()+30,"Due within 1 Month",IF($H2188&lt;=TODAY()+60,"Due within 2 Months","OK"))))))</f>
        <v>No Data</v>
      </c>
      <c r="K2188" s="13"/>
    </row>
    <row r="2189" customFormat="false" ht="15" hidden="false" customHeight="false" outlineLevel="0" collapsed="false">
      <c r="A2189" s="9" t="str">
        <f aca="false">Vessels!B24</f>
        <v>Vessel 20</v>
      </c>
      <c r="B2189" s="9" t="s">
        <v>88</v>
      </c>
      <c r="C2189" s="7" t="s">
        <v>96</v>
      </c>
      <c r="D2189" s="9" t="s">
        <v>45</v>
      </c>
      <c r="E2189" s="9" t="s">
        <v>44</v>
      </c>
      <c r="F2189" s="5" t="n">
        <v>12</v>
      </c>
      <c r="G2189" s="10"/>
      <c r="H2189" s="11" t="str">
        <f aca="false">IFERROR(IF($D2189="Manual Review","",IF($G2189="","",IF($D2189="Direct Expiry",$G2189,EDATE($G2189,$F2189)))),"Check Date")</f>
        <v/>
      </c>
      <c r="I2189" s="12" t="str">
        <f aca="true">IF($H2189="","",IF(ISNUMBER($H2189),$H2189-TODAY(),""))</f>
        <v/>
      </c>
      <c r="J2189" s="4" t="str">
        <f aca="true">IF($D2189="Manual Review","Manual Review",IF($G2189="","No Data",IF(NOT(ISNUMBER($H2189)),"N/A",IF($H2189&lt;TODAY(),"Overdue",IF($H2189&lt;=TODAY()+30,"Due within 1 Month",IF($H2189&lt;=TODAY()+60,"Due within 2 Months","OK"))))))</f>
        <v>No Data</v>
      </c>
      <c r="K2189" s="13"/>
    </row>
    <row r="2190" customFormat="false" ht="15" hidden="false" customHeight="false" outlineLevel="0" collapsed="false">
      <c r="A2190" s="9" t="str">
        <f aca="false">Vessels!B24</f>
        <v>Vessel 20</v>
      </c>
      <c r="B2190" s="9" t="s">
        <v>88</v>
      </c>
      <c r="C2190" s="7" t="s">
        <v>96</v>
      </c>
      <c r="D2190" s="9" t="s">
        <v>45</v>
      </c>
      <c r="E2190" s="9" t="s">
        <v>97</v>
      </c>
      <c r="F2190" s="5" t="n">
        <v>120</v>
      </c>
      <c r="G2190" s="10"/>
      <c r="H2190" s="11" t="str">
        <f aca="false">IFERROR(IF($D2190="Manual Review","",IF($G2190="","",IF($D2190="Direct Expiry",$G2190,EDATE($G2190,$F2190)))),"Check Date")</f>
        <v/>
      </c>
      <c r="I2190" s="12" t="str">
        <f aca="true">IF($H2190="","",IF(ISNUMBER($H2190),$H2190-TODAY(),""))</f>
        <v/>
      </c>
      <c r="J2190" s="4" t="str">
        <f aca="true">IF($D2190="Manual Review","Manual Review",IF($G2190="","No Data",IF(NOT(ISNUMBER($H2190)),"N/A",IF($H2190&lt;TODAY(),"Overdue",IF($H2190&lt;=TODAY()+30,"Due within 1 Month",IF($H2190&lt;=TODAY()+60,"Due within 2 Months","OK"))))))</f>
        <v>No Data</v>
      </c>
      <c r="K2190" s="13"/>
    </row>
    <row r="2191" customFormat="false" ht="15" hidden="false" customHeight="false" outlineLevel="0" collapsed="false">
      <c r="A2191" s="9" t="str">
        <f aca="false">Vessels!B24</f>
        <v>Vessel 20</v>
      </c>
      <c r="B2191" s="9" t="s">
        <v>88</v>
      </c>
      <c r="C2191" s="7" t="s">
        <v>98</v>
      </c>
      <c r="D2191" s="9" t="s">
        <v>45</v>
      </c>
      <c r="E2191" s="9" t="s">
        <v>44</v>
      </c>
      <c r="F2191" s="5" t="n">
        <v>12</v>
      </c>
      <c r="G2191" s="10"/>
      <c r="H2191" s="11" t="str">
        <f aca="false">IFERROR(IF($D2191="Manual Review","",IF($G2191="","",IF($D2191="Direct Expiry",$G2191,EDATE($G2191,$F2191)))),"Check Date")</f>
        <v/>
      </c>
      <c r="I2191" s="12" t="str">
        <f aca="true">IF($H2191="","",IF(ISNUMBER($H2191),$H2191-TODAY(),""))</f>
        <v/>
      </c>
      <c r="J2191" s="4" t="str">
        <f aca="true">IF($D2191="Manual Review","Manual Review",IF($G2191="","No Data",IF(NOT(ISNUMBER($H2191)),"N/A",IF($H2191&lt;TODAY(),"Overdue",IF($H2191&lt;=TODAY()+30,"Due within 1 Month",IF($H2191&lt;=TODAY()+60,"Due within 2 Months","OK"))))))</f>
        <v>No Data</v>
      </c>
      <c r="K2191" s="13"/>
    </row>
    <row r="2192" customFormat="false" ht="15" hidden="false" customHeight="false" outlineLevel="0" collapsed="false">
      <c r="A2192" s="9" t="str">
        <f aca="false">Vessels!B24</f>
        <v>Vessel 20</v>
      </c>
      <c r="B2192" s="9" t="s">
        <v>88</v>
      </c>
      <c r="C2192" s="7" t="s">
        <v>98</v>
      </c>
      <c r="D2192" s="9" t="s">
        <v>45</v>
      </c>
      <c r="E2192" s="9" t="s">
        <v>99</v>
      </c>
      <c r="F2192" s="5" t="n">
        <v>60</v>
      </c>
      <c r="G2192" s="10"/>
      <c r="H2192" s="11" t="str">
        <f aca="false">IFERROR(IF($D2192="Manual Review","",IF($G2192="","",IF($D2192="Direct Expiry",$G2192,EDATE($G2192,$F2192)))),"Check Date")</f>
        <v/>
      </c>
      <c r="I2192" s="12" t="str">
        <f aca="true">IF($H2192="","",IF(ISNUMBER($H2192),$H2192-TODAY(),""))</f>
        <v/>
      </c>
      <c r="J2192" s="4" t="str">
        <f aca="true">IF($D2192="Manual Review","Manual Review",IF($G2192="","No Data",IF(NOT(ISNUMBER($H2192)),"N/A",IF($H2192&lt;TODAY(),"Overdue",IF($H2192&lt;=TODAY()+30,"Due within 1 Month",IF($H2192&lt;=TODAY()+60,"Due within 2 Months","OK"))))))</f>
        <v>No Data</v>
      </c>
      <c r="K2192" s="13"/>
    </row>
    <row r="2193" customFormat="false" ht="15" hidden="false" customHeight="false" outlineLevel="0" collapsed="false">
      <c r="A2193" s="9" t="str">
        <f aca="false">Vessels!B24</f>
        <v>Vessel 20</v>
      </c>
      <c r="B2193" s="9" t="s">
        <v>88</v>
      </c>
      <c r="C2193" s="7" t="s">
        <v>100</v>
      </c>
      <c r="D2193" s="9" t="s">
        <v>45</v>
      </c>
      <c r="E2193" s="9" t="s">
        <v>44</v>
      </c>
      <c r="F2193" s="5" t="n">
        <v>12</v>
      </c>
      <c r="G2193" s="10"/>
      <c r="H2193" s="11" t="str">
        <f aca="false">IFERROR(IF($D2193="Manual Review","",IF($G2193="","",IF($D2193="Direct Expiry",$G2193,EDATE($G2193,$F2193)))),"Check Date")</f>
        <v/>
      </c>
      <c r="I2193" s="12" t="str">
        <f aca="true">IF($H2193="","",IF(ISNUMBER($H2193),$H2193-TODAY(),""))</f>
        <v/>
      </c>
      <c r="J2193" s="4" t="str">
        <f aca="true">IF($D2193="Manual Review","Manual Review",IF($G2193="","No Data",IF(NOT(ISNUMBER($H2193)),"N/A",IF($H2193&lt;TODAY(),"Overdue",IF($H2193&lt;=TODAY()+30,"Due within 1 Month",IF($H2193&lt;=TODAY()+60,"Due within 2 Months","OK"))))))</f>
        <v>No Data</v>
      </c>
      <c r="K2193" s="13"/>
    </row>
    <row r="2194" customFormat="false" ht="15" hidden="false" customHeight="false" outlineLevel="0" collapsed="false">
      <c r="A2194" s="9" t="str">
        <f aca="false">Vessels!B24</f>
        <v>Vessel 20</v>
      </c>
      <c r="B2194" s="9" t="s">
        <v>88</v>
      </c>
      <c r="C2194" s="7" t="s">
        <v>100</v>
      </c>
      <c r="D2194" s="9" t="s">
        <v>45</v>
      </c>
      <c r="E2194" s="9" t="s">
        <v>99</v>
      </c>
      <c r="F2194" s="5" t="n">
        <v>60</v>
      </c>
      <c r="G2194" s="10"/>
      <c r="H2194" s="11" t="str">
        <f aca="false">IFERROR(IF($D2194="Manual Review","",IF($G2194="","",IF($D2194="Direct Expiry",$G2194,EDATE($G2194,$F2194)))),"Check Date")</f>
        <v/>
      </c>
      <c r="I2194" s="12" t="str">
        <f aca="true">IF($H2194="","",IF(ISNUMBER($H2194),$H2194-TODAY(),""))</f>
        <v/>
      </c>
      <c r="J2194" s="4" t="str">
        <f aca="true">IF($D2194="Manual Review","Manual Review",IF($G2194="","No Data",IF(NOT(ISNUMBER($H2194)),"N/A",IF($H2194&lt;TODAY(),"Overdue",IF($H2194&lt;=TODAY()+30,"Due within 1 Month",IF($H2194&lt;=TODAY()+60,"Due within 2 Months","OK"))))))</f>
        <v>No Data</v>
      </c>
      <c r="K2194" s="13"/>
    </row>
    <row r="2195" customFormat="false" ht="15" hidden="false" customHeight="false" outlineLevel="0" collapsed="false">
      <c r="A2195" s="9" t="str">
        <f aca="false">Vessels!B24</f>
        <v>Vessel 20</v>
      </c>
      <c r="B2195" s="9" t="s">
        <v>88</v>
      </c>
      <c r="C2195" s="7" t="s">
        <v>101</v>
      </c>
      <c r="D2195" s="9" t="s">
        <v>45</v>
      </c>
      <c r="E2195" s="9" t="s">
        <v>44</v>
      </c>
      <c r="F2195" s="5" t="n">
        <v>12</v>
      </c>
      <c r="G2195" s="10"/>
      <c r="H2195" s="11" t="str">
        <f aca="false">IFERROR(IF($D2195="Manual Review","",IF($G2195="","",IF($D2195="Direct Expiry",$G2195,EDATE($G2195,$F2195)))),"Check Date")</f>
        <v/>
      </c>
      <c r="I2195" s="12" t="str">
        <f aca="true">IF($H2195="","",IF(ISNUMBER($H2195),$H2195-TODAY(),""))</f>
        <v/>
      </c>
      <c r="J2195" s="4" t="str">
        <f aca="true">IF($D2195="Manual Review","Manual Review",IF($G2195="","No Data",IF(NOT(ISNUMBER($H2195)),"N/A",IF($H2195&lt;TODAY(),"Overdue",IF($H2195&lt;=TODAY()+30,"Due within 1 Month",IF($H2195&lt;=TODAY()+60,"Due within 2 Months","OK"))))))</f>
        <v>No Data</v>
      </c>
      <c r="K2195" s="13"/>
    </row>
    <row r="2196" customFormat="false" ht="23.85" hidden="false" customHeight="false" outlineLevel="0" collapsed="false">
      <c r="A2196" s="9" t="str">
        <f aca="false">Vessels!B24</f>
        <v>Vessel 20</v>
      </c>
      <c r="B2196" s="9" t="s">
        <v>88</v>
      </c>
      <c r="C2196" s="7" t="s">
        <v>102</v>
      </c>
      <c r="D2196" s="9" t="s">
        <v>45</v>
      </c>
      <c r="E2196" s="9" t="s">
        <v>44</v>
      </c>
      <c r="F2196" s="5" t="n">
        <v>12</v>
      </c>
      <c r="G2196" s="10"/>
      <c r="H2196" s="11" t="str">
        <f aca="false">IFERROR(IF($D2196="Manual Review","",IF($G2196="","",IF($D2196="Direct Expiry",$G2196,EDATE($G2196,$F2196)))),"Check Date")</f>
        <v/>
      </c>
      <c r="I2196" s="12" t="str">
        <f aca="true">IF($H2196="","",IF(ISNUMBER($H2196),$H2196-TODAY(),""))</f>
        <v/>
      </c>
      <c r="J2196" s="4" t="str">
        <f aca="true">IF($D2196="Manual Review","Manual Review",IF($G2196="","No Data",IF(NOT(ISNUMBER($H2196)),"N/A",IF($H2196&lt;TODAY(),"Overdue",IF($H2196&lt;=TODAY()+30,"Due within 1 Month",IF($H2196&lt;=TODAY()+60,"Due within 2 Months","OK"))))))</f>
        <v>No Data</v>
      </c>
      <c r="K2196" s="13"/>
    </row>
    <row r="2197" customFormat="false" ht="23.85" hidden="false" customHeight="false" outlineLevel="0" collapsed="false">
      <c r="A2197" s="9" t="str">
        <f aca="false">Vessels!B24</f>
        <v>Vessel 20</v>
      </c>
      <c r="B2197" s="9" t="s">
        <v>88</v>
      </c>
      <c r="C2197" s="7" t="s">
        <v>102</v>
      </c>
      <c r="D2197" s="9" t="s">
        <v>45</v>
      </c>
      <c r="E2197" s="9" t="s">
        <v>97</v>
      </c>
      <c r="F2197" s="5" t="n">
        <v>120</v>
      </c>
      <c r="G2197" s="10"/>
      <c r="H2197" s="11" t="str">
        <f aca="false">IFERROR(IF($D2197="Manual Review","",IF($G2197="","",IF($D2197="Direct Expiry",$G2197,EDATE($G2197,$F2197)))),"Check Date")</f>
        <v/>
      </c>
      <c r="I2197" s="12" t="str">
        <f aca="true">IF($H2197="","",IF(ISNUMBER($H2197),$H2197-TODAY(),""))</f>
        <v/>
      </c>
      <c r="J2197" s="4" t="str">
        <f aca="true">IF($D2197="Manual Review","Manual Review",IF($G2197="","No Data",IF(NOT(ISNUMBER($H2197)),"N/A",IF($H2197&lt;TODAY(),"Overdue",IF($H2197&lt;=TODAY()+30,"Due within 1 Month",IF($H2197&lt;=TODAY()+60,"Due within 2 Months","OK"))))))</f>
        <v>No Data</v>
      </c>
      <c r="K2197" s="13"/>
    </row>
    <row r="2198" customFormat="false" ht="15" hidden="false" customHeight="false" outlineLevel="0" collapsed="false">
      <c r="A2198" s="9" t="str">
        <f aca="false">Vessels!B24</f>
        <v>Vessel 20</v>
      </c>
      <c r="B2198" s="9" t="s">
        <v>88</v>
      </c>
      <c r="C2198" s="7" t="s">
        <v>103</v>
      </c>
      <c r="D2198" s="9" t="s">
        <v>45</v>
      </c>
      <c r="E2198" s="9" t="s">
        <v>44</v>
      </c>
      <c r="F2198" s="5" t="n">
        <v>12</v>
      </c>
      <c r="G2198" s="10"/>
      <c r="H2198" s="11" t="str">
        <f aca="false">IFERROR(IF($D2198="Manual Review","",IF($G2198="","",IF($D2198="Direct Expiry",$G2198,EDATE($G2198,$F2198)))),"Check Date")</f>
        <v/>
      </c>
      <c r="I2198" s="12" t="str">
        <f aca="true">IF($H2198="","",IF(ISNUMBER($H2198),$H2198-TODAY(),""))</f>
        <v/>
      </c>
      <c r="J2198" s="4" t="str">
        <f aca="true">IF($D2198="Manual Review","Manual Review",IF($G2198="","No Data",IF(NOT(ISNUMBER($H2198)),"N/A",IF($H2198&lt;TODAY(),"Overdue",IF($H2198&lt;=TODAY()+30,"Due within 1 Month",IF($H2198&lt;=TODAY()+60,"Due within 2 Months","OK"))))))</f>
        <v>No Data</v>
      </c>
      <c r="K2198" s="13"/>
    </row>
    <row r="2199" customFormat="false" ht="15" hidden="false" customHeight="false" outlineLevel="0" collapsed="false">
      <c r="A2199" s="9" t="str">
        <f aca="false">Vessels!B24</f>
        <v>Vessel 20</v>
      </c>
      <c r="B2199" s="9" t="s">
        <v>88</v>
      </c>
      <c r="C2199" s="7" t="s">
        <v>103</v>
      </c>
      <c r="D2199" s="9" t="s">
        <v>45</v>
      </c>
      <c r="E2199" s="9" t="s">
        <v>97</v>
      </c>
      <c r="F2199" s="5" t="n">
        <v>120</v>
      </c>
      <c r="G2199" s="10"/>
      <c r="H2199" s="11" t="str">
        <f aca="false">IFERROR(IF($D2199="Manual Review","",IF($G2199="","",IF($D2199="Direct Expiry",$G2199,EDATE($G2199,$F2199)))),"Check Date")</f>
        <v/>
      </c>
      <c r="I2199" s="12" t="str">
        <f aca="true">IF($H2199="","",IF(ISNUMBER($H2199),$H2199-TODAY(),""))</f>
        <v/>
      </c>
      <c r="J2199" s="4" t="str">
        <f aca="true">IF($D2199="Manual Review","Manual Review",IF($G2199="","No Data",IF(NOT(ISNUMBER($H2199)),"N/A",IF($H2199&lt;TODAY(),"Overdue",IF($H2199&lt;=TODAY()+30,"Due within 1 Month",IF($H2199&lt;=TODAY()+60,"Due within 2 Months","OK"))))))</f>
        <v>No Data</v>
      </c>
      <c r="K2199" s="13"/>
    </row>
    <row r="2200" customFormat="false" ht="15" hidden="false" customHeight="false" outlineLevel="0" collapsed="false">
      <c r="A2200" s="9" t="str">
        <f aca="false">Vessels!B24</f>
        <v>Vessel 20</v>
      </c>
      <c r="B2200" s="9" t="s">
        <v>88</v>
      </c>
      <c r="C2200" s="7" t="s">
        <v>104</v>
      </c>
      <c r="D2200" s="9" t="s">
        <v>45</v>
      </c>
      <c r="E2200" s="9" t="s">
        <v>44</v>
      </c>
      <c r="F2200" s="5" t="n">
        <v>12</v>
      </c>
      <c r="G2200" s="10"/>
      <c r="H2200" s="11" t="str">
        <f aca="false">IFERROR(IF($D2200="Manual Review","",IF($G2200="","",IF($D2200="Direct Expiry",$G2200,EDATE($G2200,$F2200)))),"Check Date")</f>
        <v/>
      </c>
      <c r="I2200" s="12" t="str">
        <f aca="true">IF($H2200="","",IF(ISNUMBER($H2200),$H2200-TODAY(),""))</f>
        <v/>
      </c>
      <c r="J2200" s="4" t="str">
        <f aca="true">IF($D2200="Manual Review","Manual Review",IF($G2200="","No Data",IF(NOT(ISNUMBER($H2200)),"N/A",IF($H2200&lt;TODAY(),"Overdue",IF($H2200&lt;=TODAY()+30,"Due within 1 Month",IF($H2200&lt;=TODAY()+60,"Due within 2 Months","OK"))))))</f>
        <v>No Data</v>
      </c>
      <c r="K2200" s="13"/>
    </row>
    <row r="2201" customFormat="false" ht="15" hidden="false" customHeight="false" outlineLevel="0" collapsed="false">
      <c r="A2201" s="9" t="str">
        <f aca="false">Vessels!B24</f>
        <v>Vessel 20</v>
      </c>
      <c r="B2201" s="9" t="s">
        <v>88</v>
      </c>
      <c r="C2201" s="7" t="s">
        <v>105</v>
      </c>
      <c r="D2201" s="9" t="s">
        <v>45</v>
      </c>
      <c r="E2201" s="9" t="s">
        <v>44</v>
      </c>
      <c r="F2201" s="5" t="n">
        <v>12</v>
      </c>
      <c r="G2201" s="10"/>
      <c r="H2201" s="11" t="str">
        <f aca="false">IFERROR(IF($D2201="Manual Review","",IF($G2201="","",IF($D2201="Direct Expiry",$G2201,EDATE($G2201,$F2201)))),"Check Date")</f>
        <v/>
      </c>
      <c r="I2201" s="12" t="str">
        <f aca="true">IF($H2201="","",IF(ISNUMBER($H2201),$H2201-TODAY(),""))</f>
        <v/>
      </c>
      <c r="J2201" s="4" t="str">
        <f aca="true">IF($D2201="Manual Review","Manual Review",IF($G2201="","No Data",IF(NOT(ISNUMBER($H2201)),"N/A",IF($H2201&lt;TODAY(),"Overdue",IF($H2201&lt;=TODAY()+30,"Due within 1 Month",IF($H2201&lt;=TODAY()+60,"Due within 2 Months","OK"))))))</f>
        <v>No Data</v>
      </c>
      <c r="K2201" s="13"/>
    </row>
    <row r="2202" customFormat="false" ht="15" hidden="false" customHeight="false" outlineLevel="0" collapsed="false">
      <c r="A2202" s="9" t="str">
        <f aca="false">Vessels!B24</f>
        <v>Vessel 20</v>
      </c>
      <c r="B2202" s="9" t="s">
        <v>88</v>
      </c>
      <c r="C2202" s="7" t="s">
        <v>106</v>
      </c>
      <c r="D2202" s="9" t="s">
        <v>45</v>
      </c>
      <c r="E2202" s="9" t="s">
        <v>44</v>
      </c>
      <c r="F2202" s="5" t="n">
        <v>12</v>
      </c>
      <c r="G2202" s="10"/>
      <c r="H2202" s="11" t="str">
        <f aca="false">IFERROR(IF($D2202="Manual Review","",IF($G2202="","",IF($D2202="Direct Expiry",$G2202,EDATE($G2202,$F2202)))),"Check Date")</f>
        <v/>
      </c>
      <c r="I2202" s="12" t="str">
        <f aca="true">IF($H2202="","",IF(ISNUMBER($H2202),$H2202-TODAY(),""))</f>
        <v/>
      </c>
      <c r="J2202" s="4" t="str">
        <f aca="true">IF($D2202="Manual Review","Manual Review",IF($G2202="","No Data",IF(NOT(ISNUMBER($H2202)),"N/A",IF($H2202&lt;TODAY(),"Overdue",IF($H2202&lt;=TODAY()+30,"Due within 1 Month",IF($H2202&lt;=TODAY()+60,"Due within 2 Months","OK"))))))</f>
        <v>No Data</v>
      </c>
      <c r="K2202" s="13"/>
    </row>
    <row r="2203" customFormat="false" ht="15" hidden="false" customHeight="false" outlineLevel="0" collapsed="false">
      <c r="A2203" s="9" t="str">
        <f aca="false">Vessels!B24</f>
        <v>Vessel 20</v>
      </c>
      <c r="B2203" s="9" t="s">
        <v>88</v>
      </c>
      <c r="C2203" s="7" t="s">
        <v>107</v>
      </c>
      <c r="D2203" s="9" t="s">
        <v>45</v>
      </c>
      <c r="E2203" s="9" t="s">
        <v>44</v>
      </c>
      <c r="F2203" s="5" t="n">
        <v>12</v>
      </c>
      <c r="G2203" s="10"/>
      <c r="H2203" s="11" t="str">
        <f aca="false">IFERROR(IF($D2203="Manual Review","",IF($G2203="","",IF($D2203="Direct Expiry",$G2203,EDATE($G2203,$F2203)))),"Check Date")</f>
        <v/>
      </c>
      <c r="I2203" s="12" t="str">
        <f aca="true">IF($H2203="","",IF(ISNUMBER($H2203),$H2203-TODAY(),""))</f>
        <v/>
      </c>
      <c r="J2203" s="4" t="str">
        <f aca="true">IF($D2203="Manual Review","Manual Review",IF($G2203="","No Data",IF(NOT(ISNUMBER($H2203)),"N/A",IF($H2203&lt;TODAY(),"Overdue",IF($H2203&lt;=TODAY()+30,"Due within 1 Month",IF($H2203&lt;=TODAY()+60,"Due within 2 Months","OK"))))))</f>
        <v>No Data</v>
      </c>
      <c r="K2203" s="13"/>
    </row>
    <row r="2204" customFormat="false" ht="15" hidden="false" customHeight="false" outlineLevel="0" collapsed="false">
      <c r="A2204" s="9" t="str">
        <f aca="false">Vessels!B24</f>
        <v>Vessel 20</v>
      </c>
      <c r="B2204" s="9" t="s">
        <v>88</v>
      </c>
      <c r="C2204" s="7" t="s">
        <v>108</v>
      </c>
      <c r="D2204" s="9" t="s">
        <v>45</v>
      </c>
      <c r="E2204" s="9" t="s">
        <v>109</v>
      </c>
      <c r="F2204" s="5" t="n">
        <v>12</v>
      </c>
      <c r="G2204" s="10"/>
      <c r="H2204" s="11" t="str">
        <f aca="false">IFERROR(IF($D2204="Manual Review","",IF($G2204="","",IF($D2204="Direct Expiry",$G2204,EDATE($G2204,$F2204)))),"Check Date")</f>
        <v/>
      </c>
      <c r="I2204" s="12" t="str">
        <f aca="true">IF($H2204="","",IF(ISNUMBER($H2204),$H2204-TODAY(),""))</f>
        <v/>
      </c>
      <c r="J2204" s="4" t="str">
        <f aca="true">IF($D2204="Manual Review","Manual Review",IF($G2204="","No Data",IF(NOT(ISNUMBER($H2204)),"N/A",IF($H2204&lt;TODAY(),"Overdue",IF($H2204&lt;=TODAY()+30,"Due within 1 Month",IF($H2204&lt;=TODAY()+60,"Due within 2 Months","OK"))))))</f>
        <v>No Data</v>
      </c>
      <c r="K2204" s="13"/>
    </row>
    <row r="2205" customFormat="false" ht="15" hidden="false" customHeight="false" outlineLevel="0" collapsed="false">
      <c r="A2205" s="9" t="str">
        <f aca="false">Vessels!B24</f>
        <v>Vessel 20</v>
      </c>
      <c r="B2205" s="9" t="s">
        <v>88</v>
      </c>
      <c r="C2205" s="7" t="s">
        <v>108</v>
      </c>
      <c r="D2205" s="9" t="s">
        <v>45</v>
      </c>
      <c r="E2205" s="9" t="s">
        <v>110</v>
      </c>
      <c r="F2205" s="5" t="n">
        <v>60</v>
      </c>
      <c r="G2205" s="10"/>
      <c r="H2205" s="11" t="str">
        <f aca="false">IFERROR(IF($D2205="Manual Review","",IF($G2205="","",IF($D2205="Direct Expiry",$G2205,EDATE($G2205,$F2205)))),"Check Date")</f>
        <v/>
      </c>
      <c r="I2205" s="12" t="str">
        <f aca="true">IF($H2205="","",IF(ISNUMBER($H2205),$H2205-TODAY(),""))</f>
        <v/>
      </c>
      <c r="J2205" s="4" t="str">
        <f aca="true">IF($D2205="Manual Review","Manual Review",IF($G2205="","No Data",IF(NOT(ISNUMBER($H2205)),"N/A",IF($H2205&lt;TODAY(),"Overdue",IF($H2205&lt;=TODAY()+30,"Due within 1 Month",IF($H2205&lt;=TODAY()+60,"Due within 2 Months","OK"))))))</f>
        <v>No Data</v>
      </c>
      <c r="K2205" s="13"/>
    </row>
    <row r="2206" customFormat="false" ht="15" hidden="false" customHeight="false" outlineLevel="0" collapsed="false">
      <c r="A2206" s="9" t="str">
        <f aca="false">Vessels!B24</f>
        <v>Vessel 20</v>
      </c>
      <c r="B2206" s="9" t="s">
        <v>88</v>
      </c>
      <c r="C2206" s="7" t="s">
        <v>111</v>
      </c>
      <c r="D2206" s="9" t="s">
        <v>45</v>
      </c>
      <c r="E2206" s="9" t="s">
        <v>44</v>
      </c>
      <c r="F2206" s="5" t="n">
        <v>12</v>
      </c>
      <c r="G2206" s="10"/>
      <c r="H2206" s="11" t="str">
        <f aca="false">IFERROR(IF($D2206="Manual Review","",IF($G2206="","",IF($D2206="Direct Expiry",$G2206,EDATE($G2206,$F2206)))),"Check Date")</f>
        <v/>
      </c>
      <c r="I2206" s="12" t="str">
        <f aca="true">IF($H2206="","",IF(ISNUMBER($H2206),$H2206-TODAY(),""))</f>
        <v/>
      </c>
      <c r="J2206" s="4" t="str">
        <f aca="true">IF($D2206="Manual Review","Manual Review",IF($G2206="","No Data",IF(NOT(ISNUMBER($H2206)),"N/A",IF($H2206&lt;TODAY(),"Overdue",IF($H2206&lt;=TODAY()+30,"Due within 1 Month",IF($H2206&lt;=TODAY()+60,"Due within 2 Months","OK"))))))</f>
        <v>No Data</v>
      </c>
      <c r="K2206" s="13"/>
    </row>
    <row r="2207" customFormat="false" ht="15" hidden="false" customHeight="false" outlineLevel="0" collapsed="false">
      <c r="A2207" s="9" t="str">
        <f aca="false">Vessels!B24</f>
        <v>Vessel 20</v>
      </c>
      <c r="B2207" s="9" t="s">
        <v>88</v>
      </c>
      <c r="C2207" s="7" t="s">
        <v>112</v>
      </c>
      <c r="D2207" s="9" t="s">
        <v>45</v>
      </c>
      <c r="E2207" s="9" t="s">
        <v>44</v>
      </c>
      <c r="F2207" s="5" t="n">
        <v>12</v>
      </c>
      <c r="G2207" s="10"/>
      <c r="H2207" s="11" t="str">
        <f aca="false">IFERROR(IF($D2207="Manual Review","",IF($G2207="","",IF($D2207="Direct Expiry",$G2207,EDATE($G2207,$F2207)))),"Check Date")</f>
        <v/>
      </c>
      <c r="I2207" s="12" t="str">
        <f aca="true">IF($H2207="","",IF(ISNUMBER($H2207),$H2207-TODAY(),""))</f>
        <v/>
      </c>
      <c r="J2207" s="4" t="str">
        <f aca="true">IF($D2207="Manual Review","Manual Review",IF($G2207="","No Data",IF(NOT(ISNUMBER($H2207)),"N/A",IF($H2207&lt;TODAY(),"Overdue",IF($H2207&lt;=TODAY()+30,"Due within 1 Month",IF($H2207&lt;=TODAY()+60,"Due within 2 Months","OK"))))))</f>
        <v>No Data</v>
      </c>
      <c r="K2207" s="13"/>
    </row>
    <row r="2208" customFormat="false" ht="15" hidden="false" customHeight="false" outlineLevel="0" collapsed="false">
      <c r="A2208" s="9" t="str">
        <f aca="false">Vessels!B24</f>
        <v>Vessel 20</v>
      </c>
      <c r="B2208" s="9" t="s">
        <v>88</v>
      </c>
      <c r="C2208" s="7" t="s">
        <v>113</v>
      </c>
      <c r="D2208" s="9" t="s">
        <v>115</v>
      </c>
      <c r="E2208" s="9" t="s">
        <v>114</v>
      </c>
      <c r="F2208" s="5"/>
      <c r="G2208" s="10"/>
      <c r="H2208" s="11" t="str">
        <f aca="false">IFERROR(IF($D2208="Manual Review","",IF($G2208="","",IF($D2208="Direct Expiry",$G2208,EDATE($G2208,$F2208)))),"Check Date")</f>
        <v/>
      </c>
      <c r="I2208" s="12" t="str">
        <f aca="true">IF($H2208="","",IF(ISNUMBER($H2208),$H2208-TODAY(),""))</f>
        <v/>
      </c>
      <c r="J2208" s="4" t="str">
        <f aca="true">IF($D2208="Manual Review","Manual Review",IF($G2208="","No Data",IF(NOT(ISNUMBER($H2208)),"N/A",IF($H2208&lt;TODAY(),"Overdue",IF($H2208&lt;=TODAY()+30,"Due within 1 Month",IF($H2208&lt;=TODAY()+60,"Due within 2 Months","OK"))))))</f>
        <v>Manual Review</v>
      </c>
      <c r="K2208" s="13"/>
    </row>
    <row r="2209" customFormat="false" ht="15" hidden="false" customHeight="false" outlineLevel="0" collapsed="false">
      <c r="A2209" s="9" t="str">
        <f aca="false">Vessels!B24</f>
        <v>Vessel 20</v>
      </c>
      <c r="B2209" s="9" t="s">
        <v>88</v>
      </c>
      <c r="C2209" s="7" t="s">
        <v>116</v>
      </c>
      <c r="D2209" s="9" t="s">
        <v>115</v>
      </c>
      <c r="E2209" s="9" t="s">
        <v>114</v>
      </c>
      <c r="F2209" s="5"/>
      <c r="G2209" s="10"/>
      <c r="H2209" s="11" t="str">
        <f aca="false">IFERROR(IF($D2209="Manual Review","",IF($G2209="","",IF($D2209="Direct Expiry",$G2209,EDATE($G2209,$F2209)))),"Check Date")</f>
        <v/>
      </c>
      <c r="I2209" s="12" t="str">
        <f aca="true">IF($H2209="","",IF(ISNUMBER($H2209),$H2209-TODAY(),""))</f>
        <v/>
      </c>
      <c r="J2209" s="4" t="str">
        <f aca="true">IF($D2209="Manual Review","Manual Review",IF($G2209="","No Data",IF(NOT(ISNUMBER($H2209)),"N/A",IF($H2209&lt;TODAY(),"Overdue",IF($H2209&lt;=TODAY()+30,"Due within 1 Month",IF($H2209&lt;=TODAY()+60,"Due within 2 Months","OK"))))))</f>
        <v>Manual Review</v>
      </c>
      <c r="K2209" s="13"/>
    </row>
    <row r="2210" customFormat="false" ht="15" hidden="false" customHeight="false" outlineLevel="0" collapsed="false">
      <c r="A2210" s="9" t="str">
        <f aca="false">Vessels!B24</f>
        <v>Vessel 20</v>
      </c>
      <c r="B2210" s="9" t="s">
        <v>117</v>
      </c>
      <c r="C2210" s="7" t="s">
        <v>118</v>
      </c>
      <c r="D2210" s="9" t="s">
        <v>59</v>
      </c>
      <c r="E2210" s="9" t="s">
        <v>119</v>
      </c>
      <c r="F2210" s="5"/>
      <c r="G2210" s="10"/>
      <c r="H2210" s="11" t="str">
        <f aca="false">IFERROR(IF($D2210="Manual Review","",IF($G2210="","",IF($D2210="Direct Expiry",$G2210,EDATE($G2210,$F2210)))),"Check Date")</f>
        <v/>
      </c>
      <c r="I2210" s="12" t="str">
        <f aca="true">IF($H2210="","",IF(ISNUMBER($H2210),$H2210-TODAY(),""))</f>
        <v/>
      </c>
      <c r="J2210" s="4" t="str">
        <f aca="true">IF($D2210="Manual Review","Manual Review",IF($G2210="","No Data",IF(NOT(ISNUMBER($H2210)),"N/A",IF($H2210&lt;TODAY(),"Overdue",IF($H2210&lt;=TODAY()+30,"Due within 1 Month",IF($H2210&lt;=TODAY()+60,"Due within 2 Months","OK"))))))</f>
        <v>No Data</v>
      </c>
      <c r="K2210" s="13"/>
    </row>
    <row r="2211" customFormat="false" ht="15" hidden="false" customHeight="false" outlineLevel="0" collapsed="false">
      <c r="A2211" s="9" t="str">
        <f aca="false">Vessels!B24</f>
        <v>Vessel 20</v>
      </c>
      <c r="B2211" s="9" t="s">
        <v>117</v>
      </c>
      <c r="C2211" s="7" t="s">
        <v>120</v>
      </c>
      <c r="D2211" s="9" t="s">
        <v>45</v>
      </c>
      <c r="E2211" s="9" t="s">
        <v>44</v>
      </c>
      <c r="F2211" s="5" t="n">
        <v>12</v>
      </c>
      <c r="G2211" s="10"/>
      <c r="H2211" s="11" t="str">
        <f aca="false">IFERROR(IF($D2211="Manual Review","",IF($G2211="","",IF($D2211="Direct Expiry",$G2211,EDATE($G2211,$F2211)))),"Check Date")</f>
        <v/>
      </c>
      <c r="I2211" s="12" t="str">
        <f aca="true">IF($H2211="","",IF(ISNUMBER($H2211),$H2211-TODAY(),""))</f>
        <v/>
      </c>
      <c r="J2211" s="4" t="str">
        <f aca="true">IF($D2211="Manual Review","Manual Review",IF($G2211="","No Data",IF(NOT(ISNUMBER($H2211)),"N/A",IF($H2211&lt;TODAY(),"Overdue",IF($H2211&lt;=TODAY()+30,"Due within 1 Month",IF($H2211&lt;=TODAY()+60,"Due within 2 Months","OK"))))))</f>
        <v>No Data</v>
      </c>
      <c r="K2211" s="13"/>
    </row>
    <row r="2212" customFormat="false" ht="15" hidden="false" customHeight="false" outlineLevel="0" collapsed="false">
      <c r="A2212" s="9" t="str">
        <f aca="false">Vessels!B24</f>
        <v>Vessel 20</v>
      </c>
      <c r="B2212" s="9" t="s">
        <v>117</v>
      </c>
      <c r="C2212" s="7" t="s">
        <v>121</v>
      </c>
      <c r="D2212" s="9" t="s">
        <v>45</v>
      </c>
      <c r="E2212" s="9" t="s">
        <v>44</v>
      </c>
      <c r="F2212" s="5" t="n">
        <v>12</v>
      </c>
      <c r="G2212" s="10"/>
      <c r="H2212" s="11" t="str">
        <f aca="false">IFERROR(IF($D2212="Manual Review","",IF($G2212="","",IF($D2212="Direct Expiry",$G2212,EDATE($G2212,$F2212)))),"Check Date")</f>
        <v/>
      </c>
      <c r="I2212" s="12" t="str">
        <f aca="true">IF($H2212="","",IF(ISNUMBER($H2212),$H2212-TODAY(),""))</f>
        <v/>
      </c>
      <c r="J2212" s="4" t="str">
        <f aca="true">IF($D2212="Manual Review","Manual Review",IF($G2212="","No Data",IF(NOT(ISNUMBER($H2212)),"N/A",IF($H2212&lt;TODAY(),"Overdue",IF($H2212&lt;=TODAY()+30,"Due within 1 Month",IF($H2212&lt;=TODAY()+60,"Due within 2 Months","OK"))))))</f>
        <v>No Data</v>
      </c>
      <c r="K2212" s="13"/>
    </row>
    <row r="2213" customFormat="false" ht="15" hidden="false" customHeight="false" outlineLevel="0" collapsed="false">
      <c r="A2213" s="9" t="str">
        <f aca="false">Vessels!B24</f>
        <v>Vessel 20</v>
      </c>
      <c r="B2213" s="9" t="s">
        <v>117</v>
      </c>
      <c r="C2213" s="7" t="s">
        <v>122</v>
      </c>
      <c r="D2213" s="9" t="s">
        <v>45</v>
      </c>
      <c r="E2213" s="9" t="s">
        <v>123</v>
      </c>
      <c r="F2213" s="5" t="n">
        <v>24</v>
      </c>
      <c r="G2213" s="10"/>
      <c r="H2213" s="11" t="str">
        <f aca="false">IFERROR(IF($D2213="Manual Review","",IF($G2213="","",IF($D2213="Direct Expiry",$G2213,EDATE($G2213,$F2213)))),"Check Date")</f>
        <v/>
      </c>
      <c r="I2213" s="12" t="str">
        <f aca="true">IF($H2213="","",IF(ISNUMBER($H2213),$H2213-TODAY(),""))</f>
        <v/>
      </c>
      <c r="J2213" s="4" t="str">
        <f aca="true">IF($D2213="Manual Review","Manual Review",IF($G2213="","No Data",IF(NOT(ISNUMBER($H2213)),"N/A",IF($H2213&lt;TODAY(),"Overdue",IF($H2213&lt;=TODAY()+30,"Due within 1 Month",IF($H2213&lt;=TODAY()+60,"Due within 2 Months","OK"))))))</f>
        <v>No Data</v>
      </c>
      <c r="K2213" s="13"/>
    </row>
    <row r="2214" customFormat="false" ht="15" hidden="false" customHeight="false" outlineLevel="0" collapsed="false">
      <c r="A2214" s="9" t="str">
        <f aca="false">Vessels!B24</f>
        <v>Vessel 20</v>
      </c>
      <c r="B2214" s="9" t="s">
        <v>117</v>
      </c>
      <c r="C2214" s="7" t="s">
        <v>124</v>
      </c>
      <c r="D2214" s="9" t="s">
        <v>59</v>
      </c>
      <c r="E2214" s="9" t="s">
        <v>58</v>
      </c>
      <c r="F2214" s="5"/>
      <c r="G2214" s="10"/>
      <c r="H2214" s="11" t="str">
        <f aca="false">IFERROR(IF($D2214="Manual Review","",IF($G2214="","",IF($D2214="Direct Expiry",$G2214,EDATE($G2214,$F2214)))),"Check Date")</f>
        <v/>
      </c>
      <c r="I2214" s="12" t="str">
        <f aca="true">IF($H2214="","",IF(ISNUMBER($H2214),$H2214-TODAY(),""))</f>
        <v/>
      </c>
      <c r="J2214" s="4" t="str">
        <f aca="true">IF($D2214="Manual Review","Manual Review",IF($G2214="","No Data",IF(NOT(ISNUMBER($H2214)),"N/A",IF($H2214&lt;TODAY(),"Overdue",IF($H2214&lt;=TODAY()+30,"Due within 1 Month",IF($H2214&lt;=TODAY()+60,"Due within 2 Months","OK"))))))</f>
        <v>No Data</v>
      </c>
      <c r="K2214" s="13"/>
    </row>
    <row r="2215" customFormat="false" ht="15" hidden="false" customHeight="false" outlineLevel="0" collapsed="false">
      <c r="A2215" s="9" t="str">
        <f aca="false">Vessels!B24</f>
        <v>Vessel 20</v>
      </c>
      <c r="B2215" s="9" t="s">
        <v>117</v>
      </c>
      <c r="C2215" s="7" t="s">
        <v>125</v>
      </c>
      <c r="D2215" s="9" t="s">
        <v>59</v>
      </c>
      <c r="E2215" s="9" t="s">
        <v>58</v>
      </c>
      <c r="F2215" s="5"/>
      <c r="G2215" s="10"/>
      <c r="H2215" s="11" t="str">
        <f aca="false">IFERROR(IF($D2215="Manual Review","",IF($G2215="","",IF($D2215="Direct Expiry",$G2215,EDATE($G2215,$F2215)))),"Check Date")</f>
        <v/>
      </c>
      <c r="I2215" s="12" t="str">
        <f aca="true">IF($H2215="","",IF(ISNUMBER($H2215),$H2215-TODAY(),""))</f>
        <v/>
      </c>
      <c r="J2215" s="4" t="str">
        <f aca="true">IF($D2215="Manual Review","Manual Review",IF($G2215="","No Data",IF(NOT(ISNUMBER($H2215)),"N/A",IF($H2215&lt;TODAY(),"Overdue",IF($H2215&lt;=TODAY()+30,"Due within 1 Month",IF($H2215&lt;=TODAY()+60,"Due within 2 Months","OK"))))))</f>
        <v>No Data</v>
      </c>
      <c r="K2215" s="13"/>
    </row>
    <row r="2216" customFormat="false" ht="15" hidden="false" customHeight="false" outlineLevel="0" collapsed="false">
      <c r="A2216" s="9" t="str">
        <f aca="false">Vessels!B24</f>
        <v>Vessel 20</v>
      </c>
      <c r="B2216" s="9" t="s">
        <v>117</v>
      </c>
      <c r="C2216" s="7" t="s">
        <v>126</v>
      </c>
      <c r="D2216" s="9" t="s">
        <v>45</v>
      </c>
      <c r="E2216" s="9" t="s">
        <v>44</v>
      </c>
      <c r="F2216" s="5" t="n">
        <v>12</v>
      </c>
      <c r="G2216" s="10"/>
      <c r="H2216" s="11" t="str">
        <f aca="false">IFERROR(IF($D2216="Manual Review","",IF($G2216="","",IF($D2216="Direct Expiry",$G2216,EDATE($G2216,$F2216)))),"Check Date")</f>
        <v/>
      </c>
      <c r="I2216" s="12" t="str">
        <f aca="true">IF($H2216="","",IF(ISNUMBER($H2216),$H2216-TODAY(),""))</f>
        <v/>
      </c>
      <c r="J2216" s="4" t="str">
        <f aca="true">IF($D2216="Manual Review","Manual Review",IF($G2216="","No Data",IF(NOT(ISNUMBER($H2216)),"N/A",IF($H2216&lt;TODAY(),"Overdue",IF($H2216&lt;=TODAY()+30,"Due within 1 Month",IF($H2216&lt;=TODAY()+60,"Due within 2 Months","OK"))))))</f>
        <v>No Data</v>
      </c>
      <c r="K2216" s="13"/>
    </row>
    <row r="2217" customFormat="false" ht="15" hidden="false" customHeight="false" outlineLevel="0" collapsed="false">
      <c r="A2217" s="9" t="str">
        <f aca="false">Vessels!B24</f>
        <v>Vessel 20</v>
      </c>
      <c r="B2217" s="9" t="s">
        <v>117</v>
      </c>
      <c r="C2217" s="7" t="s">
        <v>127</v>
      </c>
      <c r="D2217" s="9" t="s">
        <v>59</v>
      </c>
      <c r="E2217" s="9" t="s">
        <v>58</v>
      </c>
      <c r="F2217" s="5"/>
      <c r="G2217" s="10"/>
      <c r="H2217" s="11" t="str">
        <f aca="false">IFERROR(IF($D2217="Manual Review","",IF($G2217="","",IF($D2217="Direct Expiry",$G2217,EDATE($G2217,$F2217)))),"Check Date")</f>
        <v/>
      </c>
      <c r="I2217" s="12" t="str">
        <f aca="true">IF($H2217="","",IF(ISNUMBER($H2217),$H2217-TODAY(),""))</f>
        <v/>
      </c>
      <c r="J2217" s="4" t="str">
        <f aca="true">IF($D2217="Manual Review","Manual Review",IF($G2217="","No Data",IF(NOT(ISNUMBER($H2217)),"N/A",IF($H2217&lt;TODAY(),"Overdue",IF($H2217&lt;=TODAY()+30,"Due within 1 Month",IF($H2217&lt;=TODAY()+60,"Due within 2 Months","OK"))))))</f>
        <v>No Data</v>
      </c>
      <c r="K2217" s="13"/>
    </row>
    <row r="2218" customFormat="false" ht="15" hidden="false" customHeight="false" outlineLevel="0" collapsed="false">
      <c r="A2218" s="9" t="str">
        <f aca="false">Vessels!B24</f>
        <v>Vessel 20</v>
      </c>
      <c r="B2218" s="9" t="s">
        <v>117</v>
      </c>
      <c r="C2218" s="7" t="s">
        <v>128</v>
      </c>
      <c r="D2218" s="9" t="s">
        <v>59</v>
      </c>
      <c r="E2218" s="9" t="s">
        <v>58</v>
      </c>
      <c r="F2218" s="5"/>
      <c r="G2218" s="10"/>
      <c r="H2218" s="11" t="str">
        <f aca="false">IFERROR(IF($D2218="Manual Review","",IF($G2218="","",IF($D2218="Direct Expiry",$G2218,EDATE($G2218,$F2218)))),"Check Date")</f>
        <v/>
      </c>
      <c r="I2218" s="12" t="str">
        <f aca="true">IF($H2218="","",IF(ISNUMBER($H2218),$H2218-TODAY(),""))</f>
        <v/>
      </c>
      <c r="J2218" s="4" t="str">
        <f aca="true">IF($D2218="Manual Review","Manual Review",IF($G2218="","No Data",IF(NOT(ISNUMBER($H2218)),"N/A",IF($H2218&lt;TODAY(),"Overdue",IF($H2218&lt;=TODAY()+30,"Due within 1 Month",IF($H2218&lt;=TODAY()+60,"Due within 2 Months","OK"))))))</f>
        <v>No Data</v>
      </c>
      <c r="K2218" s="13"/>
    </row>
    <row r="2219" customFormat="false" ht="15" hidden="false" customHeight="false" outlineLevel="0" collapsed="false">
      <c r="A2219" s="9" t="str">
        <f aca="false">Vessels!B24</f>
        <v>Vessel 20</v>
      </c>
      <c r="B2219" s="9" t="s">
        <v>117</v>
      </c>
      <c r="C2219" s="7" t="s">
        <v>129</v>
      </c>
      <c r="D2219" s="9" t="s">
        <v>59</v>
      </c>
      <c r="E2219" s="9" t="s">
        <v>58</v>
      </c>
      <c r="F2219" s="5"/>
      <c r="G2219" s="10"/>
      <c r="H2219" s="11" t="str">
        <f aca="false">IFERROR(IF($D2219="Manual Review","",IF($G2219="","",IF($D2219="Direct Expiry",$G2219,EDATE($G2219,$F2219)))),"Check Date")</f>
        <v/>
      </c>
      <c r="I2219" s="12" t="str">
        <f aca="true">IF($H2219="","",IF(ISNUMBER($H2219),$H2219-TODAY(),""))</f>
        <v/>
      </c>
      <c r="J2219" s="4" t="str">
        <f aca="true">IF($D2219="Manual Review","Manual Review",IF($G2219="","No Data",IF(NOT(ISNUMBER($H2219)),"N/A",IF($H2219&lt;TODAY(),"Overdue",IF($H2219&lt;=TODAY()+30,"Due within 1 Month",IF($H2219&lt;=TODAY()+60,"Due within 2 Months","OK"))))))</f>
        <v>No Data</v>
      </c>
      <c r="K2219" s="13"/>
    </row>
    <row r="2220" customFormat="false" ht="15" hidden="false" customHeight="false" outlineLevel="0" collapsed="false">
      <c r="A2220" s="9" t="str">
        <f aca="false">Vessels!B24</f>
        <v>Vessel 20</v>
      </c>
      <c r="B2220" s="9" t="s">
        <v>117</v>
      </c>
      <c r="C2220" s="7" t="s">
        <v>130</v>
      </c>
      <c r="D2220" s="9" t="s">
        <v>45</v>
      </c>
      <c r="E2220" s="9" t="s">
        <v>44</v>
      </c>
      <c r="F2220" s="5" t="n">
        <v>12</v>
      </c>
      <c r="G2220" s="10"/>
      <c r="H2220" s="11" t="str">
        <f aca="false">IFERROR(IF($D2220="Manual Review","",IF($G2220="","",IF($D2220="Direct Expiry",$G2220,EDATE($G2220,$F2220)))),"Check Date")</f>
        <v/>
      </c>
      <c r="I2220" s="12" t="str">
        <f aca="true">IF($H2220="","",IF(ISNUMBER($H2220),$H2220-TODAY(),""))</f>
        <v/>
      </c>
      <c r="J2220" s="4" t="str">
        <f aca="true">IF($D2220="Manual Review","Manual Review",IF($G2220="","No Data",IF(NOT(ISNUMBER($H2220)),"N/A",IF($H2220&lt;TODAY(),"Overdue",IF($H2220&lt;=TODAY()+30,"Due within 1 Month",IF($H2220&lt;=TODAY()+60,"Due within 2 Months","OK"))))))</f>
        <v>No Data</v>
      </c>
      <c r="K2220" s="13"/>
    </row>
    <row r="2221" customFormat="false" ht="15" hidden="false" customHeight="false" outlineLevel="0" collapsed="false">
      <c r="A2221" s="9" t="str">
        <f aca="false">Vessels!B24</f>
        <v>Vessel 20</v>
      </c>
      <c r="B2221" s="9" t="s">
        <v>117</v>
      </c>
      <c r="C2221" s="7" t="s">
        <v>131</v>
      </c>
      <c r="D2221" s="9" t="s">
        <v>45</v>
      </c>
      <c r="E2221" s="9" t="s">
        <v>44</v>
      </c>
      <c r="F2221" s="5" t="n">
        <v>12</v>
      </c>
      <c r="G2221" s="10"/>
      <c r="H2221" s="11" t="str">
        <f aca="false">IFERROR(IF($D2221="Manual Review","",IF($G2221="","",IF($D2221="Direct Expiry",$G2221,EDATE($G2221,$F2221)))),"Check Date")</f>
        <v/>
      </c>
      <c r="I2221" s="12" t="str">
        <f aca="true">IF($H2221="","",IF(ISNUMBER($H2221),$H2221-TODAY(),""))</f>
        <v/>
      </c>
      <c r="J2221" s="4" t="str">
        <f aca="true">IF($D2221="Manual Review","Manual Review",IF($G2221="","No Data",IF(NOT(ISNUMBER($H2221)),"N/A",IF($H2221&lt;TODAY(),"Overdue",IF($H2221&lt;=TODAY()+30,"Due within 1 Month",IF($H2221&lt;=TODAY()+60,"Due within 2 Months","OK"))))))</f>
        <v>No Data</v>
      </c>
      <c r="K2221" s="13"/>
    </row>
    <row r="2222" customFormat="false" ht="15" hidden="false" customHeight="false" outlineLevel="0" collapsed="false">
      <c r="A2222" s="9" t="str">
        <f aca="false">Vessels!B24</f>
        <v>Vessel 20</v>
      </c>
      <c r="B2222" s="9" t="s">
        <v>117</v>
      </c>
      <c r="C2222" s="7" t="s">
        <v>132</v>
      </c>
      <c r="D2222" s="9" t="s">
        <v>45</v>
      </c>
      <c r="E2222" s="9" t="s">
        <v>44</v>
      </c>
      <c r="F2222" s="5" t="n">
        <v>12</v>
      </c>
      <c r="G2222" s="10"/>
      <c r="H2222" s="11" t="str">
        <f aca="false">IFERROR(IF($D2222="Manual Review","",IF($G2222="","",IF($D2222="Direct Expiry",$G2222,EDATE($G2222,$F2222)))),"Check Date")</f>
        <v/>
      </c>
      <c r="I2222" s="12" t="str">
        <f aca="true">IF($H2222="","",IF(ISNUMBER($H2222),$H2222-TODAY(),""))</f>
        <v/>
      </c>
      <c r="J2222" s="4" t="str">
        <f aca="true">IF($D2222="Manual Review","Manual Review",IF($G2222="","No Data",IF(NOT(ISNUMBER($H2222)),"N/A",IF($H2222&lt;TODAY(),"Overdue",IF($H2222&lt;=TODAY()+30,"Due within 1 Month",IF($H2222&lt;=TODAY()+60,"Due within 2 Months","OK"))))))</f>
        <v>No Data</v>
      </c>
      <c r="K2222" s="13"/>
    </row>
    <row r="2223" customFormat="false" ht="15" hidden="false" customHeight="false" outlineLevel="0" collapsed="false">
      <c r="A2223" s="9" t="str">
        <f aca="false">Vessels!B24</f>
        <v>Vessel 20</v>
      </c>
      <c r="B2223" s="9" t="s">
        <v>117</v>
      </c>
      <c r="C2223" s="7" t="s">
        <v>133</v>
      </c>
      <c r="D2223" s="9" t="s">
        <v>45</v>
      </c>
      <c r="E2223" s="9" t="s">
        <v>44</v>
      </c>
      <c r="F2223" s="5" t="n">
        <v>12</v>
      </c>
      <c r="G2223" s="10"/>
      <c r="H2223" s="11" t="str">
        <f aca="false">IFERROR(IF($D2223="Manual Review","",IF($G2223="","",IF($D2223="Direct Expiry",$G2223,EDATE($G2223,$F2223)))),"Check Date")</f>
        <v/>
      </c>
      <c r="I2223" s="12" t="str">
        <f aca="true">IF($H2223="","",IF(ISNUMBER($H2223),$H2223-TODAY(),""))</f>
        <v/>
      </c>
      <c r="J2223" s="4" t="str">
        <f aca="true">IF($D2223="Manual Review","Manual Review",IF($G2223="","No Data",IF(NOT(ISNUMBER($H2223)),"N/A",IF($H2223&lt;TODAY(),"Overdue",IF($H2223&lt;=TODAY()+30,"Due within 1 Month",IF($H2223&lt;=TODAY()+60,"Due within 2 Months","OK"))))))</f>
        <v>No Data</v>
      </c>
      <c r="K2223" s="13"/>
    </row>
    <row r="2224" customFormat="false" ht="15" hidden="false" customHeight="false" outlineLevel="0" collapsed="false">
      <c r="A2224" s="9" t="str">
        <f aca="false">Vessels!B24</f>
        <v>Vessel 20</v>
      </c>
      <c r="B2224" s="9" t="s">
        <v>117</v>
      </c>
      <c r="C2224" s="7" t="s">
        <v>134</v>
      </c>
      <c r="D2224" s="9" t="s">
        <v>45</v>
      </c>
      <c r="E2224" s="9" t="s">
        <v>44</v>
      </c>
      <c r="F2224" s="5" t="n">
        <v>12</v>
      </c>
      <c r="G2224" s="10"/>
      <c r="H2224" s="11" t="str">
        <f aca="false">IFERROR(IF($D2224="Manual Review","",IF($G2224="","",IF($D2224="Direct Expiry",$G2224,EDATE($G2224,$F2224)))),"Check Date")</f>
        <v/>
      </c>
      <c r="I2224" s="12" t="str">
        <f aca="true">IF($H2224="","",IF(ISNUMBER($H2224),$H2224-TODAY(),""))</f>
        <v/>
      </c>
      <c r="J2224" s="4" t="str">
        <f aca="true">IF($D2224="Manual Review","Manual Review",IF($G2224="","No Data",IF(NOT(ISNUMBER($H2224)),"N/A",IF($H2224&lt;TODAY(),"Overdue",IF($H2224&lt;=TODAY()+30,"Due within 1 Month",IF($H2224&lt;=TODAY()+60,"Due within 2 Months","OK"))))))</f>
        <v>No Data</v>
      </c>
      <c r="K2224" s="13"/>
    </row>
    <row r="2225" customFormat="false" ht="15" hidden="false" customHeight="false" outlineLevel="0" collapsed="false">
      <c r="A2225" s="9" t="str">
        <f aca="false">Vessels!B24</f>
        <v>Vessel 20</v>
      </c>
      <c r="B2225" s="9" t="s">
        <v>117</v>
      </c>
      <c r="C2225" s="7" t="s">
        <v>135</v>
      </c>
      <c r="D2225" s="9" t="s">
        <v>45</v>
      </c>
      <c r="E2225" s="9" t="s">
        <v>44</v>
      </c>
      <c r="F2225" s="5" t="n">
        <v>12</v>
      </c>
      <c r="G2225" s="10"/>
      <c r="H2225" s="11" t="str">
        <f aca="false">IFERROR(IF($D2225="Manual Review","",IF($G2225="","",IF($D2225="Direct Expiry",$G2225,EDATE($G2225,$F2225)))),"Check Date")</f>
        <v/>
      </c>
      <c r="I2225" s="12" t="str">
        <f aca="true">IF($H2225="","",IF(ISNUMBER($H2225),$H2225-TODAY(),""))</f>
        <v/>
      </c>
      <c r="J2225" s="4" t="str">
        <f aca="true">IF($D2225="Manual Review","Manual Review",IF($G2225="","No Data",IF(NOT(ISNUMBER($H2225)),"N/A",IF($H2225&lt;TODAY(),"Overdue",IF($H2225&lt;=TODAY()+30,"Due within 1 Month",IF($H2225&lt;=TODAY()+60,"Due within 2 Months","OK"))))))</f>
        <v>No Data</v>
      </c>
      <c r="K2225" s="13"/>
    </row>
    <row r="2226" customFormat="false" ht="15" hidden="false" customHeight="false" outlineLevel="0" collapsed="false">
      <c r="A2226" s="9" t="str">
        <f aca="false">Vessels!B24</f>
        <v>Vessel 20</v>
      </c>
      <c r="B2226" s="9" t="s">
        <v>136</v>
      </c>
      <c r="C2226" s="7" t="s">
        <v>137</v>
      </c>
      <c r="D2226" s="9" t="s">
        <v>45</v>
      </c>
      <c r="E2226" s="9" t="s">
        <v>44</v>
      </c>
      <c r="F2226" s="5" t="n">
        <v>12</v>
      </c>
      <c r="G2226" s="10"/>
      <c r="H2226" s="11" t="str">
        <f aca="false">IFERROR(IF($D2226="Manual Review","",IF($G2226="","",IF($D2226="Direct Expiry",$G2226,EDATE($G2226,$F2226)))),"Check Date")</f>
        <v/>
      </c>
      <c r="I2226" s="12" t="str">
        <f aca="true">IF($H2226="","",IF(ISNUMBER($H2226),$H2226-TODAY(),""))</f>
        <v/>
      </c>
      <c r="J2226" s="4" t="str">
        <f aca="true">IF($D2226="Manual Review","Manual Review",IF($G2226="","No Data",IF(NOT(ISNUMBER($H2226)),"N/A",IF($H2226&lt;TODAY(),"Overdue",IF($H2226&lt;=TODAY()+30,"Due within 1 Month",IF($H2226&lt;=TODAY()+60,"Due within 2 Months","OK"))))))</f>
        <v>No Data</v>
      </c>
      <c r="K2226" s="13"/>
    </row>
    <row r="2227" customFormat="false" ht="15" hidden="false" customHeight="false" outlineLevel="0" collapsed="false">
      <c r="A2227" s="9" t="str">
        <f aca="false">Vessels!B24</f>
        <v>Vessel 20</v>
      </c>
      <c r="B2227" s="9" t="s">
        <v>136</v>
      </c>
      <c r="C2227" s="7" t="s">
        <v>138</v>
      </c>
      <c r="D2227" s="9" t="s">
        <v>45</v>
      </c>
      <c r="E2227" s="9" t="s">
        <v>44</v>
      </c>
      <c r="F2227" s="5" t="n">
        <v>12</v>
      </c>
      <c r="G2227" s="10"/>
      <c r="H2227" s="11" t="str">
        <f aca="false">IFERROR(IF($D2227="Manual Review","",IF($G2227="","",IF($D2227="Direct Expiry",$G2227,EDATE($G2227,$F2227)))),"Check Date")</f>
        <v/>
      </c>
      <c r="I2227" s="12" t="str">
        <f aca="true">IF($H2227="","",IF(ISNUMBER($H2227),$H2227-TODAY(),""))</f>
        <v/>
      </c>
      <c r="J2227" s="4" t="str">
        <f aca="true">IF($D2227="Manual Review","Manual Review",IF($G2227="","No Data",IF(NOT(ISNUMBER($H2227)),"N/A",IF($H2227&lt;TODAY(),"Overdue",IF($H2227&lt;=TODAY()+30,"Due within 1 Month",IF($H2227&lt;=TODAY()+60,"Due within 2 Months","OK"))))))</f>
        <v>No Data</v>
      </c>
      <c r="K2227" s="13"/>
    </row>
    <row r="2228" customFormat="false" ht="15" hidden="false" customHeight="false" outlineLevel="0" collapsed="false">
      <c r="A2228" s="9" t="str">
        <f aca="false">Vessels!B24</f>
        <v>Vessel 20</v>
      </c>
      <c r="B2228" s="9" t="s">
        <v>136</v>
      </c>
      <c r="C2228" s="7" t="s">
        <v>139</v>
      </c>
      <c r="D2228" s="9" t="s">
        <v>45</v>
      </c>
      <c r="E2228" s="9" t="s">
        <v>140</v>
      </c>
      <c r="F2228" s="5" t="n">
        <v>12</v>
      </c>
      <c r="G2228" s="10"/>
      <c r="H2228" s="11" t="str">
        <f aca="false">IFERROR(IF($D2228="Manual Review","",IF($G2228="","",IF($D2228="Direct Expiry",$G2228,EDATE($G2228,$F2228)))),"Check Date")</f>
        <v/>
      </c>
      <c r="I2228" s="12" t="str">
        <f aca="true">IF($H2228="","",IF(ISNUMBER($H2228),$H2228-TODAY(),""))</f>
        <v/>
      </c>
      <c r="J2228" s="4" t="str">
        <f aca="true">IF($D2228="Manual Review","Manual Review",IF($G2228="","No Data",IF(NOT(ISNUMBER($H2228)),"N/A",IF($H2228&lt;TODAY(),"Overdue",IF($H2228&lt;=TODAY()+30,"Due within 1 Month",IF($H2228&lt;=TODAY()+60,"Due within 2 Months","OK"))))))</f>
        <v>No Data</v>
      </c>
      <c r="K2228" s="13"/>
    </row>
    <row r="2229" customFormat="false" ht="15" hidden="false" customHeight="false" outlineLevel="0" collapsed="false">
      <c r="A2229" s="9" t="str">
        <f aca="false">Vessels!B24</f>
        <v>Vessel 20</v>
      </c>
      <c r="B2229" s="9" t="s">
        <v>136</v>
      </c>
      <c r="C2229" s="7" t="s">
        <v>141</v>
      </c>
      <c r="D2229" s="9" t="s">
        <v>45</v>
      </c>
      <c r="E2229" s="9" t="s">
        <v>44</v>
      </c>
      <c r="F2229" s="5" t="n">
        <v>12</v>
      </c>
      <c r="G2229" s="10"/>
      <c r="H2229" s="11" t="str">
        <f aca="false">IFERROR(IF($D2229="Manual Review","",IF($G2229="","",IF($D2229="Direct Expiry",$G2229,EDATE($G2229,$F2229)))),"Check Date")</f>
        <v/>
      </c>
      <c r="I2229" s="12" t="str">
        <f aca="true">IF($H2229="","",IF(ISNUMBER($H2229),$H2229-TODAY(),""))</f>
        <v/>
      </c>
      <c r="J2229" s="4" t="str">
        <f aca="true">IF($D2229="Manual Review","Manual Review",IF($G2229="","No Data",IF(NOT(ISNUMBER($H2229)),"N/A",IF($H2229&lt;TODAY(),"Overdue",IF($H2229&lt;=TODAY()+30,"Due within 1 Month",IF($H2229&lt;=TODAY()+60,"Due within 2 Months","OK"))))))</f>
        <v>No Data</v>
      </c>
      <c r="K2229" s="13"/>
    </row>
    <row r="2230" customFormat="false" ht="15" hidden="false" customHeight="false" outlineLevel="0" collapsed="false">
      <c r="A2230" s="9" t="str">
        <f aca="false">Vessels!B24</f>
        <v>Vessel 20</v>
      </c>
      <c r="B2230" s="9" t="s">
        <v>136</v>
      </c>
      <c r="C2230" s="7" t="s">
        <v>142</v>
      </c>
      <c r="D2230" s="9" t="s">
        <v>115</v>
      </c>
      <c r="E2230" s="9" t="s">
        <v>143</v>
      </c>
      <c r="F2230" s="5"/>
      <c r="G2230" s="10"/>
      <c r="H2230" s="11" t="str">
        <f aca="false">IFERROR(IF($D2230="Manual Review","",IF($G2230="","",IF($D2230="Direct Expiry",$G2230,EDATE($G2230,$F2230)))),"Check Date")</f>
        <v/>
      </c>
      <c r="I2230" s="12" t="str">
        <f aca="true">IF($H2230="","",IF(ISNUMBER($H2230),$H2230-TODAY(),""))</f>
        <v/>
      </c>
      <c r="J2230" s="4" t="str">
        <f aca="true">IF($D2230="Manual Review","Manual Review",IF($G2230="","No Data",IF(NOT(ISNUMBER($H2230)),"N/A",IF($H2230&lt;TODAY(),"Overdue",IF($H2230&lt;=TODAY()+30,"Due within 1 Month",IF($H2230&lt;=TODAY()+60,"Due within 2 Months","OK"))))))</f>
        <v>Manual Review</v>
      </c>
      <c r="K2230" s="13"/>
    </row>
    <row r="2231" customFormat="false" ht="15" hidden="false" customHeight="false" outlineLevel="0" collapsed="false">
      <c r="A2231" s="9" t="str">
        <f aca="false">Vessels!B24</f>
        <v>Vessel 20</v>
      </c>
      <c r="B2231" s="9" t="s">
        <v>136</v>
      </c>
      <c r="C2231" s="7" t="s">
        <v>144</v>
      </c>
      <c r="D2231" s="9" t="s">
        <v>45</v>
      </c>
      <c r="E2231" s="9" t="s">
        <v>44</v>
      </c>
      <c r="F2231" s="5" t="n">
        <v>12</v>
      </c>
      <c r="G2231" s="10"/>
      <c r="H2231" s="11" t="str">
        <f aca="false">IFERROR(IF($D2231="Manual Review","",IF($G2231="","",IF($D2231="Direct Expiry",$G2231,EDATE($G2231,$F2231)))),"Check Date")</f>
        <v/>
      </c>
      <c r="I2231" s="12" t="str">
        <f aca="true">IF($H2231="","",IF(ISNUMBER($H2231),$H2231-TODAY(),""))</f>
        <v/>
      </c>
      <c r="J2231" s="4" t="str">
        <f aca="true">IF($D2231="Manual Review","Manual Review",IF($G2231="","No Data",IF(NOT(ISNUMBER($H2231)),"N/A",IF($H2231&lt;TODAY(),"Overdue",IF($H2231&lt;=TODAY()+30,"Due within 1 Month",IF($H2231&lt;=TODAY()+60,"Due within 2 Months","OK"))))))</f>
        <v>No Data</v>
      </c>
      <c r="K2231" s="13"/>
    </row>
    <row r="2232" customFormat="false" ht="15" hidden="false" customHeight="false" outlineLevel="0" collapsed="false">
      <c r="A2232" s="9" t="str">
        <f aca="false">Vessels!B24</f>
        <v>Vessel 20</v>
      </c>
      <c r="B2232" s="9" t="s">
        <v>136</v>
      </c>
      <c r="C2232" s="7" t="s">
        <v>145</v>
      </c>
      <c r="D2232" s="9" t="s">
        <v>45</v>
      </c>
      <c r="E2232" s="9" t="s">
        <v>44</v>
      </c>
      <c r="F2232" s="5" t="n">
        <v>12</v>
      </c>
      <c r="G2232" s="10"/>
      <c r="H2232" s="11" t="str">
        <f aca="false">IFERROR(IF($D2232="Manual Review","",IF($G2232="","",IF($D2232="Direct Expiry",$G2232,EDATE($G2232,$F2232)))),"Check Date")</f>
        <v/>
      </c>
      <c r="I2232" s="12" t="str">
        <f aca="true">IF($H2232="","",IF(ISNUMBER($H2232),$H2232-TODAY(),""))</f>
        <v/>
      </c>
      <c r="J2232" s="4" t="str">
        <f aca="true">IF($D2232="Manual Review","Manual Review",IF($G2232="","No Data",IF(NOT(ISNUMBER($H2232)),"N/A",IF($H2232&lt;TODAY(),"Overdue",IF($H2232&lt;=TODAY()+30,"Due within 1 Month",IF($H2232&lt;=TODAY()+60,"Due within 2 Months","OK"))))))</f>
        <v>No Data</v>
      </c>
      <c r="K2232" s="13"/>
    </row>
    <row r="2233" customFormat="false" ht="15" hidden="false" customHeight="false" outlineLevel="0" collapsed="false">
      <c r="A2233" s="9" t="str">
        <f aca="false">Vessels!B24</f>
        <v>Vessel 20</v>
      </c>
      <c r="B2233" s="9" t="s">
        <v>136</v>
      </c>
      <c r="C2233" s="7" t="s">
        <v>146</v>
      </c>
      <c r="D2233" s="9" t="s">
        <v>45</v>
      </c>
      <c r="E2233" s="9" t="s">
        <v>44</v>
      </c>
      <c r="F2233" s="5" t="n">
        <v>12</v>
      </c>
      <c r="G2233" s="10"/>
      <c r="H2233" s="11" t="str">
        <f aca="false">IFERROR(IF($D2233="Manual Review","",IF($G2233="","",IF($D2233="Direct Expiry",$G2233,EDATE($G2233,$F2233)))),"Check Date")</f>
        <v/>
      </c>
      <c r="I2233" s="12" t="str">
        <f aca="true">IF($H2233="","",IF(ISNUMBER($H2233),$H2233-TODAY(),""))</f>
        <v/>
      </c>
      <c r="J2233" s="4" t="str">
        <f aca="true">IF($D2233="Manual Review","Manual Review",IF($G2233="","No Data",IF(NOT(ISNUMBER($H2233)),"N/A",IF($H2233&lt;TODAY(),"Overdue",IF($H2233&lt;=TODAY()+30,"Due within 1 Month",IF($H2233&lt;=TODAY()+60,"Due within 2 Months","OK"))))))</f>
        <v>No Data</v>
      </c>
      <c r="K2233" s="13"/>
    </row>
    <row r="2234" customFormat="false" ht="15" hidden="false" customHeight="false" outlineLevel="0" collapsed="false">
      <c r="A2234" s="9" t="str">
        <f aca="false">Vessels!B24</f>
        <v>Vessel 20</v>
      </c>
      <c r="B2234" s="9" t="s">
        <v>136</v>
      </c>
      <c r="C2234" s="7" t="s">
        <v>147</v>
      </c>
      <c r="D2234" s="9" t="s">
        <v>45</v>
      </c>
      <c r="E2234" s="9" t="s">
        <v>44</v>
      </c>
      <c r="F2234" s="5" t="n">
        <v>12</v>
      </c>
      <c r="G2234" s="10"/>
      <c r="H2234" s="11" t="str">
        <f aca="false">IFERROR(IF($D2234="Manual Review","",IF($G2234="","",IF($D2234="Direct Expiry",$G2234,EDATE($G2234,$F2234)))),"Check Date")</f>
        <v/>
      </c>
      <c r="I2234" s="12" t="str">
        <f aca="true">IF($H2234="","",IF(ISNUMBER($H2234),$H2234-TODAY(),""))</f>
        <v/>
      </c>
      <c r="J2234" s="4" t="str">
        <f aca="true">IF($D2234="Manual Review","Manual Review",IF($G2234="","No Data",IF(NOT(ISNUMBER($H2234)),"N/A",IF($H2234&lt;TODAY(),"Overdue",IF($H2234&lt;=TODAY()+30,"Due within 1 Month",IF($H2234&lt;=TODAY()+60,"Due within 2 Months","OK"))))))</f>
        <v>No Data</v>
      </c>
      <c r="K2234" s="13"/>
    </row>
    <row r="2235" customFormat="false" ht="15" hidden="false" customHeight="false" outlineLevel="0" collapsed="false">
      <c r="A2235" s="9" t="str">
        <f aca="false">Vessels!B24</f>
        <v>Vessel 20</v>
      </c>
      <c r="B2235" s="9" t="s">
        <v>136</v>
      </c>
      <c r="C2235" s="7" t="s">
        <v>148</v>
      </c>
      <c r="D2235" s="9" t="s">
        <v>45</v>
      </c>
      <c r="E2235" s="9" t="s">
        <v>44</v>
      </c>
      <c r="F2235" s="5" t="n">
        <v>12</v>
      </c>
      <c r="G2235" s="10"/>
      <c r="H2235" s="11" t="str">
        <f aca="false">IFERROR(IF($D2235="Manual Review","",IF($G2235="","",IF($D2235="Direct Expiry",$G2235,EDATE($G2235,$F2235)))),"Check Date")</f>
        <v/>
      </c>
      <c r="I2235" s="12" t="str">
        <f aca="true">IF($H2235="","",IF(ISNUMBER($H2235),$H2235-TODAY(),""))</f>
        <v/>
      </c>
      <c r="J2235" s="4" t="str">
        <f aca="true">IF($D2235="Manual Review","Manual Review",IF($G2235="","No Data",IF(NOT(ISNUMBER($H2235)),"N/A",IF($H2235&lt;TODAY(),"Overdue",IF($H2235&lt;=TODAY()+30,"Due within 1 Month",IF($H2235&lt;=TODAY()+60,"Due within 2 Months","OK"))))))</f>
        <v>No Data</v>
      </c>
      <c r="K2235" s="13"/>
    </row>
    <row r="2236" customFormat="false" ht="15" hidden="false" customHeight="false" outlineLevel="0" collapsed="false">
      <c r="A2236" s="9" t="str">
        <f aca="false">Vessels!B24</f>
        <v>Vessel 20</v>
      </c>
      <c r="B2236" s="9" t="s">
        <v>136</v>
      </c>
      <c r="C2236" s="7" t="s">
        <v>149</v>
      </c>
      <c r="D2236" s="9" t="s">
        <v>45</v>
      </c>
      <c r="E2236" s="9" t="s">
        <v>44</v>
      </c>
      <c r="F2236" s="5" t="n">
        <v>12</v>
      </c>
      <c r="G2236" s="10"/>
      <c r="H2236" s="11" t="str">
        <f aca="false">IFERROR(IF($D2236="Manual Review","",IF($G2236="","",IF($D2236="Direct Expiry",$G2236,EDATE($G2236,$F2236)))),"Check Date")</f>
        <v/>
      </c>
      <c r="I2236" s="12" t="str">
        <f aca="true">IF($H2236="","",IF(ISNUMBER($H2236),$H2236-TODAY(),""))</f>
        <v/>
      </c>
      <c r="J2236" s="4" t="str">
        <f aca="true">IF($D2236="Manual Review","Manual Review",IF($G2236="","No Data",IF(NOT(ISNUMBER($H2236)),"N/A",IF($H2236&lt;TODAY(),"Overdue",IF($H2236&lt;=TODAY()+30,"Due within 1 Month",IF($H2236&lt;=TODAY()+60,"Due within 2 Months","OK"))))))</f>
        <v>No Data</v>
      </c>
      <c r="K2236" s="13"/>
    </row>
    <row r="2237" customFormat="false" ht="15" hidden="false" customHeight="false" outlineLevel="0" collapsed="false">
      <c r="A2237" s="9" t="str">
        <f aca="false">Vessels!B24</f>
        <v>Vessel 20</v>
      </c>
      <c r="B2237" s="9" t="s">
        <v>136</v>
      </c>
      <c r="C2237" s="7" t="s">
        <v>150</v>
      </c>
      <c r="D2237" s="9" t="s">
        <v>45</v>
      </c>
      <c r="E2237" s="9" t="s">
        <v>44</v>
      </c>
      <c r="F2237" s="5" t="n">
        <v>12</v>
      </c>
      <c r="G2237" s="10"/>
      <c r="H2237" s="11" t="str">
        <f aca="false">IFERROR(IF($D2237="Manual Review","",IF($G2237="","",IF($D2237="Direct Expiry",$G2237,EDATE($G2237,$F2237)))),"Check Date")</f>
        <v/>
      </c>
      <c r="I2237" s="12" t="str">
        <f aca="true">IF($H2237="","",IF(ISNUMBER($H2237),$H2237-TODAY(),""))</f>
        <v/>
      </c>
      <c r="J2237" s="4" t="str">
        <f aca="true">IF($D2237="Manual Review","Manual Review",IF($G2237="","No Data",IF(NOT(ISNUMBER($H2237)),"N/A",IF($H2237&lt;TODAY(),"Overdue",IF($H2237&lt;=TODAY()+30,"Due within 1 Month",IF($H2237&lt;=TODAY()+60,"Due within 2 Months","OK"))))))</f>
        <v>No Data</v>
      </c>
      <c r="K2237" s="13"/>
    </row>
    <row r="2238" customFormat="false" ht="15" hidden="false" customHeight="false" outlineLevel="0" collapsed="false">
      <c r="A2238" s="9" t="str">
        <f aca="false">Vessels!B24</f>
        <v>Vessel 20</v>
      </c>
      <c r="B2238" s="9" t="s">
        <v>136</v>
      </c>
      <c r="C2238" s="7" t="s">
        <v>151</v>
      </c>
      <c r="D2238" s="9" t="s">
        <v>45</v>
      </c>
      <c r="E2238" s="9" t="s">
        <v>44</v>
      </c>
      <c r="F2238" s="5" t="n">
        <v>12</v>
      </c>
      <c r="G2238" s="10"/>
      <c r="H2238" s="11" t="str">
        <f aca="false">IFERROR(IF($D2238="Manual Review","",IF($G2238="","",IF($D2238="Direct Expiry",$G2238,EDATE($G2238,$F2238)))),"Check Date")</f>
        <v/>
      </c>
      <c r="I2238" s="12" t="str">
        <f aca="true">IF($H2238="","",IF(ISNUMBER($H2238),$H2238-TODAY(),""))</f>
        <v/>
      </c>
      <c r="J2238" s="4" t="str">
        <f aca="true">IF($D2238="Manual Review","Manual Review",IF($G2238="","No Data",IF(NOT(ISNUMBER($H2238)),"N/A",IF($H2238&lt;TODAY(),"Overdue",IF($H2238&lt;=TODAY()+30,"Due within 1 Month",IF($H2238&lt;=TODAY()+60,"Due within 2 Months","OK"))))))</f>
        <v>No Data</v>
      </c>
      <c r="K2238" s="13"/>
    </row>
    <row r="2239" customFormat="false" ht="15" hidden="false" customHeight="false" outlineLevel="0" collapsed="false">
      <c r="A2239" s="9" t="str">
        <f aca="false">Vessels!B24</f>
        <v>Vessel 20</v>
      </c>
      <c r="B2239" s="9" t="s">
        <v>136</v>
      </c>
      <c r="C2239" s="7" t="s">
        <v>152</v>
      </c>
      <c r="D2239" s="9" t="s">
        <v>45</v>
      </c>
      <c r="E2239" s="9" t="s">
        <v>44</v>
      </c>
      <c r="F2239" s="5" t="n">
        <v>12</v>
      </c>
      <c r="G2239" s="10"/>
      <c r="H2239" s="11" t="str">
        <f aca="false">IFERROR(IF($D2239="Manual Review","",IF($G2239="","",IF($D2239="Direct Expiry",$G2239,EDATE($G2239,$F2239)))),"Check Date")</f>
        <v/>
      </c>
      <c r="I2239" s="12" t="str">
        <f aca="true">IF($H2239="","",IF(ISNUMBER($H2239),$H2239-TODAY(),""))</f>
        <v/>
      </c>
      <c r="J2239" s="4" t="str">
        <f aca="true">IF($D2239="Manual Review","Manual Review",IF($G2239="","No Data",IF(NOT(ISNUMBER($H2239)),"N/A",IF($H2239&lt;TODAY(),"Overdue",IF($H2239&lt;=TODAY()+30,"Due within 1 Month",IF($H2239&lt;=TODAY()+60,"Due within 2 Months","OK"))))))</f>
        <v>No Data</v>
      </c>
      <c r="K2239" s="13"/>
    </row>
    <row r="2240" customFormat="false" ht="15" hidden="false" customHeight="false" outlineLevel="0" collapsed="false">
      <c r="A2240" s="9" t="str">
        <f aca="false">Vessels!B24</f>
        <v>Vessel 20</v>
      </c>
      <c r="B2240" s="9" t="s">
        <v>136</v>
      </c>
      <c r="C2240" s="7" t="s">
        <v>153</v>
      </c>
      <c r="D2240" s="9" t="s">
        <v>45</v>
      </c>
      <c r="E2240" s="9" t="s">
        <v>44</v>
      </c>
      <c r="F2240" s="5" t="n">
        <v>12</v>
      </c>
      <c r="G2240" s="10"/>
      <c r="H2240" s="11" t="str">
        <f aca="false">IFERROR(IF($D2240="Manual Review","",IF($G2240="","",IF($D2240="Direct Expiry",$G2240,EDATE($G2240,$F2240)))),"Check Date")</f>
        <v/>
      </c>
      <c r="I2240" s="12" t="str">
        <f aca="true">IF($H2240="","",IF(ISNUMBER($H2240),$H2240-TODAY(),""))</f>
        <v/>
      </c>
      <c r="J2240" s="4" t="str">
        <f aca="true">IF($D2240="Manual Review","Manual Review",IF($G2240="","No Data",IF(NOT(ISNUMBER($H2240)),"N/A",IF($H2240&lt;TODAY(),"Overdue",IF($H2240&lt;=TODAY()+30,"Due within 1 Month",IF($H2240&lt;=TODAY()+60,"Due within 2 Months","OK"))))))</f>
        <v>No Data</v>
      </c>
      <c r="K2240" s="13"/>
    </row>
    <row r="2241" customFormat="false" ht="15" hidden="false" customHeight="false" outlineLevel="0" collapsed="false">
      <c r="A2241" s="9" t="str">
        <f aca="false">Vessels!B24</f>
        <v>Vessel 20</v>
      </c>
      <c r="B2241" s="9" t="s">
        <v>136</v>
      </c>
      <c r="C2241" s="7" t="s">
        <v>154</v>
      </c>
      <c r="D2241" s="9" t="s">
        <v>45</v>
      </c>
      <c r="E2241" s="9" t="s">
        <v>44</v>
      </c>
      <c r="F2241" s="5" t="n">
        <v>12</v>
      </c>
      <c r="G2241" s="10"/>
      <c r="H2241" s="11" t="str">
        <f aca="false">IFERROR(IF($D2241="Manual Review","",IF($G2241="","",IF($D2241="Direct Expiry",$G2241,EDATE($G2241,$F2241)))),"Check Date")</f>
        <v/>
      </c>
      <c r="I2241" s="12" t="str">
        <f aca="true">IF($H2241="","",IF(ISNUMBER($H2241),$H2241-TODAY(),""))</f>
        <v/>
      </c>
      <c r="J2241" s="4" t="str">
        <f aca="true">IF($D2241="Manual Review","Manual Review",IF($G2241="","No Data",IF(NOT(ISNUMBER($H2241)),"N/A",IF($H2241&lt;TODAY(),"Overdue",IF($H2241&lt;=TODAY()+30,"Due within 1 Month",IF($H2241&lt;=TODAY()+60,"Due within 2 Months","OK"))))))</f>
        <v>No Data</v>
      </c>
      <c r="K2241" s="13"/>
    </row>
    <row r="2242" customFormat="false" ht="15" hidden="false" customHeight="false" outlineLevel="0" collapsed="false">
      <c r="A2242" s="9" t="str">
        <f aca="false">Vessels!B24</f>
        <v>Vessel 20</v>
      </c>
      <c r="B2242" s="9" t="s">
        <v>136</v>
      </c>
      <c r="C2242" s="7" t="s">
        <v>155</v>
      </c>
      <c r="D2242" s="9" t="s">
        <v>45</v>
      </c>
      <c r="E2242" s="9" t="s">
        <v>44</v>
      </c>
      <c r="F2242" s="5" t="n">
        <v>12</v>
      </c>
      <c r="G2242" s="10"/>
      <c r="H2242" s="11" t="str">
        <f aca="false">IFERROR(IF($D2242="Manual Review","",IF($G2242="","",IF($D2242="Direct Expiry",$G2242,EDATE($G2242,$F2242)))),"Check Date")</f>
        <v/>
      </c>
      <c r="I2242" s="12" t="str">
        <f aca="true">IF($H2242="","",IF(ISNUMBER($H2242),$H2242-TODAY(),""))</f>
        <v/>
      </c>
      <c r="J2242" s="4" t="str">
        <f aca="true">IF($D2242="Manual Review","Manual Review",IF($G2242="","No Data",IF(NOT(ISNUMBER($H2242)),"N/A",IF($H2242&lt;TODAY(),"Overdue",IF($H2242&lt;=TODAY()+30,"Due within 1 Month",IF($H2242&lt;=TODAY()+60,"Due within 2 Months","OK"))))))</f>
        <v>No Data</v>
      </c>
      <c r="K2242" s="13"/>
    </row>
    <row r="2243" customFormat="false" ht="15" hidden="false" customHeight="false" outlineLevel="0" collapsed="false">
      <c r="A2243" s="9" t="str">
        <f aca="false">Vessels!B24</f>
        <v>Vessel 20</v>
      </c>
      <c r="B2243" s="9" t="s">
        <v>136</v>
      </c>
      <c r="C2243" s="7" t="s">
        <v>156</v>
      </c>
      <c r="D2243" s="9" t="s">
        <v>45</v>
      </c>
      <c r="E2243" s="9" t="s">
        <v>44</v>
      </c>
      <c r="F2243" s="5" t="n">
        <v>12</v>
      </c>
      <c r="G2243" s="10"/>
      <c r="H2243" s="11" t="str">
        <f aca="false">IFERROR(IF($D2243="Manual Review","",IF($G2243="","",IF($D2243="Direct Expiry",$G2243,EDATE($G2243,$F2243)))),"Check Date")</f>
        <v/>
      </c>
      <c r="I2243" s="12" t="str">
        <f aca="true">IF($H2243="","",IF(ISNUMBER($H2243),$H2243-TODAY(),""))</f>
        <v/>
      </c>
      <c r="J2243" s="4" t="str">
        <f aca="true">IF($D2243="Manual Review","Manual Review",IF($G2243="","No Data",IF(NOT(ISNUMBER($H2243)),"N/A",IF($H2243&lt;TODAY(),"Overdue",IF($H2243&lt;=TODAY()+30,"Due within 1 Month",IF($H2243&lt;=TODAY()+60,"Due within 2 Months","OK"))))))</f>
        <v>No Data</v>
      </c>
      <c r="K2243" s="13"/>
    </row>
    <row r="2244" customFormat="false" ht="15" hidden="false" customHeight="false" outlineLevel="0" collapsed="false">
      <c r="A2244" s="9" t="str">
        <f aca="false">Vessels!B24</f>
        <v>Vessel 20</v>
      </c>
      <c r="B2244" s="9" t="s">
        <v>136</v>
      </c>
      <c r="C2244" s="7" t="s">
        <v>157</v>
      </c>
      <c r="D2244" s="9" t="s">
        <v>45</v>
      </c>
      <c r="E2244" s="9" t="s">
        <v>44</v>
      </c>
      <c r="F2244" s="5" t="n">
        <v>12</v>
      </c>
      <c r="G2244" s="10"/>
      <c r="H2244" s="11" t="str">
        <f aca="false">IFERROR(IF($D2244="Manual Review","",IF($G2244="","",IF($D2244="Direct Expiry",$G2244,EDATE($G2244,$F2244)))),"Check Date")</f>
        <v/>
      </c>
      <c r="I2244" s="12" t="str">
        <f aca="true">IF($H2244="","",IF(ISNUMBER($H2244),$H2244-TODAY(),""))</f>
        <v/>
      </c>
      <c r="J2244" s="4" t="str">
        <f aca="true">IF($D2244="Manual Review","Manual Review",IF($G2244="","No Data",IF(NOT(ISNUMBER($H2244)),"N/A",IF($H2244&lt;TODAY(),"Overdue",IF($H2244&lt;=TODAY()+30,"Due within 1 Month",IF($H2244&lt;=TODAY()+60,"Due within 2 Months","OK"))))))</f>
        <v>No Data</v>
      </c>
      <c r="K2244" s="13"/>
    </row>
    <row r="2245" customFormat="false" ht="15" hidden="false" customHeight="false" outlineLevel="0" collapsed="false">
      <c r="A2245" s="9" t="str">
        <f aca="false">Vessels!B25</f>
        <v>Vessel 21</v>
      </c>
      <c r="B2245" s="9" t="s">
        <v>42</v>
      </c>
      <c r="C2245" s="7" t="s">
        <v>43</v>
      </c>
      <c r="D2245" s="9" t="s">
        <v>45</v>
      </c>
      <c r="E2245" s="9" t="s">
        <v>44</v>
      </c>
      <c r="F2245" s="5" t="n">
        <v>12</v>
      </c>
      <c r="G2245" s="10"/>
      <c r="H2245" s="11" t="str">
        <f aca="false">IFERROR(IF($D2245="Manual Review","",IF($G2245="","",IF($D2245="Direct Expiry",$G2245,EDATE($G2245,$F2245)))),"Check Date")</f>
        <v/>
      </c>
      <c r="I2245" s="12" t="str">
        <f aca="true">IF($H2245="","",IF(ISNUMBER($H2245),$H2245-TODAY(),""))</f>
        <v/>
      </c>
      <c r="J2245" s="4" t="str">
        <f aca="true">IF($D2245="Manual Review","Manual Review",IF($G2245="","No Data",IF(NOT(ISNUMBER($H2245)),"N/A",IF($H2245&lt;TODAY(),"Overdue",IF($H2245&lt;=TODAY()+30,"Due within 1 Month",IF($H2245&lt;=TODAY()+60,"Due within 2 Months","OK"))))))</f>
        <v>No Data</v>
      </c>
      <c r="K2245" s="13"/>
    </row>
    <row r="2246" customFormat="false" ht="15" hidden="false" customHeight="false" outlineLevel="0" collapsed="false">
      <c r="A2246" s="9" t="str">
        <f aca="false">Vessels!B25</f>
        <v>Vessel 21</v>
      </c>
      <c r="B2246" s="9" t="s">
        <v>42</v>
      </c>
      <c r="C2246" s="7" t="s">
        <v>43</v>
      </c>
      <c r="D2246" s="9" t="s">
        <v>45</v>
      </c>
      <c r="E2246" s="9" t="s">
        <v>46</v>
      </c>
      <c r="F2246" s="5" t="n">
        <v>60</v>
      </c>
      <c r="G2246" s="10"/>
      <c r="H2246" s="11" t="str">
        <f aca="false">IFERROR(IF($D2246="Manual Review","",IF($G2246="","",IF($D2246="Direct Expiry",$G2246,EDATE($G2246,$F2246)))),"Check Date")</f>
        <v/>
      </c>
      <c r="I2246" s="12" t="str">
        <f aca="true">IF($H2246="","",IF(ISNUMBER($H2246),$H2246-TODAY(),""))</f>
        <v/>
      </c>
      <c r="J2246" s="4" t="str">
        <f aca="true">IF($D2246="Manual Review","Manual Review",IF($G2246="","No Data",IF(NOT(ISNUMBER($H2246)),"N/A",IF($H2246&lt;TODAY(),"Overdue",IF($H2246&lt;=TODAY()+30,"Due within 1 Month",IF($H2246&lt;=TODAY()+60,"Due within 2 Months","OK"))))))</f>
        <v>No Data</v>
      </c>
      <c r="K2246" s="13"/>
    </row>
    <row r="2247" customFormat="false" ht="15" hidden="false" customHeight="false" outlineLevel="0" collapsed="false">
      <c r="A2247" s="9" t="str">
        <f aca="false">Vessels!B25</f>
        <v>Vessel 21</v>
      </c>
      <c r="B2247" s="9" t="s">
        <v>42</v>
      </c>
      <c r="C2247" s="7" t="s">
        <v>47</v>
      </c>
      <c r="D2247" s="9" t="s">
        <v>45</v>
      </c>
      <c r="E2247" s="9" t="s">
        <v>44</v>
      </c>
      <c r="F2247" s="5" t="n">
        <v>12</v>
      </c>
      <c r="G2247" s="10"/>
      <c r="H2247" s="11" t="str">
        <f aca="false">IFERROR(IF($D2247="Manual Review","",IF($G2247="","",IF($D2247="Direct Expiry",$G2247,EDATE($G2247,$F2247)))),"Check Date")</f>
        <v/>
      </c>
      <c r="I2247" s="12" t="str">
        <f aca="true">IF($H2247="","",IF(ISNUMBER($H2247),$H2247-TODAY(),""))</f>
        <v/>
      </c>
      <c r="J2247" s="4" t="str">
        <f aca="true">IF($D2247="Manual Review","Manual Review",IF($G2247="","No Data",IF(NOT(ISNUMBER($H2247)),"N/A",IF($H2247&lt;TODAY(),"Overdue",IF($H2247&lt;=TODAY()+30,"Due within 1 Month",IF($H2247&lt;=TODAY()+60,"Due within 2 Months","OK"))))))</f>
        <v>No Data</v>
      </c>
      <c r="K2247" s="13"/>
    </row>
    <row r="2248" customFormat="false" ht="15" hidden="false" customHeight="false" outlineLevel="0" collapsed="false">
      <c r="A2248" s="9" t="str">
        <f aca="false">Vessels!B25</f>
        <v>Vessel 21</v>
      </c>
      <c r="B2248" s="9" t="s">
        <v>42</v>
      </c>
      <c r="C2248" s="7" t="s">
        <v>47</v>
      </c>
      <c r="D2248" s="9" t="s">
        <v>45</v>
      </c>
      <c r="E2248" s="9" t="s">
        <v>46</v>
      </c>
      <c r="F2248" s="5" t="n">
        <v>60</v>
      </c>
      <c r="G2248" s="10"/>
      <c r="H2248" s="11" t="str">
        <f aca="false">IFERROR(IF($D2248="Manual Review","",IF($G2248="","",IF($D2248="Direct Expiry",$G2248,EDATE($G2248,$F2248)))),"Check Date")</f>
        <v/>
      </c>
      <c r="I2248" s="12" t="str">
        <f aca="true">IF($H2248="","",IF(ISNUMBER($H2248),$H2248-TODAY(),""))</f>
        <v/>
      </c>
      <c r="J2248" s="4" t="str">
        <f aca="true">IF($D2248="Manual Review","Manual Review",IF($G2248="","No Data",IF(NOT(ISNUMBER($H2248)),"N/A",IF($H2248&lt;TODAY(),"Overdue",IF($H2248&lt;=TODAY()+30,"Due within 1 Month",IF($H2248&lt;=TODAY()+60,"Due within 2 Months","OK"))))))</f>
        <v>No Data</v>
      </c>
      <c r="K2248" s="13"/>
    </row>
    <row r="2249" customFormat="false" ht="15" hidden="false" customHeight="false" outlineLevel="0" collapsed="false">
      <c r="A2249" s="9" t="str">
        <f aca="false">Vessels!B25</f>
        <v>Vessel 21</v>
      </c>
      <c r="B2249" s="9" t="s">
        <v>42</v>
      </c>
      <c r="C2249" s="7" t="s">
        <v>48</v>
      </c>
      <c r="D2249" s="9" t="s">
        <v>45</v>
      </c>
      <c r="E2249" s="9" t="s">
        <v>44</v>
      </c>
      <c r="F2249" s="5" t="n">
        <v>12</v>
      </c>
      <c r="G2249" s="10"/>
      <c r="H2249" s="11" t="str">
        <f aca="false">IFERROR(IF($D2249="Manual Review","",IF($G2249="","",IF($D2249="Direct Expiry",$G2249,EDATE($G2249,$F2249)))),"Check Date")</f>
        <v/>
      </c>
      <c r="I2249" s="12" t="str">
        <f aca="true">IF($H2249="","",IF(ISNUMBER($H2249),$H2249-TODAY(),""))</f>
        <v/>
      </c>
      <c r="J2249" s="4" t="str">
        <f aca="true">IF($D2249="Manual Review","Manual Review",IF($G2249="","No Data",IF(NOT(ISNUMBER($H2249)),"N/A",IF($H2249&lt;TODAY(),"Overdue",IF($H2249&lt;=TODAY()+30,"Due within 1 Month",IF($H2249&lt;=TODAY()+60,"Due within 2 Months","OK"))))))</f>
        <v>No Data</v>
      </c>
      <c r="K2249" s="13"/>
    </row>
    <row r="2250" customFormat="false" ht="15" hidden="false" customHeight="false" outlineLevel="0" collapsed="false">
      <c r="A2250" s="9" t="str">
        <f aca="false">Vessels!B25</f>
        <v>Vessel 21</v>
      </c>
      <c r="B2250" s="9" t="s">
        <v>42</v>
      </c>
      <c r="C2250" s="7" t="s">
        <v>48</v>
      </c>
      <c r="D2250" s="9" t="s">
        <v>45</v>
      </c>
      <c r="E2250" s="9" t="s">
        <v>49</v>
      </c>
      <c r="F2250" s="5" t="n">
        <v>60</v>
      </c>
      <c r="G2250" s="10"/>
      <c r="H2250" s="11" t="str">
        <f aca="false">IFERROR(IF($D2250="Manual Review","",IF($G2250="","",IF($D2250="Direct Expiry",$G2250,EDATE($G2250,$F2250)))),"Check Date")</f>
        <v/>
      </c>
      <c r="I2250" s="12" t="str">
        <f aca="true">IF($H2250="","",IF(ISNUMBER($H2250),$H2250-TODAY(),""))</f>
        <v/>
      </c>
      <c r="J2250" s="4" t="str">
        <f aca="true">IF($D2250="Manual Review","Manual Review",IF($G2250="","No Data",IF(NOT(ISNUMBER($H2250)),"N/A",IF($H2250&lt;TODAY(),"Overdue",IF($H2250&lt;=TODAY()+30,"Due within 1 Month",IF($H2250&lt;=TODAY()+60,"Due within 2 Months","OK"))))))</f>
        <v>No Data</v>
      </c>
      <c r="K2250" s="13"/>
    </row>
    <row r="2251" customFormat="false" ht="15" hidden="false" customHeight="false" outlineLevel="0" collapsed="false">
      <c r="A2251" s="9" t="str">
        <f aca="false">Vessels!B25</f>
        <v>Vessel 21</v>
      </c>
      <c r="B2251" s="9" t="s">
        <v>42</v>
      </c>
      <c r="C2251" s="7" t="s">
        <v>50</v>
      </c>
      <c r="D2251" s="9" t="s">
        <v>45</v>
      </c>
      <c r="E2251" s="9" t="s">
        <v>44</v>
      </c>
      <c r="F2251" s="5" t="n">
        <v>12</v>
      </c>
      <c r="G2251" s="10"/>
      <c r="H2251" s="11" t="str">
        <f aca="false">IFERROR(IF($D2251="Manual Review","",IF($G2251="","",IF($D2251="Direct Expiry",$G2251,EDATE($G2251,$F2251)))),"Check Date")</f>
        <v/>
      </c>
      <c r="I2251" s="12" t="str">
        <f aca="true">IF($H2251="","",IF(ISNUMBER($H2251),$H2251-TODAY(),""))</f>
        <v/>
      </c>
      <c r="J2251" s="4" t="str">
        <f aca="true">IF($D2251="Manual Review","Manual Review",IF($G2251="","No Data",IF(NOT(ISNUMBER($H2251)),"N/A",IF($H2251&lt;TODAY(),"Overdue",IF($H2251&lt;=TODAY()+30,"Due within 1 Month",IF($H2251&lt;=TODAY()+60,"Due within 2 Months","OK"))))))</f>
        <v>No Data</v>
      </c>
      <c r="K2251" s="13"/>
    </row>
    <row r="2252" customFormat="false" ht="15" hidden="false" customHeight="false" outlineLevel="0" collapsed="false">
      <c r="A2252" s="9" t="str">
        <f aca="false">Vessels!B25</f>
        <v>Vessel 21</v>
      </c>
      <c r="B2252" s="9" t="s">
        <v>42</v>
      </c>
      <c r="C2252" s="7" t="s">
        <v>50</v>
      </c>
      <c r="D2252" s="9" t="s">
        <v>45</v>
      </c>
      <c r="E2252" s="9" t="s">
        <v>49</v>
      </c>
      <c r="F2252" s="5" t="n">
        <v>60</v>
      </c>
      <c r="G2252" s="10"/>
      <c r="H2252" s="11" t="str">
        <f aca="false">IFERROR(IF($D2252="Manual Review","",IF($G2252="","",IF($D2252="Direct Expiry",$G2252,EDATE($G2252,$F2252)))),"Check Date")</f>
        <v/>
      </c>
      <c r="I2252" s="12" t="str">
        <f aca="true">IF($H2252="","",IF(ISNUMBER($H2252),$H2252-TODAY(),""))</f>
        <v/>
      </c>
      <c r="J2252" s="4" t="str">
        <f aca="true">IF($D2252="Manual Review","Manual Review",IF($G2252="","No Data",IF(NOT(ISNUMBER($H2252)),"N/A",IF($H2252&lt;TODAY(),"Overdue",IF($H2252&lt;=TODAY()+30,"Due within 1 Month",IF($H2252&lt;=TODAY()+60,"Due within 2 Months","OK"))))))</f>
        <v>No Data</v>
      </c>
      <c r="K2252" s="13"/>
    </row>
    <row r="2253" customFormat="false" ht="15" hidden="false" customHeight="false" outlineLevel="0" collapsed="false">
      <c r="A2253" s="9" t="str">
        <f aca="false">Vessels!B25</f>
        <v>Vessel 21</v>
      </c>
      <c r="B2253" s="9" t="s">
        <v>42</v>
      </c>
      <c r="C2253" s="7" t="s">
        <v>51</v>
      </c>
      <c r="D2253" s="9" t="s">
        <v>45</v>
      </c>
      <c r="E2253" s="9" t="s">
        <v>46</v>
      </c>
      <c r="F2253" s="5" t="n">
        <v>60</v>
      </c>
      <c r="G2253" s="10"/>
      <c r="H2253" s="11" t="str">
        <f aca="false">IFERROR(IF($D2253="Manual Review","",IF($G2253="","",IF($D2253="Direct Expiry",$G2253,EDATE($G2253,$F2253)))),"Check Date")</f>
        <v/>
      </c>
      <c r="I2253" s="12" t="str">
        <f aca="true">IF($H2253="","",IF(ISNUMBER($H2253),$H2253-TODAY(),""))</f>
        <v/>
      </c>
      <c r="J2253" s="4" t="str">
        <f aca="true">IF($D2253="Manual Review","Manual Review",IF($G2253="","No Data",IF(NOT(ISNUMBER($H2253)),"N/A",IF($H2253&lt;TODAY(),"Overdue",IF($H2253&lt;=TODAY()+30,"Due within 1 Month",IF($H2253&lt;=TODAY()+60,"Due within 2 Months","OK"))))))</f>
        <v>No Data</v>
      </c>
      <c r="K2253" s="13"/>
    </row>
    <row r="2254" customFormat="false" ht="15" hidden="false" customHeight="false" outlineLevel="0" collapsed="false">
      <c r="A2254" s="9" t="str">
        <f aca="false">Vessels!B25</f>
        <v>Vessel 21</v>
      </c>
      <c r="B2254" s="9" t="s">
        <v>42</v>
      </c>
      <c r="C2254" s="7" t="s">
        <v>52</v>
      </c>
      <c r="D2254" s="9" t="s">
        <v>45</v>
      </c>
      <c r="E2254" s="9" t="s">
        <v>46</v>
      </c>
      <c r="F2254" s="5" t="n">
        <v>60</v>
      </c>
      <c r="G2254" s="10"/>
      <c r="H2254" s="11" t="str">
        <f aca="false">IFERROR(IF($D2254="Manual Review","",IF($G2254="","",IF($D2254="Direct Expiry",$G2254,EDATE($G2254,$F2254)))),"Check Date")</f>
        <v/>
      </c>
      <c r="I2254" s="12" t="str">
        <f aca="true">IF($H2254="","",IF(ISNUMBER($H2254),$H2254-TODAY(),""))</f>
        <v/>
      </c>
      <c r="J2254" s="4" t="str">
        <f aca="true">IF($D2254="Manual Review","Manual Review",IF($G2254="","No Data",IF(NOT(ISNUMBER($H2254)),"N/A",IF($H2254&lt;TODAY(),"Overdue",IF($H2254&lt;=TODAY()+30,"Due within 1 Month",IF($H2254&lt;=TODAY()+60,"Due within 2 Months","OK"))))))</f>
        <v>No Data</v>
      </c>
      <c r="K2254" s="13"/>
    </row>
    <row r="2255" customFormat="false" ht="15" hidden="false" customHeight="false" outlineLevel="0" collapsed="false">
      <c r="A2255" s="9" t="str">
        <f aca="false">Vessels!B25</f>
        <v>Vessel 21</v>
      </c>
      <c r="B2255" s="9" t="s">
        <v>42</v>
      </c>
      <c r="C2255" s="7" t="s">
        <v>53</v>
      </c>
      <c r="D2255" s="9" t="s">
        <v>45</v>
      </c>
      <c r="E2255" s="9" t="s">
        <v>46</v>
      </c>
      <c r="F2255" s="5" t="n">
        <v>60</v>
      </c>
      <c r="G2255" s="10"/>
      <c r="H2255" s="11" t="str">
        <f aca="false">IFERROR(IF($D2255="Manual Review","",IF($G2255="","",IF($D2255="Direct Expiry",$G2255,EDATE($G2255,$F2255)))),"Check Date")</f>
        <v/>
      </c>
      <c r="I2255" s="12" t="str">
        <f aca="true">IF($H2255="","",IF(ISNUMBER($H2255),$H2255-TODAY(),""))</f>
        <v/>
      </c>
      <c r="J2255" s="4" t="str">
        <f aca="true">IF($D2255="Manual Review","Manual Review",IF($G2255="","No Data",IF(NOT(ISNUMBER($H2255)),"N/A",IF($H2255&lt;TODAY(),"Overdue",IF($H2255&lt;=TODAY()+30,"Due within 1 Month",IF($H2255&lt;=TODAY()+60,"Due within 2 Months","OK"))))))</f>
        <v>No Data</v>
      </c>
      <c r="K2255" s="13"/>
    </row>
    <row r="2256" customFormat="false" ht="15" hidden="false" customHeight="false" outlineLevel="0" collapsed="false">
      <c r="A2256" s="9" t="str">
        <f aca="false">Vessels!B25</f>
        <v>Vessel 21</v>
      </c>
      <c r="B2256" s="9" t="s">
        <v>42</v>
      </c>
      <c r="C2256" s="7" t="s">
        <v>54</v>
      </c>
      <c r="D2256" s="9" t="s">
        <v>45</v>
      </c>
      <c r="E2256" s="9" t="s">
        <v>46</v>
      </c>
      <c r="F2256" s="5" t="n">
        <v>60</v>
      </c>
      <c r="G2256" s="10"/>
      <c r="H2256" s="11" t="str">
        <f aca="false">IFERROR(IF($D2256="Manual Review","",IF($G2256="","",IF($D2256="Direct Expiry",$G2256,EDATE($G2256,$F2256)))),"Check Date")</f>
        <v/>
      </c>
      <c r="I2256" s="12" t="str">
        <f aca="true">IF($H2256="","",IF(ISNUMBER($H2256),$H2256-TODAY(),""))</f>
        <v/>
      </c>
      <c r="J2256" s="4" t="str">
        <f aca="true">IF($D2256="Manual Review","Manual Review",IF($G2256="","No Data",IF(NOT(ISNUMBER($H2256)),"N/A",IF($H2256&lt;TODAY(),"Overdue",IF($H2256&lt;=TODAY()+30,"Due within 1 Month",IF($H2256&lt;=TODAY()+60,"Due within 2 Months","OK"))))))</f>
        <v>No Data</v>
      </c>
      <c r="K2256" s="13"/>
    </row>
    <row r="2257" customFormat="false" ht="15" hidden="false" customHeight="false" outlineLevel="0" collapsed="false">
      <c r="A2257" s="9" t="str">
        <f aca="false">Vessels!B25</f>
        <v>Vessel 21</v>
      </c>
      <c r="B2257" s="9" t="s">
        <v>42</v>
      </c>
      <c r="C2257" s="7" t="s">
        <v>55</v>
      </c>
      <c r="D2257" s="9" t="s">
        <v>45</v>
      </c>
      <c r="E2257" s="9" t="s">
        <v>46</v>
      </c>
      <c r="F2257" s="5" t="n">
        <v>60</v>
      </c>
      <c r="G2257" s="10"/>
      <c r="H2257" s="11" t="str">
        <f aca="false">IFERROR(IF($D2257="Manual Review","",IF($G2257="","",IF($D2257="Direct Expiry",$G2257,EDATE($G2257,$F2257)))),"Check Date")</f>
        <v/>
      </c>
      <c r="I2257" s="12" t="str">
        <f aca="true">IF($H2257="","",IF(ISNUMBER($H2257),$H2257-TODAY(),""))</f>
        <v/>
      </c>
      <c r="J2257" s="4" t="str">
        <f aca="true">IF($D2257="Manual Review","Manual Review",IF($G2257="","No Data",IF(NOT(ISNUMBER($H2257)),"N/A",IF($H2257&lt;TODAY(),"Overdue",IF($H2257&lt;=TODAY()+30,"Due within 1 Month",IF($H2257&lt;=TODAY()+60,"Due within 2 Months","OK"))))))</f>
        <v>No Data</v>
      </c>
      <c r="K2257" s="13"/>
    </row>
    <row r="2258" customFormat="false" ht="15" hidden="false" customHeight="false" outlineLevel="0" collapsed="false">
      <c r="A2258" s="9" t="str">
        <f aca="false">Vessels!B25</f>
        <v>Vessel 21</v>
      </c>
      <c r="B2258" s="9" t="s">
        <v>42</v>
      </c>
      <c r="C2258" s="7" t="s">
        <v>56</v>
      </c>
      <c r="D2258" s="9" t="s">
        <v>45</v>
      </c>
      <c r="E2258" s="9" t="s">
        <v>46</v>
      </c>
      <c r="F2258" s="5" t="n">
        <v>60</v>
      </c>
      <c r="G2258" s="10"/>
      <c r="H2258" s="11" t="str">
        <f aca="false">IFERROR(IF($D2258="Manual Review","",IF($G2258="","",IF($D2258="Direct Expiry",$G2258,EDATE($G2258,$F2258)))),"Check Date")</f>
        <v/>
      </c>
      <c r="I2258" s="12" t="str">
        <f aca="true">IF($H2258="","",IF(ISNUMBER($H2258),$H2258-TODAY(),""))</f>
        <v/>
      </c>
      <c r="J2258" s="4" t="str">
        <f aca="true">IF($D2258="Manual Review","Manual Review",IF($G2258="","No Data",IF(NOT(ISNUMBER($H2258)),"N/A",IF($H2258&lt;TODAY(),"Overdue",IF($H2258&lt;=TODAY()+30,"Due within 1 Month",IF($H2258&lt;=TODAY()+60,"Due within 2 Months","OK"))))))</f>
        <v>No Data</v>
      </c>
      <c r="K2258" s="13"/>
    </row>
    <row r="2259" customFormat="false" ht="15" hidden="false" customHeight="false" outlineLevel="0" collapsed="false">
      <c r="A2259" s="9" t="str">
        <f aca="false">Vessels!B25</f>
        <v>Vessel 21</v>
      </c>
      <c r="B2259" s="9" t="s">
        <v>42</v>
      </c>
      <c r="C2259" s="7" t="s">
        <v>57</v>
      </c>
      <c r="D2259" s="9" t="s">
        <v>59</v>
      </c>
      <c r="E2259" s="9" t="s">
        <v>58</v>
      </c>
      <c r="F2259" s="5"/>
      <c r="G2259" s="10"/>
      <c r="H2259" s="11" t="str">
        <f aca="false">IFERROR(IF($D2259="Manual Review","",IF($G2259="","",IF($D2259="Direct Expiry",$G2259,EDATE($G2259,$F2259)))),"Check Date")</f>
        <v/>
      </c>
      <c r="I2259" s="12" t="str">
        <f aca="true">IF($H2259="","",IF(ISNUMBER($H2259),$H2259-TODAY(),""))</f>
        <v/>
      </c>
      <c r="J2259" s="4" t="str">
        <f aca="true">IF($D2259="Manual Review","Manual Review",IF($G2259="","No Data",IF(NOT(ISNUMBER($H2259)),"N/A",IF($H2259&lt;TODAY(),"Overdue",IF($H2259&lt;=TODAY()+30,"Due within 1 Month",IF($H2259&lt;=TODAY()+60,"Due within 2 Months","OK"))))))</f>
        <v>No Data</v>
      </c>
      <c r="K2259" s="13"/>
    </row>
    <row r="2260" customFormat="false" ht="15" hidden="false" customHeight="false" outlineLevel="0" collapsed="false">
      <c r="A2260" s="9" t="str">
        <f aca="false">Vessels!B25</f>
        <v>Vessel 21</v>
      </c>
      <c r="B2260" s="9" t="s">
        <v>42</v>
      </c>
      <c r="C2260" s="7" t="s">
        <v>60</v>
      </c>
      <c r="D2260" s="9" t="s">
        <v>45</v>
      </c>
      <c r="E2260" s="9" t="s">
        <v>44</v>
      </c>
      <c r="F2260" s="5" t="n">
        <v>12</v>
      </c>
      <c r="G2260" s="10"/>
      <c r="H2260" s="11" t="str">
        <f aca="false">IFERROR(IF($D2260="Manual Review","",IF($G2260="","",IF($D2260="Direct Expiry",$G2260,EDATE($G2260,$F2260)))),"Check Date")</f>
        <v/>
      </c>
      <c r="I2260" s="12" t="str">
        <f aca="true">IF($H2260="","",IF(ISNUMBER($H2260),$H2260-TODAY(),""))</f>
        <v/>
      </c>
      <c r="J2260" s="4" t="str">
        <f aca="true">IF($D2260="Manual Review","Manual Review",IF($G2260="","No Data",IF(NOT(ISNUMBER($H2260)),"N/A",IF($H2260&lt;TODAY(),"Overdue",IF($H2260&lt;=TODAY()+30,"Due within 1 Month",IF($H2260&lt;=TODAY()+60,"Due within 2 Months","OK"))))))</f>
        <v>No Data</v>
      </c>
      <c r="K2260" s="13"/>
    </row>
    <row r="2261" customFormat="false" ht="15" hidden="false" customHeight="false" outlineLevel="0" collapsed="false">
      <c r="A2261" s="9" t="str">
        <f aca="false">Vessels!B25</f>
        <v>Vessel 21</v>
      </c>
      <c r="B2261" s="9" t="s">
        <v>42</v>
      </c>
      <c r="C2261" s="7" t="s">
        <v>60</v>
      </c>
      <c r="D2261" s="9" t="s">
        <v>45</v>
      </c>
      <c r="E2261" s="9" t="s">
        <v>46</v>
      </c>
      <c r="F2261" s="5" t="n">
        <v>60</v>
      </c>
      <c r="G2261" s="10"/>
      <c r="H2261" s="11" t="str">
        <f aca="false">IFERROR(IF($D2261="Manual Review","",IF($G2261="","",IF($D2261="Direct Expiry",$G2261,EDATE($G2261,$F2261)))),"Check Date")</f>
        <v/>
      </c>
      <c r="I2261" s="12" t="str">
        <f aca="true">IF($H2261="","",IF(ISNUMBER($H2261),$H2261-TODAY(),""))</f>
        <v/>
      </c>
      <c r="J2261" s="4" t="str">
        <f aca="true">IF($D2261="Manual Review","Manual Review",IF($G2261="","No Data",IF(NOT(ISNUMBER($H2261)),"N/A",IF($H2261&lt;TODAY(),"Overdue",IF($H2261&lt;=TODAY()+30,"Due within 1 Month",IF($H2261&lt;=TODAY()+60,"Due within 2 Months","OK"))))))</f>
        <v>No Data</v>
      </c>
      <c r="K2261" s="13"/>
    </row>
    <row r="2262" customFormat="false" ht="15" hidden="false" customHeight="false" outlineLevel="0" collapsed="false">
      <c r="A2262" s="9" t="str">
        <f aca="false">Vessels!B25</f>
        <v>Vessel 21</v>
      </c>
      <c r="B2262" s="9" t="s">
        <v>42</v>
      </c>
      <c r="C2262" s="7" t="s">
        <v>61</v>
      </c>
      <c r="D2262" s="9" t="s">
        <v>45</v>
      </c>
      <c r="E2262" s="9" t="s">
        <v>44</v>
      </c>
      <c r="F2262" s="5" t="n">
        <v>12</v>
      </c>
      <c r="G2262" s="10"/>
      <c r="H2262" s="11" t="str">
        <f aca="false">IFERROR(IF($D2262="Manual Review","",IF($G2262="","",IF($D2262="Direct Expiry",$G2262,EDATE($G2262,$F2262)))),"Check Date")</f>
        <v/>
      </c>
      <c r="I2262" s="12" t="str">
        <f aca="true">IF($H2262="","",IF(ISNUMBER($H2262),$H2262-TODAY(),""))</f>
        <v/>
      </c>
      <c r="J2262" s="4" t="str">
        <f aca="true">IF($D2262="Manual Review","Manual Review",IF($G2262="","No Data",IF(NOT(ISNUMBER($H2262)),"N/A",IF($H2262&lt;TODAY(),"Overdue",IF($H2262&lt;=TODAY()+30,"Due within 1 Month",IF($H2262&lt;=TODAY()+60,"Due within 2 Months","OK"))))))</f>
        <v>No Data</v>
      </c>
      <c r="K2262" s="13"/>
    </row>
    <row r="2263" customFormat="false" ht="15" hidden="false" customHeight="false" outlineLevel="0" collapsed="false">
      <c r="A2263" s="9" t="str">
        <f aca="false">Vessels!B25</f>
        <v>Vessel 21</v>
      </c>
      <c r="B2263" s="9" t="s">
        <v>42</v>
      </c>
      <c r="C2263" s="7" t="s">
        <v>61</v>
      </c>
      <c r="D2263" s="9" t="s">
        <v>45</v>
      </c>
      <c r="E2263" s="9" t="s">
        <v>46</v>
      </c>
      <c r="F2263" s="5" t="n">
        <v>60</v>
      </c>
      <c r="G2263" s="10"/>
      <c r="H2263" s="11" t="str">
        <f aca="false">IFERROR(IF($D2263="Manual Review","",IF($G2263="","",IF($D2263="Direct Expiry",$G2263,EDATE($G2263,$F2263)))),"Check Date")</f>
        <v/>
      </c>
      <c r="I2263" s="12" t="str">
        <f aca="true">IF($H2263="","",IF(ISNUMBER($H2263),$H2263-TODAY(),""))</f>
        <v/>
      </c>
      <c r="J2263" s="4" t="str">
        <f aca="true">IF($D2263="Manual Review","Manual Review",IF($G2263="","No Data",IF(NOT(ISNUMBER($H2263)),"N/A",IF($H2263&lt;TODAY(),"Overdue",IF($H2263&lt;=TODAY()+30,"Due within 1 Month",IF($H2263&lt;=TODAY()+60,"Due within 2 Months","OK"))))))</f>
        <v>No Data</v>
      </c>
      <c r="K2263" s="13"/>
    </row>
    <row r="2264" customFormat="false" ht="15" hidden="false" customHeight="false" outlineLevel="0" collapsed="false">
      <c r="A2264" s="9" t="str">
        <f aca="false">Vessels!B25</f>
        <v>Vessel 21</v>
      </c>
      <c r="B2264" s="9" t="s">
        <v>42</v>
      </c>
      <c r="C2264" s="7" t="s">
        <v>62</v>
      </c>
      <c r="D2264" s="9" t="s">
        <v>45</v>
      </c>
      <c r="E2264" s="9" t="s">
        <v>44</v>
      </c>
      <c r="F2264" s="5" t="n">
        <v>12</v>
      </c>
      <c r="G2264" s="10"/>
      <c r="H2264" s="11" t="str">
        <f aca="false">IFERROR(IF($D2264="Manual Review","",IF($G2264="","",IF($D2264="Direct Expiry",$G2264,EDATE($G2264,$F2264)))),"Check Date")</f>
        <v/>
      </c>
      <c r="I2264" s="12" t="str">
        <f aca="true">IF($H2264="","",IF(ISNUMBER($H2264),$H2264-TODAY(),""))</f>
        <v/>
      </c>
      <c r="J2264" s="4" t="str">
        <f aca="true">IF($D2264="Manual Review","Manual Review",IF($G2264="","No Data",IF(NOT(ISNUMBER($H2264)),"N/A",IF($H2264&lt;TODAY(),"Overdue",IF($H2264&lt;=TODAY()+30,"Due within 1 Month",IF($H2264&lt;=TODAY()+60,"Due within 2 Months","OK"))))))</f>
        <v>No Data</v>
      </c>
      <c r="K2264" s="13"/>
    </row>
    <row r="2265" customFormat="false" ht="15" hidden="false" customHeight="false" outlineLevel="0" collapsed="false">
      <c r="A2265" s="9" t="str">
        <f aca="false">Vessels!B25</f>
        <v>Vessel 21</v>
      </c>
      <c r="B2265" s="9" t="s">
        <v>42</v>
      </c>
      <c r="C2265" s="7" t="s">
        <v>62</v>
      </c>
      <c r="D2265" s="9" t="s">
        <v>45</v>
      </c>
      <c r="E2265" s="9" t="s">
        <v>49</v>
      </c>
      <c r="F2265" s="5" t="n">
        <v>60</v>
      </c>
      <c r="G2265" s="10"/>
      <c r="H2265" s="11" t="str">
        <f aca="false">IFERROR(IF($D2265="Manual Review","",IF($G2265="","",IF($D2265="Direct Expiry",$G2265,EDATE($G2265,$F2265)))),"Check Date")</f>
        <v/>
      </c>
      <c r="I2265" s="12" t="str">
        <f aca="true">IF($H2265="","",IF(ISNUMBER($H2265),$H2265-TODAY(),""))</f>
        <v/>
      </c>
      <c r="J2265" s="4" t="str">
        <f aca="true">IF($D2265="Manual Review","Manual Review",IF($G2265="","No Data",IF(NOT(ISNUMBER($H2265)),"N/A",IF($H2265&lt;TODAY(),"Overdue",IF($H2265&lt;=TODAY()+30,"Due within 1 Month",IF($H2265&lt;=TODAY()+60,"Due within 2 Months","OK"))))))</f>
        <v>No Data</v>
      </c>
      <c r="K2265" s="13"/>
    </row>
    <row r="2266" customFormat="false" ht="15" hidden="false" customHeight="false" outlineLevel="0" collapsed="false">
      <c r="A2266" s="9" t="str">
        <f aca="false">Vessels!B25</f>
        <v>Vessel 21</v>
      </c>
      <c r="B2266" s="9" t="s">
        <v>42</v>
      </c>
      <c r="C2266" s="7" t="s">
        <v>63</v>
      </c>
      <c r="D2266" s="9" t="s">
        <v>45</v>
      </c>
      <c r="E2266" s="9" t="s">
        <v>44</v>
      </c>
      <c r="F2266" s="5" t="n">
        <v>12</v>
      </c>
      <c r="G2266" s="10"/>
      <c r="H2266" s="11" t="str">
        <f aca="false">IFERROR(IF($D2266="Manual Review","",IF($G2266="","",IF($D2266="Direct Expiry",$G2266,EDATE($G2266,$F2266)))),"Check Date")</f>
        <v/>
      </c>
      <c r="I2266" s="12" t="str">
        <f aca="true">IF($H2266="","",IF(ISNUMBER($H2266),$H2266-TODAY(),""))</f>
        <v/>
      </c>
      <c r="J2266" s="4" t="str">
        <f aca="true">IF($D2266="Manual Review","Manual Review",IF($G2266="","No Data",IF(NOT(ISNUMBER($H2266)),"N/A",IF($H2266&lt;TODAY(),"Overdue",IF($H2266&lt;=TODAY()+30,"Due within 1 Month",IF($H2266&lt;=TODAY()+60,"Due within 2 Months","OK"))))))</f>
        <v>No Data</v>
      </c>
      <c r="K2266" s="13"/>
    </row>
    <row r="2267" customFormat="false" ht="15" hidden="false" customHeight="false" outlineLevel="0" collapsed="false">
      <c r="A2267" s="9" t="str">
        <f aca="false">Vessels!B25</f>
        <v>Vessel 21</v>
      </c>
      <c r="B2267" s="9" t="s">
        <v>42</v>
      </c>
      <c r="C2267" s="7" t="s">
        <v>63</v>
      </c>
      <c r="D2267" s="9" t="s">
        <v>45</v>
      </c>
      <c r="E2267" s="9" t="s">
        <v>49</v>
      </c>
      <c r="F2267" s="5" t="n">
        <v>60</v>
      </c>
      <c r="G2267" s="10"/>
      <c r="H2267" s="11" t="str">
        <f aca="false">IFERROR(IF($D2267="Manual Review","",IF($G2267="","",IF($D2267="Direct Expiry",$G2267,EDATE($G2267,$F2267)))),"Check Date")</f>
        <v/>
      </c>
      <c r="I2267" s="12" t="str">
        <f aca="true">IF($H2267="","",IF(ISNUMBER($H2267),$H2267-TODAY(),""))</f>
        <v/>
      </c>
      <c r="J2267" s="4" t="str">
        <f aca="true">IF($D2267="Manual Review","Manual Review",IF($G2267="","No Data",IF(NOT(ISNUMBER($H2267)),"N/A",IF($H2267&lt;TODAY(),"Overdue",IF($H2267&lt;=TODAY()+30,"Due within 1 Month",IF($H2267&lt;=TODAY()+60,"Due within 2 Months","OK"))))))</f>
        <v>No Data</v>
      </c>
      <c r="K2267" s="13"/>
    </row>
    <row r="2268" customFormat="false" ht="15" hidden="false" customHeight="false" outlineLevel="0" collapsed="false">
      <c r="A2268" s="9" t="str">
        <f aca="false">Vessels!B25</f>
        <v>Vessel 21</v>
      </c>
      <c r="B2268" s="9" t="s">
        <v>42</v>
      </c>
      <c r="C2268" s="7" t="s">
        <v>64</v>
      </c>
      <c r="D2268" s="9" t="s">
        <v>45</v>
      </c>
      <c r="E2268" s="9" t="s">
        <v>46</v>
      </c>
      <c r="F2268" s="5" t="n">
        <v>60</v>
      </c>
      <c r="G2268" s="10"/>
      <c r="H2268" s="11" t="str">
        <f aca="false">IFERROR(IF($D2268="Manual Review","",IF($G2268="","",IF($D2268="Direct Expiry",$G2268,EDATE($G2268,$F2268)))),"Check Date")</f>
        <v/>
      </c>
      <c r="I2268" s="12" t="str">
        <f aca="true">IF($H2268="","",IF(ISNUMBER($H2268),$H2268-TODAY(),""))</f>
        <v/>
      </c>
      <c r="J2268" s="4" t="str">
        <f aca="true">IF($D2268="Manual Review","Manual Review",IF($G2268="","No Data",IF(NOT(ISNUMBER($H2268)),"N/A",IF($H2268&lt;TODAY(),"Overdue",IF($H2268&lt;=TODAY()+30,"Due within 1 Month",IF($H2268&lt;=TODAY()+60,"Due within 2 Months","OK"))))))</f>
        <v>No Data</v>
      </c>
      <c r="K2268" s="13"/>
    </row>
    <row r="2269" customFormat="false" ht="15" hidden="false" customHeight="false" outlineLevel="0" collapsed="false">
      <c r="A2269" s="9" t="str">
        <f aca="false">Vessels!B25</f>
        <v>Vessel 21</v>
      </c>
      <c r="B2269" s="9" t="s">
        <v>42</v>
      </c>
      <c r="C2269" s="7" t="s">
        <v>65</v>
      </c>
      <c r="D2269" s="9" t="s">
        <v>45</v>
      </c>
      <c r="E2269" s="9" t="s">
        <v>46</v>
      </c>
      <c r="F2269" s="5" t="n">
        <v>60</v>
      </c>
      <c r="G2269" s="10"/>
      <c r="H2269" s="11" t="str">
        <f aca="false">IFERROR(IF($D2269="Manual Review","",IF($G2269="","",IF($D2269="Direct Expiry",$G2269,EDATE($G2269,$F2269)))),"Check Date")</f>
        <v/>
      </c>
      <c r="I2269" s="12" t="str">
        <f aca="true">IF($H2269="","",IF(ISNUMBER($H2269),$H2269-TODAY(),""))</f>
        <v/>
      </c>
      <c r="J2269" s="4" t="str">
        <f aca="true">IF($D2269="Manual Review","Manual Review",IF($G2269="","No Data",IF(NOT(ISNUMBER($H2269)),"N/A",IF($H2269&lt;TODAY(),"Overdue",IF($H2269&lt;=TODAY()+30,"Due within 1 Month",IF($H2269&lt;=TODAY()+60,"Due within 2 Months","OK"))))))</f>
        <v>No Data</v>
      </c>
      <c r="K2269" s="13"/>
    </row>
    <row r="2270" customFormat="false" ht="15" hidden="false" customHeight="false" outlineLevel="0" collapsed="false">
      <c r="A2270" s="9" t="str">
        <f aca="false">Vessels!B25</f>
        <v>Vessel 21</v>
      </c>
      <c r="B2270" s="9" t="s">
        <v>42</v>
      </c>
      <c r="C2270" s="7" t="s">
        <v>66</v>
      </c>
      <c r="D2270" s="9" t="s">
        <v>45</v>
      </c>
      <c r="E2270" s="9" t="s">
        <v>46</v>
      </c>
      <c r="F2270" s="5" t="n">
        <v>60</v>
      </c>
      <c r="G2270" s="10"/>
      <c r="H2270" s="11" t="str">
        <f aca="false">IFERROR(IF($D2270="Manual Review","",IF($G2270="","",IF($D2270="Direct Expiry",$G2270,EDATE($G2270,$F2270)))),"Check Date")</f>
        <v/>
      </c>
      <c r="I2270" s="12" t="str">
        <f aca="true">IF($H2270="","",IF(ISNUMBER($H2270),$H2270-TODAY(),""))</f>
        <v/>
      </c>
      <c r="J2270" s="4" t="str">
        <f aca="true">IF($D2270="Manual Review","Manual Review",IF($G2270="","No Data",IF(NOT(ISNUMBER($H2270)),"N/A",IF($H2270&lt;TODAY(),"Overdue",IF($H2270&lt;=TODAY()+30,"Due within 1 Month",IF($H2270&lt;=TODAY()+60,"Due within 2 Months","OK"))))))</f>
        <v>No Data</v>
      </c>
      <c r="K2270" s="13"/>
    </row>
    <row r="2271" customFormat="false" ht="15" hidden="false" customHeight="false" outlineLevel="0" collapsed="false">
      <c r="A2271" s="9" t="str">
        <f aca="false">Vessels!B25</f>
        <v>Vessel 21</v>
      </c>
      <c r="B2271" s="9" t="s">
        <v>42</v>
      </c>
      <c r="C2271" s="7" t="s">
        <v>67</v>
      </c>
      <c r="D2271" s="9" t="s">
        <v>45</v>
      </c>
      <c r="E2271" s="9" t="s">
        <v>46</v>
      </c>
      <c r="F2271" s="5" t="n">
        <v>60</v>
      </c>
      <c r="G2271" s="10"/>
      <c r="H2271" s="11" t="str">
        <f aca="false">IFERROR(IF($D2271="Manual Review","",IF($G2271="","",IF($D2271="Direct Expiry",$G2271,EDATE($G2271,$F2271)))),"Check Date")</f>
        <v/>
      </c>
      <c r="I2271" s="12" t="str">
        <f aca="true">IF($H2271="","",IF(ISNUMBER($H2271),$H2271-TODAY(),""))</f>
        <v/>
      </c>
      <c r="J2271" s="4" t="str">
        <f aca="true">IF($D2271="Manual Review","Manual Review",IF($G2271="","No Data",IF(NOT(ISNUMBER($H2271)),"N/A",IF($H2271&lt;TODAY(),"Overdue",IF($H2271&lt;=TODAY()+30,"Due within 1 Month",IF($H2271&lt;=TODAY()+60,"Due within 2 Months","OK"))))))</f>
        <v>No Data</v>
      </c>
      <c r="K2271" s="13"/>
    </row>
    <row r="2272" customFormat="false" ht="15" hidden="false" customHeight="false" outlineLevel="0" collapsed="false">
      <c r="A2272" s="9" t="str">
        <f aca="false">Vessels!B25</f>
        <v>Vessel 21</v>
      </c>
      <c r="B2272" s="9" t="s">
        <v>42</v>
      </c>
      <c r="C2272" s="7" t="s">
        <v>68</v>
      </c>
      <c r="D2272" s="9" t="s">
        <v>45</v>
      </c>
      <c r="E2272" s="9" t="s">
        <v>46</v>
      </c>
      <c r="F2272" s="5" t="n">
        <v>60</v>
      </c>
      <c r="G2272" s="10"/>
      <c r="H2272" s="11" t="str">
        <f aca="false">IFERROR(IF($D2272="Manual Review","",IF($G2272="","",IF($D2272="Direct Expiry",$G2272,EDATE($G2272,$F2272)))),"Check Date")</f>
        <v/>
      </c>
      <c r="I2272" s="12" t="str">
        <f aca="true">IF($H2272="","",IF(ISNUMBER($H2272),$H2272-TODAY(),""))</f>
        <v/>
      </c>
      <c r="J2272" s="4" t="str">
        <f aca="true">IF($D2272="Manual Review","Manual Review",IF($G2272="","No Data",IF(NOT(ISNUMBER($H2272)),"N/A",IF($H2272&lt;TODAY(),"Overdue",IF($H2272&lt;=TODAY()+30,"Due within 1 Month",IF($H2272&lt;=TODAY()+60,"Due within 2 Months","OK"))))))</f>
        <v>No Data</v>
      </c>
      <c r="K2272" s="13"/>
    </row>
    <row r="2273" customFormat="false" ht="15" hidden="false" customHeight="false" outlineLevel="0" collapsed="false">
      <c r="A2273" s="9" t="str">
        <f aca="false">Vessels!B25</f>
        <v>Vessel 21</v>
      </c>
      <c r="B2273" s="9" t="s">
        <v>42</v>
      </c>
      <c r="C2273" s="7" t="s">
        <v>69</v>
      </c>
      <c r="D2273" s="9" t="s">
        <v>45</v>
      </c>
      <c r="E2273" s="9" t="s">
        <v>46</v>
      </c>
      <c r="F2273" s="5" t="n">
        <v>60</v>
      </c>
      <c r="G2273" s="10"/>
      <c r="H2273" s="11" t="str">
        <f aca="false">IFERROR(IF($D2273="Manual Review","",IF($G2273="","",IF($D2273="Direct Expiry",$G2273,EDATE($G2273,$F2273)))),"Check Date")</f>
        <v/>
      </c>
      <c r="I2273" s="12" t="str">
        <f aca="true">IF($H2273="","",IF(ISNUMBER($H2273),$H2273-TODAY(),""))</f>
        <v/>
      </c>
      <c r="J2273" s="4" t="str">
        <f aca="true">IF($D2273="Manual Review","Manual Review",IF($G2273="","No Data",IF(NOT(ISNUMBER($H2273)),"N/A",IF($H2273&lt;TODAY(),"Overdue",IF($H2273&lt;=TODAY()+30,"Due within 1 Month",IF($H2273&lt;=TODAY()+60,"Due within 2 Months","OK"))))))</f>
        <v>No Data</v>
      </c>
      <c r="K2273" s="13"/>
    </row>
    <row r="2274" customFormat="false" ht="15" hidden="false" customHeight="false" outlineLevel="0" collapsed="false">
      <c r="A2274" s="9" t="str">
        <f aca="false">Vessels!B25</f>
        <v>Vessel 21</v>
      </c>
      <c r="B2274" s="9" t="s">
        <v>42</v>
      </c>
      <c r="C2274" s="7" t="s">
        <v>70</v>
      </c>
      <c r="D2274" s="9" t="s">
        <v>59</v>
      </c>
      <c r="E2274" s="9" t="s">
        <v>58</v>
      </c>
      <c r="F2274" s="5"/>
      <c r="G2274" s="10"/>
      <c r="H2274" s="11" t="str">
        <f aca="false">IFERROR(IF($D2274="Manual Review","",IF($G2274="","",IF($D2274="Direct Expiry",$G2274,EDATE($G2274,$F2274)))),"Check Date")</f>
        <v/>
      </c>
      <c r="I2274" s="12" t="str">
        <f aca="true">IF($H2274="","",IF(ISNUMBER($H2274),$H2274-TODAY(),""))</f>
        <v/>
      </c>
      <c r="J2274" s="4" t="str">
        <f aca="true">IF($D2274="Manual Review","Manual Review",IF($G2274="","No Data",IF(NOT(ISNUMBER($H2274)),"N/A",IF($H2274&lt;TODAY(),"Overdue",IF($H2274&lt;=TODAY()+30,"Due within 1 Month",IF($H2274&lt;=TODAY()+60,"Due within 2 Months","OK"))))))</f>
        <v>No Data</v>
      </c>
      <c r="K2274" s="13"/>
    </row>
    <row r="2275" customFormat="false" ht="15" hidden="false" customHeight="false" outlineLevel="0" collapsed="false">
      <c r="A2275" s="9" t="str">
        <f aca="false">Vessels!B25</f>
        <v>Vessel 21</v>
      </c>
      <c r="B2275" s="9" t="s">
        <v>42</v>
      </c>
      <c r="C2275" s="7" t="s">
        <v>71</v>
      </c>
      <c r="D2275" s="9" t="s">
        <v>45</v>
      </c>
      <c r="E2275" s="9" t="s">
        <v>44</v>
      </c>
      <c r="F2275" s="5" t="n">
        <v>12</v>
      </c>
      <c r="G2275" s="10"/>
      <c r="H2275" s="11" t="str">
        <f aca="false">IFERROR(IF($D2275="Manual Review","",IF($G2275="","",IF($D2275="Direct Expiry",$G2275,EDATE($G2275,$F2275)))),"Check Date")</f>
        <v/>
      </c>
      <c r="I2275" s="12" t="str">
        <f aca="true">IF($H2275="","",IF(ISNUMBER($H2275),$H2275-TODAY(),""))</f>
        <v/>
      </c>
      <c r="J2275" s="4" t="str">
        <f aca="true">IF($D2275="Manual Review","Manual Review",IF($G2275="","No Data",IF(NOT(ISNUMBER($H2275)),"N/A",IF($H2275&lt;TODAY(),"Overdue",IF($H2275&lt;=TODAY()+30,"Due within 1 Month",IF($H2275&lt;=TODAY()+60,"Due within 2 Months","OK"))))))</f>
        <v>No Data</v>
      </c>
      <c r="K2275" s="13"/>
    </row>
    <row r="2276" customFormat="false" ht="15" hidden="false" customHeight="false" outlineLevel="0" collapsed="false">
      <c r="A2276" s="9" t="str">
        <f aca="false">Vessels!B25</f>
        <v>Vessel 21</v>
      </c>
      <c r="B2276" s="9" t="s">
        <v>42</v>
      </c>
      <c r="C2276" s="7" t="s">
        <v>72</v>
      </c>
      <c r="D2276" s="9" t="s">
        <v>59</v>
      </c>
      <c r="E2276" s="9" t="s">
        <v>58</v>
      </c>
      <c r="F2276" s="5"/>
      <c r="G2276" s="10"/>
      <c r="H2276" s="11" t="str">
        <f aca="false">IFERROR(IF($D2276="Manual Review","",IF($G2276="","",IF($D2276="Direct Expiry",$G2276,EDATE($G2276,$F2276)))),"Check Date")</f>
        <v/>
      </c>
      <c r="I2276" s="12" t="str">
        <f aca="true">IF($H2276="","",IF(ISNUMBER($H2276),$H2276-TODAY(),""))</f>
        <v/>
      </c>
      <c r="J2276" s="4" t="str">
        <f aca="true">IF($D2276="Manual Review","Manual Review",IF($G2276="","No Data",IF(NOT(ISNUMBER($H2276)),"N/A",IF($H2276&lt;TODAY(),"Overdue",IF($H2276&lt;=TODAY()+30,"Due within 1 Month",IF($H2276&lt;=TODAY()+60,"Due within 2 Months","OK"))))))</f>
        <v>No Data</v>
      </c>
      <c r="K2276" s="13"/>
    </row>
    <row r="2277" customFormat="false" ht="15" hidden="false" customHeight="false" outlineLevel="0" collapsed="false">
      <c r="A2277" s="9" t="str">
        <f aca="false">Vessels!B25</f>
        <v>Vessel 21</v>
      </c>
      <c r="B2277" s="9" t="s">
        <v>42</v>
      </c>
      <c r="C2277" s="7" t="s">
        <v>73</v>
      </c>
      <c r="D2277" s="9" t="s">
        <v>45</v>
      </c>
      <c r="E2277" s="9" t="s">
        <v>44</v>
      </c>
      <c r="F2277" s="5" t="n">
        <v>12</v>
      </c>
      <c r="G2277" s="10"/>
      <c r="H2277" s="11" t="str">
        <f aca="false">IFERROR(IF($D2277="Manual Review","",IF($G2277="","",IF($D2277="Direct Expiry",$G2277,EDATE($G2277,$F2277)))),"Check Date")</f>
        <v/>
      </c>
      <c r="I2277" s="12" t="str">
        <f aca="true">IF($H2277="","",IF(ISNUMBER($H2277),$H2277-TODAY(),""))</f>
        <v/>
      </c>
      <c r="J2277" s="4" t="str">
        <f aca="true">IF($D2277="Manual Review","Manual Review",IF($G2277="","No Data",IF(NOT(ISNUMBER($H2277)),"N/A",IF($H2277&lt;TODAY(),"Overdue",IF($H2277&lt;=TODAY()+30,"Due within 1 Month",IF($H2277&lt;=TODAY()+60,"Due within 2 Months","OK"))))))</f>
        <v>No Data</v>
      </c>
      <c r="K2277" s="13"/>
    </row>
    <row r="2278" customFormat="false" ht="15" hidden="false" customHeight="false" outlineLevel="0" collapsed="false">
      <c r="A2278" s="9" t="str">
        <f aca="false">Vessels!B25</f>
        <v>Vessel 21</v>
      </c>
      <c r="B2278" s="9" t="s">
        <v>42</v>
      </c>
      <c r="C2278" s="7" t="s">
        <v>74</v>
      </c>
      <c r="D2278" s="9" t="s">
        <v>59</v>
      </c>
      <c r="E2278" s="9" t="s">
        <v>58</v>
      </c>
      <c r="F2278" s="5"/>
      <c r="G2278" s="10"/>
      <c r="H2278" s="11" t="str">
        <f aca="false">IFERROR(IF($D2278="Manual Review","",IF($G2278="","",IF($D2278="Direct Expiry",$G2278,EDATE($G2278,$F2278)))),"Check Date")</f>
        <v/>
      </c>
      <c r="I2278" s="12" t="str">
        <f aca="true">IF($H2278="","",IF(ISNUMBER($H2278),$H2278-TODAY(),""))</f>
        <v/>
      </c>
      <c r="J2278" s="4" t="str">
        <f aca="true">IF($D2278="Manual Review","Manual Review",IF($G2278="","No Data",IF(NOT(ISNUMBER($H2278)),"N/A",IF($H2278&lt;TODAY(),"Overdue",IF($H2278&lt;=TODAY()+30,"Due within 1 Month",IF($H2278&lt;=TODAY()+60,"Due within 2 Months","OK"))))))</f>
        <v>No Data</v>
      </c>
      <c r="K2278" s="13"/>
    </row>
    <row r="2279" customFormat="false" ht="15" hidden="false" customHeight="false" outlineLevel="0" collapsed="false">
      <c r="A2279" s="9" t="str">
        <f aca="false">Vessels!B25</f>
        <v>Vessel 21</v>
      </c>
      <c r="B2279" s="9" t="s">
        <v>42</v>
      </c>
      <c r="C2279" s="7" t="s">
        <v>75</v>
      </c>
      <c r="D2279" s="9" t="s">
        <v>45</v>
      </c>
      <c r="E2279" s="9" t="s">
        <v>44</v>
      </c>
      <c r="F2279" s="5" t="n">
        <v>12</v>
      </c>
      <c r="G2279" s="10"/>
      <c r="H2279" s="11" t="str">
        <f aca="false">IFERROR(IF($D2279="Manual Review","",IF($G2279="","",IF($D2279="Direct Expiry",$G2279,EDATE($G2279,$F2279)))),"Check Date")</f>
        <v/>
      </c>
      <c r="I2279" s="12" t="str">
        <f aca="true">IF($H2279="","",IF(ISNUMBER($H2279),$H2279-TODAY(),""))</f>
        <v/>
      </c>
      <c r="J2279" s="4" t="str">
        <f aca="true">IF($D2279="Manual Review","Manual Review",IF($G2279="","No Data",IF(NOT(ISNUMBER($H2279)),"N/A",IF($H2279&lt;TODAY(),"Overdue",IF($H2279&lt;=TODAY()+30,"Due within 1 Month",IF($H2279&lt;=TODAY()+60,"Due within 2 Months","OK"))))))</f>
        <v>No Data</v>
      </c>
      <c r="K2279" s="13"/>
    </row>
    <row r="2280" customFormat="false" ht="15" hidden="false" customHeight="false" outlineLevel="0" collapsed="false">
      <c r="A2280" s="9" t="str">
        <f aca="false">Vessels!B25</f>
        <v>Vessel 21</v>
      </c>
      <c r="B2280" s="9" t="s">
        <v>42</v>
      </c>
      <c r="C2280" s="7" t="s">
        <v>76</v>
      </c>
      <c r="D2280" s="9" t="s">
        <v>59</v>
      </c>
      <c r="E2280" s="9" t="s">
        <v>58</v>
      </c>
      <c r="F2280" s="5"/>
      <c r="G2280" s="10"/>
      <c r="H2280" s="11" t="str">
        <f aca="false">IFERROR(IF($D2280="Manual Review","",IF($G2280="","",IF($D2280="Direct Expiry",$G2280,EDATE($G2280,$F2280)))),"Check Date")</f>
        <v/>
      </c>
      <c r="I2280" s="12" t="str">
        <f aca="true">IF($H2280="","",IF(ISNUMBER($H2280),$H2280-TODAY(),""))</f>
        <v/>
      </c>
      <c r="J2280" s="4" t="str">
        <f aca="true">IF($D2280="Manual Review","Manual Review",IF($G2280="","No Data",IF(NOT(ISNUMBER($H2280)),"N/A",IF($H2280&lt;TODAY(),"Overdue",IF($H2280&lt;=TODAY()+30,"Due within 1 Month",IF($H2280&lt;=TODAY()+60,"Due within 2 Months","OK"))))))</f>
        <v>No Data</v>
      </c>
      <c r="K2280" s="13"/>
    </row>
    <row r="2281" customFormat="false" ht="15" hidden="false" customHeight="false" outlineLevel="0" collapsed="false">
      <c r="A2281" s="9" t="str">
        <f aca="false">Vessels!B25</f>
        <v>Vessel 21</v>
      </c>
      <c r="B2281" s="9" t="s">
        <v>42</v>
      </c>
      <c r="C2281" s="7" t="s">
        <v>77</v>
      </c>
      <c r="D2281" s="9" t="s">
        <v>59</v>
      </c>
      <c r="E2281" s="9" t="s">
        <v>58</v>
      </c>
      <c r="F2281" s="5"/>
      <c r="G2281" s="10"/>
      <c r="H2281" s="11" t="str">
        <f aca="false">IFERROR(IF($D2281="Manual Review","",IF($G2281="","",IF($D2281="Direct Expiry",$G2281,EDATE($G2281,$F2281)))),"Check Date")</f>
        <v/>
      </c>
      <c r="I2281" s="12" t="str">
        <f aca="true">IF($H2281="","",IF(ISNUMBER($H2281),$H2281-TODAY(),""))</f>
        <v/>
      </c>
      <c r="J2281" s="4" t="str">
        <f aca="true">IF($D2281="Manual Review","Manual Review",IF($G2281="","No Data",IF(NOT(ISNUMBER($H2281)),"N/A",IF($H2281&lt;TODAY(),"Overdue",IF($H2281&lt;=TODAY()+30,"Due within 1 Month",IF($H2281&lt;=TODAY()+60,"Due within 2 Months","OK"))))))</f>
        <v>No Data</v>
      </c>
      <c r="K2281" s="13"/>
    </row>
    <row r="2282" customFormat="false" ht="15" hidden="false" customHeight="false" outlineLevel="0" collapsed="false">
      <c r="A2282" s="9" t="str">
        <f aca="false">Vessels!B25</f>
        <v>Vessel 21</v>
      </c>
      <c r="B2282" s="9" t="s">
        <v>42</v>
      </c>
      <c r="C2282" s="7" t="s">
        <v>78</v>
      </c>
      <c r="D2282" s="9" t="s">
        <v>59</v>
      </c>
      <c r="E2282" s="9" t="s">
        <v>58</v>
      </c>
      <c r="F2282" s="5"/>
      <c r="G2282" s="10"/>
      <c r="H2282" s="11" t="str">
        <f aca="false">IFERROR(IF($D2282="Manual Review","",IF($G2282="","",IF($D2282="Direct Expiry",$G2282,EDATE($G2282,$F2282)))),"Check Date")</f>
        <v/>
      </c>
      <c r="I2282" s="12" t="str">
        <f aca="true">IF($H2282="","",IF(ISNUMBER($H2282),$H2282-TODAY(),""))</f>
        <v/>
      </c>
      <c r="J2282" s="4" t="str">
        <f aca="true">IF($D2282="Manual Review","Manual Review",IF($G2282="","No Data",IF(NOT(ISNUMBER($H2282)),"N/A",IF($H2282&lt;TODAY(),"Overdue",IF($H2282&lt;=TODAY()+30,"Due within 1 Month",IF($H2282&lt;=TODAY()+60,"Due within 2 Months","OK"))))))</f>
        <v>No Data</v>
      </c>
      <c r="K2282" s="13"/>
    </row>
    <row r="2283" customFormat="false" ht="15" hidden="false" customHeight="false" outlineLevel="0" collapsed="false">
      <c r="A2283" s="9" t="str">
        <f aca="false">Vessels!B25</f>
        <v>Vessel 21</v>
      </c>
      <c r="B2283" s="9" t="s">
        <v>42</v>
      </c>
      <c r="C2283" s="7" t="s">
        <v>79</v>
      </c>
      <c r="D2283" s="9" t="s">
        <v>45</v>
      </c>
      <c r="E2283" s="9" t="s">
        <v>44</v>
      </c>
      <c r="F2283" s="5" t="n">
        <v>12</v>
      </c>
      <c r="G2283" s="10"/>
      <c r="H2283" s="11" t="str">
        <f aca="false">IFERROR(IF($D2283="Manual Review","",IF($G2283="","",IF($D2283="Direct Expiry",$G2283,EDATE($G2283,$F2283)))),"Check Date")</f>
        <v/>
      </c>
      <c r="I2283" s="12" t="str">
        <f aca="true">IF($H2283="","",IF(ISNUMBER($H2283),$H2283-TODAY(),""))</f>
        <v/>
      </c>
      <c r="J2283" s="4" t="str">
        <f aca="true">IF($D2283="Manual Review","Manual Review",IF($G2283="","No Data",IF(NOT(ISNUMBER($H2283)),"N/A",IF($H2283&lt;TODAY(),"Overdue",IF($H2283&lt;=TODAY()+30,"Due within 1 Month",IF($H2283&lt;=TODAY()+60,"Due within 2 Months","OK"))))))</f>
        <v>No Data</v>
      </c>
      <c r="K2283" s="13"/>
    </row>
    <row r="2284" customFormat="false" ht="15" hidden="false" customHeight="false" outlineLevel="0" collapsed="false">
      <c r="A2284" s="9" t="str">
        <f aca="false">Vessels!B25</f>
        <v>Vessel 21</v>
      </c>
      <c r="B2284" s="9" t="s">
        <v>42</v>
      </c>
      <c r="C2284" s="7" t="s">
        <v>80</v>
      </c>
      <c r="D2284" s="9" t="s">
        <v>45</v>
      </c>
      <c r="E2284" s="9" t="s">
        <v>81</v>
      </c>
      <c r="F2284" s="5" t="n">
        <v>36</v>
      </c>
      <c r="G2284" s="10"/>
      <c r="H2284" s="11" t="str">
        <f aca="false">IFERROR(IF($D2284="Manual Review","",IF($G2284="","",IF($D2284="Direct Expiry",$G2284,EDATE($G2284,$F2284)))),"Check Date")</f>
        <v/>
      </c>
      <c r="I2284" s="12" t="str">
        <f aca="true">IF($H2284="","",IF(ISNUMBER($H2284),$H2284-TODAY(),""))</f>
        <v/>
      </c>
      <c r="J2284" s="4" t="str">
        <f aca="true">IF($D2284="Manual Review","Manual Review",IF($G2284="","No Data",IF(NOT(ISNUMBER($H2284)),"N/A",IF($H2284&lt;TODAY(),"Overdue",IF($H2284&lt;=TODAY()+30,"Due within 1 Month",IF($H2284&lt;=TODAY()+60,"Due within 2 Months","OK"))))))</f>
        <v>No Data</v>
      </c>
      <c r="K2284" s="13"/>
    </row>
    <row r="2285" customFormat="false" ht="15" hidden="false" customHeight="false" outlineLevel="0" collapsed="false">
      <c r="A2285" s="9" t="str">
        <f aca="false">Vessels!B25</f>
        <v>Vessel 21</v>
      </c>
      <c r="B2285" s="9" t="s">
        <v>42</v>
      </c>
      <c r="C2285" s="7" t="s">
        <v>80</v>
      </c>
      <c r="D2285" s="9" t="s">
        <v>45</v>
      </c>
      <c r="E2285" s="9" t="s">
        <v>82</v>
      </c>
      <c r="F2285" s="5" t="n">
        <v>24</v>
      </c>
      <c r="G2285" s="10"/>
      <c r="H2285" s="11" t="str">
        <f aca="false">IFERROR(IF($D2285="Manual Review","",IF($G2285="","",IF($D2285="Direct Expiry",$G2285,EDATE($G2285,$F2285)))),"Check Date")</f>
        <v/>
      </c>
      <c r="I2285" s="12" t="str">
        <f aca="true">IF($H2285="","",IF(ISNUMBER($H2285),$H2285-TODAY(),""))</f>
        <v/>
      </c>
      <c r="J2285" s="4" t="str">
        <f aca="true">IF($D2285="Manual Review","Manual Review",IF($G2285="","No Data",IF(NOT(ISNUMBER($H2285)),"N/A",IF($H2285&lt;TODAY(),"Overdue",IF($H2285&lt;=TODAY()+30,"Due within 1 Month",IF($H2285&lt;=TODAY()+60,"Due within 2 Months","OK"))))))</f>
        <v>No Data</v>
      </c>
      <c r="K2285" s="13"/>
    </row>
    <row r="2286" customFormat="false" ht="15" hidden="false" customHeight="false" outlineLevel="0" collapsed="false">
      <c r="A2286" s="9" t="str">
        <f aca="false">Vessels!B25</f>
        <v>Vessel 21</v>
      </c>
      <c r="B2286" s="9" t="s">
        <v>42</v>
      </c>
      <c r="C2286" s="7" t="s">
        <v>83</v>
      </c>
      <c r="D2286" s="9" t="s">
        <v>45</v>
      </c>
      <c r="E2286" s="9" t="s">
        <v>44</v>
      </c>
      <c r="F2286" s="5" t="n">
        <v>12</v>
      </c>
      <c r="G2286" s="10"/>
      <c r="H2286" s="11" t="str">
        <f aca="false">IFERROR(IF($D2286="Manual Review","",IF($G2286="","",IF($D2286="Direct Expiry",$G2286,EDATE($G2286,$F2286)))),"Check Date")</f>
        <v/>
      </c>
      <c r="I2286" s="12" t="str">
        <f aca="true">IF($H2286="","",IF(ISNUMBER($H2286),$H2286-TODAY(),""))</f>
        <v/>
      </c>
      <c r="J2286" s="4" t="str">
        <f aca="true">IF($D2286="Manual Review","Manual Review",IF($G2286="","No Data",IF(NOT(ISNUMBER($H2286)),"N/A",IF($H2286&lt;TODAY(),"Overdue",IF($H2286&lt;=TODAY()+30,"Due within 1 Month",IF($H2286&lt;=TODAY()+60,"Due within 2 Months","OK"))))))</f>
        <v>No Data</v>
      </c>
      <c r="K2286" s="13"/>
    </row>
    <row r="2287" customFormat="false" ht="15" hidden="false" customHeight="false" outlineLevel="0" collapsed="false">
      <c r="A2287" s="9" t="str">
        <f aca="false">Vessels!B25</f>
        <v>Vessel 21</v>
      </c>
      <c r="B2287" s="9" t="s">
        <v>42</v>
      </c>
      <c r="C2287" s="7" t="s">
        <v>83</v>
      </c>
      <c r="D2287" s="9" t="s">
        <v>45</v>
      </c>
      <c r="E2287" s="9" t="s">
        <v>84</v>
      </c>
      <c r="F2287" s="5" t="n">
        <v>60</v>
      </c>
      <c r="G2287" s="10"/>
      <c r="H2287" s="11" t="str">
        <f aca="false">IFERROR(IF($D2287="Manual Review","",IF($G2287="","",IF($D2287="Direct Expiry",$G2287,EDATE($G2287,$F2287)))),"Check Date")</f>
        <v/>
      </c>
      <c r="I2287" s="12" t="str">
        <f aca="true">IF($H2287="","",IF(ISNUMBER($H2287),$H2287-TODAY(),""))</f>
        <v/>
      </c>
      <c r="J2287" s="4" t="str">
        <f aca="true">IF($D2287="Manual Review","Manual Review",IF($G2287="","No Data",IF(NOT(ISNUMBER($H2287)),"N/A",IF($H2287&lt;TODAY(),"Overdue",IF($H2287&lt;=TODAY()+30,"Due within 1 Month",IF($H2287&lt;=TODAY()+60,"Due within 2 Months","OK"))))))</f>
        <v>No Data</v>
      </c>
      <c r="K2287" s="13"/>
    </row>
    <row r="2288" customFormat="false" ht="15" hidden="false" customHeight="false" outlineLevel="0" collapsed="false">
      <c r="A2288" s="9" t="str">
        <f aca="false">Vessels!B25</f>
        <v>Vessel 21</v>
      </c>
      <c r="B2288" s="9" t="s">
        <v>42</v>
      </c>
      <c r="C2288" s="7" t="s">
        <v>85</v>
      </c>
      <c r="D2288" s="9" t="s">
        <v>45</v>
      </c>
      <c r="E2288" s="9" t="s">
        <v>44</v>
      </c>
      <c r="F2288" s="5" t="n">
        <v>12</v>
      </c>
      <c r="G2288" s="10"/>
      <c r="H2288" s="11" t="str">
        <f aca="false">IFERROR(IF($D2288="Manual Review","",IF($G2288="","",IF($D2288="Direct Expiry",$G2288,EDATE($G2288,$F2288)))),"Check Date")</f>
        <v/>
      </c>
      <c r="I2288" s="12" t="str">
        <f aca="true">IF($H2288="","",IF(ISNUMBER($H2288),$H2288-TODAY(),""))</f>
        <v/>
      </c>
      <c r="J2288" s="4" t="str">
        <f aca="true">IF($D2288="Manual Review","Manual Review",IF($G2288="","No Data",IF(NOT(ISNUMBER($H2288)),"N/A",IF($H2288&lt;TODAY(),"Overdue",IF($H2288&lt;=TODAY()+30,"Due within 1 Month",IF($H2288&lt;=TODAY()+60,"Due within 2 Months","OK"))))))</f>
        <v>No Data</v>
      </c>
      <c r="K2288" s="13"/>
    </row>
    <row r="2289" customFormat="false" ht="15" hidden="false" customHeight="false" outlineLevel="0" collapsed="false">
      <c r="A2289" s="9" t="str">
        <f aca="false">Vessels!B25</f>
        <v>Vessel 21</v>
      </c>
      <c r="B2289" s="9" t="s">
        <v>42</v>
      </c>
      <c r="C2289" s="7" t="s">
        <v>85</v>
      </c>
      <c r="D2289" s="9" t="s">
        <v>45</v>
      </c>
      <c r="E2289" s="9" t="s">
        <v>84</v>
      </c>
      <c r="F2289" s="5" t="n">
        <v>60</v>
      </c>
      <c r="G2289" s="10"/>
      <c r="H2289" s="11" t="str">
        <f aca="false">IFERROR(IF($D2289="Manual Review","",IF($G2289="","",IF($D2289="Direct Expiry",$G2289,EDATE($G2289,$F2289)))),"Check Date")</f>
        <v/>
      </c>
      <c r="I2289" s="12" t="str">
        <f aca="true">IF($H2289="","",IF(ISNUMBER($H2289),$H2289-TODAY(),""))</f>
        <v/>
      </c>
      <c r="J2289" s="4" t="str">
        <f aca="true">IF($D2289="Manual Review","Manual Review",IF($G2289="","No Data",IF(NOT(ISNUMBER($H2289)),"N/A",IF($H2289&lt;TODAY(),"Overdue",IF($H2289&lt;=TODAY()+30,"Due within 1 Month",IF($H2289&lt;=TODAY()+60,"Due within 2 Months","OK"))))))</f>
        <v>No Data</v>
      </c>
      <c r="K2289" s="13"/>
    </row>
    <row r="2290" customFormat="false" ht="15" hidden="false" customHeight="false" outlineLevel="0" collapsed="false">
      <c r="A2290" s="9" t="str">
        <f aca="false">Vessels!B25</f>
        <v>Vessel 21</v>
      </c>
      <c r="B2290" s="9" t="s">
        <v>42</v>
      </c>
      <c r="C2290" s="7" t="s">
        <v>86</v>
      </c>
      <c r="D2290" s="9" t="s">
        <v>45</v>
      </c>
      <c r="E2290" s="9" t="s">
        <v>44</v>
      </c>
      <c r="F2290" s="5" t="n">
        <v>12</v>
      </c>
      <c r="G2290" s="10"/>
      <c r="H2290" s="11" t="str">
        <f aca="false">IFERROR(IF($D2290="Manual Review","",IF($G2290="","",IF($D2290="Direct Expiry",$G2290,EDATE($G2290,$F2290)))),"Check Date")</f>
        <v/>
      </c>
      <c r="I2290" s="12" t="str">
        <f aca="true">IF($H2290="","",IF(ISNUMBER($H2290),$H2290-TODAY(),""))</f>
        <v/>
      </c>
      <c r="J2290" s="4" t="str">
        <f aca="true">IF($D2290="Manual Review","Manual Review",IF($G2290="","No Data",IF(NOT(ISNUMBER($H2290)),"N/A",IF($H2290&lt;TODAY(),"Overdue",IF($H2290&lt;=TODAY()+30,"Due within 1 Month",IF($H2290&lt;=TODAY()+60,"Due within 2 Months","OK"))))))</f>
        <v>No Data</v>
      </c>
      <c r="K2290" s="13"/>
    </row>
    <row r="2291" customFormat="false" ht="15" hidden="false" customHeight="false" outlineLevel="0" collapsed="false">
      <c r="A2291" s="9" t="str">
        <f aca="false">Vessels!B25</f>
        <v>Vessel 21</v>
      </c>
      <c r="B2291" s="9" t="s">
        <v>42</v>
      </c>
      <c r="C2291" s="7" t="s">
        <v>87</v>
      </c>
      <c r="D2291" s="9" t="s">
        <v>45</v>
      </c>
      <c r="E2291" s="9" t="s">
        <v>44</v>
      </c>
      <c r="F2291" s="5" t="n">
        <v>12</v>
      </c>
      <c r="G2291" s="10"/>
      <c r="H2291" s="11" t="str">
        <f aca="false">IFERROR(IF($D2291="Manual Review","",IF($G2291="","",IF($D2291="Direct Expiry",$G2291,EDATE($G2291,$F2291)))),"Check Date")</f>
        <v/>
      </c>
      <c r="I2291" s="12" t="str">
        <f aca="true">IF($H2291="","",IF(ISNUMBER($H2291),$H2291-TODAY(),""))</f>
        <v/>
      </c>
      <c r="J2291" s="4" t="str">
        <f aca="true">IF($D2291="Manual Review","Manual Review",IF($G2291="","No Data",IF(NOT(ISNUMBER($H2291)),"N/A",IF($H2291&lt;TODAY(),"Overdue",IF($H2291&lt;=TODAY()+30,"Due within 1 Month",IF($H2291&lt;=TODAY()+60,"Due within 2 Months","OK"))))))</f>
        <v>No Data</v>
      </c>
      <c r="K2291" s="13"/>
    </row>
    <row r="2292" customFormat="false" ht="15" hidden="false" customHeight="false" outlineLevel="0" collapsed="false">
      <c r="A2292" s="9" t="str">
        <f aca="false">Vessels!B25</f>
        <v>Vessel 21</v>
      </c>
      <c r="B2292" s="9" t="s">
        <v>88</v>
      </c>
      <c r="C2292" s="7" t="s">
        <v>89</v>
      </c>
      <c r="D2292" s="9" t="s">
        <v>45</v>
      </c>
      <c r="E2292" s="9" t="s">
        <v>90</v>
      </c>
      <c r="F2292" s="5" t="n">
        <v>36</v>
      </c>
      <c r="G2292" s="10"/>
      <c r="H2292" s="11" t="str">
        <f aca="false">IFERROR(IF($D2292="Manual Review","",IF($G2292="","",IF($D2292="Direct Expiry",$G2292,EDATE($G2292,$F2292)))),"Check Date")</f>
        <v/>
      </c>
      <c r="I2292" s="12" t="str">
        <f aca="true">IF($H2292="","",IF(ISNUMBER($H2292),$H2292-TODAY(),""))</f>
        <v/>
      </c>
      <c r="J2292" s="4" t="str">
        <f aca="true">IF($D2292="Manual Review","Manual Review",IF($G2292="","No Data",IF(NOT(ISNUMBER($H2292)),"N/A",IF($H2292&lt;TODAY(),"Overdue",IF($H2292&lt;=TODAY()+30,"Due within 1 Month",IF($H2292&lt;=TODAY()+60,"Due within 2 Months","OK"))))))</f>
        <v>No Data</v>
      </c>
      <c r="K2292" s="13"/>
    </row>
    <row r="2293" customFormat="false" ht="15" hidden="false" customHeight="false" outlineLevel="0" collapsed="false">
      <c r="A2293" s="9" t="str">
        <f aca="false">Vessels!B25</f>
        <v>Vessel 21</v>
      </c>
      <c r="B2293" s="9" t="s">
        <v>88</v>
      </c>
      <c r="C2293" s="7" t="s">
        <v>91</v>
      </c>
      <c r="D2293" s="9" t="s">
        <v>45</v>
      </c>
      <c r="E2293" s="9" t="s">
        <v>44</v>
      </c>
      <c r="F2293" s="5" t="n">
        <v>12</v>
      </c>
      <c r="G2293" s="10"/>
      <c r="H2293" s="11" t="str">
        <f aca="false">IFERROR(IF($D2293="Manual Review","",IF($G2293="","",IF($D2293="Direct Expiry",$G2293,EDATE($G2293,$F2293)))),"Check Date")</f>
        <v/>
      </c>
      <c r="I2293" s="12" t="str">
        <f aca="true">IF($H2293="","",IF(ISNUMBER($H2293),$H2293-TODAY(),""))</f>
        <v/>
      </c>
      <c r="J2293" s="4" t="str">
        <f aca="true">IF($D2293="Manual Review","Manual Review",IF($G2293="","No Data",IF(NOT(ISNUMBER($H2293)),"N/A",IF($H2293&lt;TODAY(),"Overdue",IF($H2293&lt;=TODAY()+30,"Due within 1 Month",IF($H2293&lt;=TODAY()+60,"Due within 2 Months","OK"))))))</f>
        <v>No Data</v>
      </c>
      <c r="K2293" s="13"/>
    </row>
    <row r="2294" customFormat="false" ht="15" hidden="false" customHeight="false" outlineLevel="0" collapsed="false">
      <c r="A2294" s="9" t="str">
        <f aca="false">Vessels!B25</f>
        <v>Vessel 21</v>
      </c>
      <c r="B2294" s="9" t="s">
        <v>88</v>
      </c>
      <c r="C2294" s="7" t="s">
        <v>91</v>
      </c>
      <c r="D2294" s="9" t="s">
        <v>45</v>
      </c>
      <c r="E2294" s="9" t="s">
        <v>92</v>
      </c>
      <c r="F2294" s="5" t="n">
        <v>120</v>
      </c>
      <c r="G2294" s="10"/>
      <c r="H2294" s="11" t="str">
        <f aca="false">IFERROR(IF($D2294="Manual Review","",IF($G2294="","",IF($D2294="Direct Expiry",$G2294,EDATE($G2294,$F2294)))),"Check Date")</f>
        <v/>
      </c>
      <c r="I2294" s="12" t="str">
        <f aca="true">IF($H2294="","",IF(ISNUMBER($H2294),$H2294-TODAY(),""))</f>
        <v/>
      </c>
      <c r="J2294" s="4" t="str">
        <f aca="true">IF($D2294="Manual Review","Manual Review",IF($G2294="","No Data",IF(NOT(ISNUMBER($H2294)),"N/A",IF($H2294&lt;TODAY(),"Overdue",IF($H2294&lt;=TODAY()+30,"Due within 1 Month",IF($H2294&lt;=TODAY()+60,"Due within 2 Months","OK"))))))</f>
        <v>No Data</v>
      </c>
      <c r="K2294" s="13"/>
    </row>
    <row r="2295" customFormat="false" ht="15" hidden="false" customHeight="false" outlineLevel="0" collapsed="false">
      <c r="A2295" s="9" t="str">
        <f aca="false">Vessels!B25</f>
        <v>Vessel 21</v>
      </c>
      <c r="B2295" s="9" t="s">
        <v>88</v>
      </c>
      <c r="C2295" s="7" t="s">
        <v>93</v>
      </c>
      <c r="D2295" s="9" t="s">
        <v>45</v>
      </c>
      <c r="E2295" s="9" t="s">
        <v>44</v>
      </c>
      <c r="F2295" s="5" t="n">
        <v>12</v>
      </c>
      <c r="G2295" s="10"/>
      <c r="H2295" s="11" t="str">
        <f aca="false">IFERROR(IF($D2295="Manual Review","",IF($G2295="","",IF($D2295="Direct Expiry",$G2295,EDATE($G2295,$F2295)))),"Check Date")</f>
        <v/>
      </c>
      <c r="I2295" s="12" t="str">
        <f aca="true">IF($H2295="","",IF(ISNUMBER($H2295),$H2295-TODAY(),""))</f>
        <v/>
      </c>
      <c r="J2295" s="4" t="str">
        <f aca="true">IF($D2295="Manual Review","Manual Review",IF($G2295="","No Data",IF(NOT(ISNUMBER($H2295)),"N/A",IF($H2295&lt;TODAY(),"Overdue",IF($H2295&lt;=TODAY()+30,"Due within 1 Month",IF($H2295&lt;=TODAY()+60,"Due within 2 Months","OK"))))))</f>
        <v>No Data</v>
      </c>
      <c r="K2295" s="13"/>
    </row>
    <row r="2296" customFormat="false" ht="15" hidden="false" customHeight="false" outlineLevel="0" collapsed="false">
      <c r="A2296" s="9" t="str">
        <f aca="false">Vessels!B25</f>
        <v>Vessel 21</v>
      </c>
      <c r="B2296" s="9" t="s">
        <v>88</v>
      </c>
      <c r="C2296" s="7" t="s">
        <v>93</v>
      </c>
      <c r="D2296" s="9" t="s">
        <v>45</v>
      </c>
      <c r="E2296" s="9" t="s">
        <v>92</v>
      </c>
      <c r="F2296" s="5" t="n">
        <v>120</v>
      </c>
      <c r="G2296" s="10"/>
      <c r="H2296" s="11" t="str">
        <f aca="false">IFERROR(IF($D2296="Manual Review","",IF($G2296="","",IF($D2296="Direct Expiry",$G2296,EDATE($G2296,$F2296)))),"Check Date")</f>
        <v/>
      </c>
      <c r="I2296" s="12" t="str">
        <f aca="true">IF($H2296="","",IF(ISNUMBER($H2296),$H2296-TODAY(),""))</f>
        <v/>
      </c>
      <c r="J2296" s="4" t="str">
        <f aca="true">IF($D2296="Manual Review","Manual Review",IF($G2296="","No Data",IF(NOT(ISNUMBER($H2296)),"N/A",IF($H2296&lt;TODAY(),"Overdue",IF($H2296&lt;=TODAY()+30,"Due within 1 Month",IF($H2296&lt;=TODAY()+60,"Due within 2 Months","OK"))))))</f>
        <v>No Data</v>
      </c>
      <c r="K2296" s="13"/>
    </row>
    <row r="2297" customFormat="false" ht="15" hidden="false" customHeight="false" outlineLevel="0" collapsed="false">
      <c r="A2297" s="9" t="str">
        <f aca="false">Vessels!B25</f>
        <v>Vessel 21</v>
      </c>
      <c r="B2297" s="9" t="s">
        <v>88</v>
      </c>
      <c r="C2297" s="7" t="s">
        <v>94</v>
      </c>
      <c r="D2297" s="9" t="s">
        <v>45</v>
      </c>
      <c r="E2297" s="9" t="s">
        <v>44</v>
      </c>
      <c r="F2297" s="5" t="n">
        <v>12</v>
      </c>
      <c r="G2297" s="10"/>
      <c r="H2297" s="11" t="str">
        <f aca="false">IFERROR(IF($D2297="Manual Review","",IF($G2297="","",IF($D2297="Direct Expiry",$G2297,EDATE($G2297,$F2297)))),"Check Date")</f>
        <v/>
      </c>
      <c r="I2297" s="12" t="str">
        <f aca="true">IF($H2297="","",IF(ISNUMBER($H2297),$H2297-TODAY(),""))</f>
        <v/>
      </c>
      <c r="J2297" s="4" t="str">
        <f aca="true">IF($D2297="Manual Review","Manual Review",IF($G2297="","No Data",IF(NOT(ISNUMBER($H2297)),"N/A",IF($H2297&lt;TODAY(),"Overdue",IF($H2297&lt;=TODAY()+30,"Due within 1 Month",IF($H2297&lt;=TODAY()+60,"Due within 2 Months","OK"))))))</f>
        <v>No Data</v>
      </c>
      <c r="K2297" s="13"/>
    </row>
    <row r="2298" customFormat="false" ht="15" hidden="false" customHeight="false" outlineLevel="0" collapsed="false">
      <c r="A2298" s="9" t="str">
        <f aca="false">Vessels!B25</f>
        <v>Vessel 21</v>
      </c>
      <c r="B2298" s="9" t="s">
        <v>88</v>
      </c>
      <c r="C2298" s="7" t="s">
        <v>94</v>
      </c>
      <c r="D2298" s="9" t="s">
        <v>45</v>
      </c>
      <c r="E2298" s="9" t="s">
        <v>92</v>
      </c>
      <c r="F2298" s="5" t="n">
        <v>120</v>
      </c>
      <c r="G2298" s="10"/>
      <c r="H2298" s="11" t="str">
        <f aca="false">IFERROR(IF($D2298="Manual Review","",IF($G2298="","",IF($D2298="Direct Expiry",$G2298,EDATE($G2298,$F2298)))),"Check Date")</f>
        <v/>
      </c>
      <c r="I2298" s="12" t="str">
        <f aca="true">IF($H2298="","",IF(ISNUMBER($H2298),$H2298-TODAY(),""))</f>
        <v/>
      </c>
      <c r="J2298" s="4" t="str">
        <f aca="true">IF($D2298="Manual Review","Manual Review",IF($G2298="","No Data",IF(NOT(ISNUMBER($H2298)),"N/A",IF($H2298&lt;TODAY(),"Overdue",IF($H2298&lt;=TODAY()+30,"Due within 1 Month",IF($H2298&lt;=TODAY()+60,"Due within 2 Months","OK"))))))</f>
        <v>No Data</v>
      </c>
      <c r="K2298" s="13"/>
    </row>
    <row r="2299" customFormat="false" ht="15" hidden="false" customHeight="false" outlineLevel="0" collapsed="false">
      <c r="A2299" s="9" t="str">
        <f aca="false">Vessels!B25</f>
        <v>Vessel 21</v>
      </c>
      <c r="B2299" s="9" t="s">
        <v>88</v>
      </c>
      <c r="C2299" s="7" t="s">
        <v>95</v>
      </c>
      <c r="D2299" s="9" t="s">
        <v>45</v>
      </c>
      <c r="E2299" s="9" t="s">
        <v>44</v>
      </c>
      <c r="F2299" s="5" t="n">
        <v>12</v>
      </c>
      <c r="G2299" s="10"/>
      <c r="H2299" s="11" t="str">
        <f aca="false">IFERROR(IF($D2299="Manual Review","",IF($G2299="","",IF($D2299="Direct Expiry",$G2299,EDATE($G2299,$F2299)))),"Check Date")</f>
        <v/>
      </c>
      <c r="I2299" s="12" t="str">
        <f aca="true">IF($H2299="","",IF(ISNUMBER($H2299),$H2299-TODAY(),""))</f>
        <v/>
      </c>
      <c r="J2299" s="4" t="str">
        <f aca="true">IF($D2299="Manual Review","Manual Review",IF($G2299="","No Data",IF(NOT(ISNUMBER($H2299)),"N/A",IF($H2299&lt;TODAY(),"Overdue",IF($H2299&lt;=TODAY()+30,"Due within 1 Month",IF($H2299&lt;=TODAY()+60,"Due within 2 Months","OK"))))))</f>
        <v>No Data</v>
      </c>
      <c r="K2299" s="13"/>
    </row>
    <row r="2300" customFormat="false" ht="15" hidden="false" customHeight="false" outlineLevel="0" collapsed="false">
      <c r="A2300" s="9" t="str">
        <f aca="false">Vessels!B25</f>
        <v>Vessel 21</v>
      </c>
      <c r="B2300" s="9" t="s">
        <v>88</v>
      </c>
      <c r="C2300" s="7" t="s">
        <v>95</v>
      </c>
      <c r="D2300" s="9" t="s">
        <v>45</v>
      </c>
      <c r="E2300" s="9" t="s">
        <v>92</v>
      </c>
      <c r="F2300" s="5" t="n">
        <v>120</v>
      </c>
      <c r="G2300" s="10"/>
      <c r="H2300" s="11" t="str">
        <f aca="false">IFERROR(IF($D2300="Manual Review","",IF($G2300="","",IF($D2300="Direct Expiry",$G2300,EDATE($G2300,$F2300)))),"Check Date")</f>
        <v/>
      </c>
      <c r="I2300" s="12" t="str">
        <f aca="true">IF($H2300="","",IF(ISNUMBER($H2300),$H2300-TODAY(),""))</f>
        <v/>
      </c>
      <c r="J2300" s="4" t="str">
        <f aca="true">IF($D2300="Manual Review","Manual Review",IF($G2300="","No Data",IF(NOT(ISNUMBER($H2300)),"N/A",IF($H2300&lt;TODAY(),"Overdue",IF($H2300&lt;=TODAY()+30,"Due within 1 Month",IF($H2300&lt;=TODAY()+60,"Due within 2 Months","OK"))))))</f>
        <v>No Data</v>
      </c>
      <c r="K2300" s="13"/>
    </row>
    <row r="2301" customFormat="false" ht="15" hidden="false" customHeight="false" outlineLevel="0" collapsed="false">
      <c r="A2301" s="9" t="str">
        <f aca="false">Vessels!B25</f>
        <v>Vessel 21</v>
      </c>
      <c r="B2301" s="9" t="s">
        <v>88</v>
      </c>
      <c r="C2301" s="7" t="s">
        <v>96</v>
      </c>
      <c r="D2301" s="9" t="s">
        <v>45</v>
      </c>
      <c r="E2301" s="9" t="s">
        <v>44</v>
      </c>
      <c r="F2301" s="5" t="n">
        <v>12</v>
      </c>
      <c r="G2301" s="10"/>
      <c r="H2301" s="11" t="str">
        <f aca="false">IFERROR(IF($D2301="Manual Review","",IF($G2301="","",IF($D2301="Direct Expiry",$G2301,EDATE($G2301,$F2301)))),"Check Date")</f>
        <v/>
      </c>
      <c r="I2301" s="12" t="str">
        <f aca="true">IF($H2301="","",IF(ISNUMBER($H2301),$H2301-TODAY(),""))</f>
        <v/>
      </c>
      <c r="J2301" s="4" t="str">
        <f aca="true">IF($D2301="Manual Review","Manual Review",IF($G2301="","No Data",IF(NOT(ISNUMBER($H2301)),"N/A",IF($H2301&lt;TODAY(),"Overdue",IF($H2301&lt;=TODAY()+30,"Due within 1 Month",IF($H2301&lt;=TODAY()+60,"Due within 2 Months","OK"))))))</f>
        <v>No Data</v>
      </c>
      <c r="K2301" s="13"/>
    </row>
    <row r="2302" customFormat="false" ht="15" hidden="false" customHeight="false" outlineLevel="0" collapsed="false">
      <c r="A2302" s="9" t="str">
        <f aca="false">Vessels!B25</f>
        <v>Vessel 21</v>
      </c>
      <c r="B2302" s="9" t="s">
        <v>88</v>
      </c>
      <c r="C2302" s="7" t="s">
        <v>96</v>
      </c>
      <c r="D2302" s="9" t="s">
        <v>45</v>
      </c>
      <c r="E2302" s="9" t="s">
        <v>97</v>
      </c>
      <c r="F2302" s="5" t="n">
        <v>120</v>
      </c>
      <c r="G2302" s="10"/>
      <c r="H2302" s="11" t="str">
        <f aca="false">IFERROR(IF($D2302="Manual Review","",IF($G2302="","",IF($D2302="Direct Expiry",$G2302,EDATE($G2302,$F2302)))),"Check Date")</f>
        <v/>
      </c>
      <c r="I2302" s="12" t="str">
        <f aca="true">IF($H2302="","",IF(ISNUMBER($H2302),$H2302-TODAY(),""))</f>
        <v/>
      </c>
      <c r="J2302" s="4" t="str">
        <f aca="true">IF($D2302="Manual Review","Manual Review",IF($G2302="","No Data",IF(NOT(ISNUMBER($H2302)),"N/A",IF($H2302&lt;TODAY(),"Overdue",IF($H2302&lt;=TODAY()+30,"Due within 1 Month",IF($H2302&lt;=TODAY()+60,"Due within 2 Months","OK"))))))</f>
        <v>No Data</v>
      </c>
      <c r="K2302" s="13"/>
    </row>
    <row r="2303" customFormat="false" ht="15" hidden="false" customHeight="false" outlineLevel="0" collapsed="false">
      <c r="A2303" s="9" t="str">
        <f aca="false">Vessels!B25</f>
        <v>Vessel 21</v>
      </c>
      <c r="B2303" s="9" t="s">
        <v>88</v>
      </c>
      <c r="C2303" s="7" t="s">
        <v>98</v>
      </c>
      <c r="D2303" s="9" t="s">
        <v>45</v>
      </c>
      <c r="E2303" s="9" t="s">
        <v>44</v>
      </c>
      <c r="F2303" s="5" t="n">
        <v>12</v>
      </c>
      <c r="G2303" s="10"/>
      <c r="H2303" s="11" t="str">
        <f aca="false">IFERROR(IF($D2303="Manual Review","",IF($G2303="","",IF($D2303="Direct Expiry",$G2303,EDATE($G2303,$F2303)))),"Check Date")</f>
        <v/>
      </c>
      <c r="I2303" s="12" t="str">
        <f aca="true">IF($H2303="","",IF(ISNUMBER($H2303),$H2303-TODAY(),""))</f>
        <v/>
      </c>
      <c r="J2303" s="4" t="str">
        <f aca="true">IF($D2303="Manual Review","Manual Review",IF($G2303="","No Data",IF(NOT(ISNUMBER($H2303)),"N/A",IF($H2303&lt;TODAY(),"Overdue",IF($H2303&lt;=TODAY()+30,"Due within 1 Month",IF($H2303&lt;=TODAY()+60,"Due within 2 Months","OK"))))))</f>
        <v>No Data</v>
      </c>
      <c r="K2303" s="13"/>
    </row>
    <row r="2304" customFormat="false" ht="15" hidden="false" customHeight="false" outlineLevel="0" collapsed="false">
      <c r="A2304" s="9" t="str">
        <f aca="false">Vessels!B25</f>
        <v>Vessel 21</v>
      </c>
      <c r="B2304" s="9" t="s">
        <v>88</v>
      </c>
      <c r="C2304" s="7" t="s">
        <v>98</v>
      </c>
      <c r="D2304" s="9" t="s">
        <v>45</v>
      </c>
      <c r="E2304" s="9" t="s">
        <v>99</v>
      </c>
      <c r="F2304" s="5" t="n">
        <v>60</v>
      </c>
      <c r="G2304" s="10"/>
      <c r="H2304" s="11" t="str">
        <f aca="false">IFERROR(IF($D2304="Manual Review","",IF($G2304="","",IF($D2304="Direct Expiry",$G2304,EDATE($G2304,$F2304)))),"Check Date")</f>
        <v/>
      </c>
      <c r="I2304" s="12" t="str">
        <f aca="true">IF($H2304="","",IF(ISNUMBER($H2304),$H2304-TODAY(),""))</f>
        <v/>
      </c>
      <c r="J2304" s="4" t="str">
        <f aca="true">IF($D2304="Manual Review","Manual Review",IF($G2304="","No Data",IF(NOT(ISNUMBER($H2304)),"N/A",IF($H2304&lt;TODAY(),"Overdue",IF($H2304&lt;=TODAY()+30,"Due within 1 Month",IF($H2304&lt;=TODAY()+60,"Due within 2 Months","OK"))))))</f>
        <v>No Data</v>
      </c>
      <c r="K2304" s="13"/>
    </row>
    <row r="2305" customFormat="false" ht="15" hidden="false" customHeight="false" outlineLevel="0" collapsed="false">
      <c r="A2305" s="9" t="str">
        <f aca="false">Vessels!B25</f>
        <v>Vessel 21</v>
      </c>
      <c r="B2305" s="9" t="s">
        <v>88</v>
      </c>
      <c r="C2305" s="7" t="s">
        <v>100</v>
      </c>
      <c r="D2305" s="9" t="s">
        <v>45</v>
      </c>
      <c r="E2305" s="9" t="s">
        <v>44</v>
      </c>
      <c r="F2305" s="5" t="n">
        <v>12</v>
      </c>
      <c r="G2305" s="10"/>
      <c r="H2305" s="11" t="str">
        <f aca="false">IFERROR(IF($D2305="Manual Review","",IF($G2305="","",IF($D2305="Direct Expiry",$G2305,EDATE($G2305,$F2305)))),"Check Date")</f>
        <v/>
      </c>
      <c r="I2305" s="12" t="str">
        <f aca="true">IF($H2305="","",IF(ISNUMBER($H2305),$H2305-TODAY(),""))</f>
        <v/>
      </c>
      <c r="J2305" s="4" t="str">
        <f aca="true">IF($D2305="Manual Review","Manual Review",IF($G2305="","No Data",IF(NOT(ISNUMBER($H2305)),"N/A",IF($H2305&lt;TODAY(),"Overdue",IF($H2305&lt;=TODAY()+30,"Due within 1 Month",IF($H2305&lt;=TODAY()+60,"Due within 2 Months","OK"))))))</f>
        <v>No Data</v>
      </c>
      <c r="K2305" s="13"/>
    </row>
    <row r="2306" customFormat="false" ht="15" hidden="false" customHeight="false" outlineLevel="0" collapsed="false">
      <c r="A2306" s="9" t="str">
        <f aca="false">Vessels!B25</f>
        <v>Vessel 21</v>
      </c>
      <c r="B2306" s="9" t="s">
        <v>88</v>
      </c>
      <c r="C2306" s="7" t="s">
        <v>100</v>
      </c>
      <c r="D2306" s="9" t="s">
        <v>45</v>
      </c>
      <c r="E2306" s="9" t="s">
        <v>99</v>
      </c>
      <c r="F2306" s="5" t="n">
        <v>60</v>
      </c>
      <c r="G2306" s="10"/>
      <c r="H2306" s="11" t="str">
        <f aca="false">IFERROR(IF($D2306="Manual Review","",IF($G2306="","",IF($D2306="Direct Expiry",$G2306,EDATE($G2306,$F2306)))),"Check Date")</f>
        <v/>
      </c>
      <c r="I2306" s="12" t="str">
        <f aca="true">IF($H2306="","",IF(ISNUMBER($H2306),$H2306-TODAY(),""))</f>
        <v/>
      </c>
      <c r="J2306" s="4" t="str">
        <f aca="true">IF($D2306="Manual Review","Manual Review",IF($G2306="","No Data",IF(NOT(ISNUMBER($H2306)),"N/A",IF($H2306&lt;TODAY(),"Overdue",IF($H2306&lt;=TODAY()+30,"Due within 1 Month",IF($H2306&lt;=TODAY()+60,"Due within 2 Months","OK"))))))</f>
        <v>No Data</v>
      </c>
      <c r="K2306" s="13"/>
    </row>
    <row r="2307" customFormat="false" ht="15" hidden="false" customHeight="false" outlineLevel="0" collapsed="false">
      <c r="A2307" s="9" t="str">
        <f aca="false">Vessels!B25</f>
        <v>Vessel 21</v>
      </c>
      <c r="B2307" s="9" t="s">
        <v>88</v>
      </c>
      <c r="C2307" s="7" t="s">
        <v>101</v>
      </c>
      <c r="D2307" s="9" t="s">
        <v>45</v>
      </c>
      <c r="E2307" s="9" t="s">
        <v>44</v>
      </c>
      <c r="F2307" s="5" t="n">
        <v>12</v>
      </c>
      <c r="G2307" s="10"/>
      <c r="H2307" s="11" t="str">
        <f aca="false">IFERROR(IF($D2307="Manual Review","",IF($G2307="","",IF($D2307="Direct Expiry",$G2307,EDATE($G2307,$F2307)))),"Check Date")</f>
        <v/>
      </c>
      <c r="I2307" s="12" t="str">
        <f aca="true">IF($H2307="","",IF(ISNUMBER($H2307),$H2307-TODAY(),""))</f>
        <v/>
      </c>
      <c r="J2307" s="4" t="str">
        <f aca="true">IF($D2307="Manual Review","Manual Review",IF($G2307="","No Data",IF(NOT(ISNUMBER($H2307)),"N/A",IF($H2307&lt;TODAY(),"Overdue",IF($H2307&lt;=TODAY()+30,"Due within 1 Month",IF($H2307&lt;=TODAY()+60,"Due within 2 Months","OK"))))))</f>
        <v>No Data</v>
      </c>
      <c r="K2307" s="13"/>
    </row>
    <row r="2308" customFormat="false" ht="23.85" hidden="false" customHeight="false" outlineLevel="0" collapsed="false">
      <c r="A2308" s="9" t="str">
        <f aca="false">Vessels!B25</f>
        <v>Vessel 21</v>
      </c>
      <c r="B2308" s="9" t="s">
        <v>88</v>
      </c>
      <c r="C2308" s="7" t="s">
        <v>102</v>
      </c>
      <c r="D2308" s="9" t="s">
        <v>45</v>
      </c>
      <c r="E2308" s="9" t="s">
        <v>44</v>
      </c>
      <c r="F2308" s="5" t="n">
        <v>12</v>
      </c>
      <c r="G2308" s="10"/>
      <c r="H2308" s="11" t="str">
        <f aca="false">IFERROR(IF($D2308="Manual Review","",IF($G2308="","",IF($D2308="Direct Expiry",$G2308,EDATE($G2308,$F2308)))),"Check Date")</f>
        <v/>
      </c>
      <c r="I2308" s="12" t="str">
        <f aca="true">IF($H2308="","",IF(ISNUMBER($H2308),$H2308-TODAY(),""))</f>
        <v/>
      </c>
      <c r="J2308" s="4" t="str">
        <f aca="true">IF($D2308="Manual Review","Manual Review",IF($G2308="","No Data",IF(NOT(ISNUMBER($H2308)),"N/A",IF($H2308&lt;TODAY(),"Overdue",IF($H2308&lt;=TODAY()+30,"Due within 1 Month",IF($H2308&lt;=TODAY()+60,"Due within 2 Months","OK"))))))</f>
        <v>No Data</v>
      </c>
      <c r="K2308" s="13"/>
    </row>
    <row r="2309" customFormat="false" ht="23.85" hidden="false" customHeight="false" outlineLevel="0" collapsed="false">
      <c r="A2309" s="9" t="str">
        <f aca="false">Vessels!B25</f>
        <v>Vessel 21</v>
      </c>
      <c r="B2309" s="9" t="s">
        <v>88</v>
      </c>
      <c r="C2309" s="7" t="s">
        <v>102</v>
      </c>
      <c r="D2309" s="9" t="s">
        <v>45</v>
      </c>
      <c r="E2309" s="9" t="s">
        <v>97</v>
      </c>
      <c r="F2309" s="5" t="n">
        <v>120</v>
      </c>
      <c r="G2309" s="10"/>
      <c r="H2309" s="11" t="str">
        <f aca="false">IFERROR(IF($D2309="Manual Review","",IF($G2309="","",IF($D2309="Direct Expiry",$G2309,EDATE($G2309,$F2309)))),"Check Date")</f>
        <v/>
      </c>
      <c r="I2309" s="12" t="str">
        <f aca="true">IF($H2309="","",IF(ISNUMBER($H2309),$H2309-TODAY(),""))</f>
        <v/>
      </c>
      <c r="J2309" s="4" t="str">
        <f aca="true">IF($D2309="Manual Review","Manual Review",IF($G2309="","No Data",IF(NOT(ISNUMBER($H2309)),"N/A",IF($H2309&lt;TODAY(),"Overdue",IF($H2309&lt;=TODAY()+30,"Due within 1 Month",IF($H2309&lt;=TODAY()+60,"Due within 2 Months","OK"))))))</f>
        <v>No Data</v>
      </c>
      <c r="K2309" s="13"/>
    </row>
    <row r="2310" customFormat="false" ht="15" hidden="false" customHeight="false" outlineLevel="0" collapsed="false">
      <c r="A2310" s="9" t="str">
        <f aca="false">Vessels!B25</f>
        <v>Vessel 21</v>
      </c>
      <c r="B2310" s="9" t="s">
        <v>88</v>
      </c>
      <c r="C2310" s="7" t="s">
        <v>103</v>
      </c>
      <c r="D2310" s="9" t="s">
        <v>45</v>
      </c>
      <c r="E2310" s="9" t="s">
        <v>44</v>
      </c>
      <c r="F2310" s="5" t="n">
        <v>12</v>
      </c>
      <c r="G2310" s="10"/>
      <c r="H2310" s="11" t="str">
        <f aca="false">IFERROR(IF($D2310="Manual Review","",IF($G2310="","",IF($D2310="Direct Expiry",$G2310,EDATE($G2310,$F2310)))),"Check Date")</f>
        <v/>
      </c>
      <c r="I2310" s="12" t="str">
        <f aca="true">IF($H2310="","",IF(ISNUMBER($H2310),$H2310-TODAY(),""))</f>
        <v/>
      </c>
      <c r="J2310" s="4" t="str">
        <f aca="true">IF($D2310="Manual Review","Manual Review",IF($G2310="","No Data",IF(NOT(ISNUMBER($H2310)),"N/A",IF($H2310&lt;TODAY(),"Overdue",IF($H2310&lt;=TODAY()+30,"Due within 1 Month",IF($H2310&lt;=TODAY()+60,"Due within 2 Months","OK"))))))</f>
        <v>No Data</v>
      </c>
      <c r="K2310" s="13"/>
    </row>
    <row r="2311" customFormat="false" ht="15" hidden="false" customHeight="false" outlineLevel="0" collapsed="false">
      <c r="A2311" s="9" t="str">
        <f aca="false">Vessels!B25</f>
        <v>Vessel 21</v>
      </c>
      <c r="B2311" s="9" t="s">
        <v>88</v>
      </c>
      <c r="C2311" s="7" t="s">
        <v>103</v>
      </c>
      <c r="D2311" s="9" t="s">
        <v>45</v>
      </c>
      <c r="E2311" s="9" t="s">
        <v>97</v>
      </c>
      <c r="F2311" s="5" t="n">
        <v>120</v>
      </c>
      <c r="G2311" s="10"/>
      <c r="H2311" s="11" t="str">
        <f aca="false">IFERROR(IF($D2311="Manual Review","",IF($G2311="","",IF($D2311="Direct Expiry",$G2311,EDATE($G2311,$F2311)))),"Check Date")</f>
        <v/>
      </c>
      <c r="I2311" s="12" t="str">
        <f aca="true">IF($H2311="","",IF(ISNUMBER($H2311),$H2311-TODAY(),""))</f>
        <v/>
      </c>
      <c r="J2311" s="4" t="str">
        <f aca="true">IF($D2311="Manual Review","Manual Review",IF($G2311="","No Data",IF(NOT(ISNUMBER($H2311)),"N/A",IF($H2311&lt;TODAY(),"Overdue",IF($H2311&lt;=TODAY()+30,"Due within 1 Month",IF($H2311&lt;=TODAY()+60,"Due within 2 Months","OK"))))))</f>
        <v>No Data</v>
      </c>
      <c r="K2311" s="13"/>
    </row>
    <row r="2312" customFormat="false" ht="15" hidden="false" customHeight="false" outlineLevel="0" collapsed="false">
      <c r="A2312" s="9" t="str">
        <f aca="false">Vessels!B25</f>
        <v>Vessel 21</v>
      </c>
      <c r="B2312" s="9" t="s">
        <v>88</v>
      </c>
      <c r="C2312" s="7" t="s">
        <v>104</v>
      </c>
      <c r="D2312" s="9" t="s">
        <v>45</v>
      </c>
      <c r="E2312" s="9" t="s">
        <v>44</v>
      </c>
      <c r="F2312" s="5" t="n">
        <v>12</v>
      </c>
      <c r="G2312" s="10"/>
      <c r="H2312" s="11" t="str">
        <f aca="false">IFERROR(IF($D2312="Manual Review","",IF($G2312="","",IF($D2312="Direct Expiry",$G2312,EDATE($G2312,$F2312)))),"Check Date")</f>
        <v/>
      </c>
      <c r="I2312" s="12" t="str">
        <f aca="true">IF($H2312="","",IF(ISNUMBER($H2312),$H2312-TODAY(),""))</f>
        <v/>
      </c>
      <c r="J2312" s="4" t="str">
        <f aca="true">IF($D2312="Manual Review","Manual Review",IF($G2312="","No Data",IF(NOT(ISNUMBER($H2312)),"N/A",IF($H2312&lt;TODAY(),"Overdue",IF($H2312&lt;=TODAY()+30,"Due within 1 Month",IF($H2312&lt;=TODAY()+60,"Due within 2 Months","OK"))))))</f>
        <v>No Data</v>
      </c>
      <c r="K2312" s="13"/>
    </row>
    <row r="2313" customFormat="false" ht="15" hidden="false" customHeight="false" outlineLevel="0" collapsed="false">
      <c r="A2313" s="9" t="str">
        <f aca="false">Vessels!B25</f>
        <v>Vessel 21</v>
      </c>
      <c r="B2313" s="9" t="s">
        <v>88</v>
      </c>
      <c r="C2313" s="7" t="s">
        <v>105</v>
      </c>
      <c r="D2313" s="9" t="s">
        <v>45</v>
      </c>
      <c r="E2313" s="9" t="s">
        <v>44</v>
      </c>
      <c r="F2313" s="5" t="n">
        <v>12</v>
      </c>
      <c r="G2313" s="10"/>
      <c r="H2313" s="11" t="str">
        <f aca="false">IFERROR(IF($D2313="Manual Review","",IF($G2313="","",IF($D2313="Direct Expiry",$G2313,EDATE($G2313,$F2313)))),"Check Date")</f>
        <v/>
      </c>
      <c r="I2313" s="12" t="str">
        <f aca="true">IF($H2313="","",IF(ISNUMBER($H2313),$H2313-TODAY(),""))</f>
        <v/>
      </c>
      <c r="J2313" s="4" t="str">
        <f aca="true">IF($D2313="Manual Review","Manual Review",IF($G2313="","No Data",IF(NOT(ISNUMBER($H2313)),"N/A",IF($H2313&lt;TODAY(),"Overdue",IF($H2313&lt;=TODAY()+30,"Due within 1 Month",IF($H2313&lt;=TODAY()+60,"Due within 2 Months","OK"))))))</f>
        <v>No Data</v>
      </c>
      <c r="K2313" s="13"/>
    </row>
    <row r="2314" customFormat="false" ht="15" hidden="false" customHeight="false" outlineLevel="0" collapsed="false">
      <c r="A2314" s="9" t="str">
        <f aca="false">Vessels!B25</f>
        <v>Vessel 21</v>
      </c>
      <c r="B2314" s="9" t="s">
        <v>88</v>
      </c>
      <c r="C2314" s="7" t="s">
        <v>106</v>
      </c>
      <c r="D2314" s="9" t="s">
        <v>45</v>
      </c>
      <c r="E2314" s="9" t="s">
        <v>44</v>
      </c>
      <c r="F2314" s="5" t="n">
        <v>12</v>
      </c>
      <c r="G2314" s="10"/>
      <c r="H2314" s="11" t="str">
        <f aca="false">IFERROR(IF($D2314="Manual Review","",IF($G2314="","",IF($D2314="Direct Expiry",$G2314,EDATE($G2314,$F2314)))),"Check Date")</f>
        <v/>
      </c>
      <c r="I2314" s="12" t="str">
        <f aca="true">IF($H2314="","",IF(ISNUMBER($H2314),$H2314-TODAY(),""))</f>
        <v/>
      </c>
      <c r="J2314" s="4" t="str">
        <f aca="true">IF($D2314="Manual Review","Manual Review",IF($G2314="","No Data",IF(NOT(ISNUMBER($H2314)),"N/A",IF($H2314&lt;TODAY(),"Overdue",IF($H2314&lt;=TODAY()+30,"Due within 1 Month",IF($H2314&lt;=TODAY()+60,"Due within 2 Months","OK"))))))</f>
        <v>No Data</v>
      </c>
      <c r="K2314" s="13"/>
    </row>
    <row r="2315" customFormat="false" ht="15" hidden="false" customHeight="false" outlineLevel="0" collapsed="false">
      <c r="A2315" s="9" t="str">
        <f aca="false">Vessels!B25</f>
        <v>Vessel 21</v>
      </c>
      <c r="B2315" s="9" t="s">
        <v>88</v>
      </c>
      <c r="C2315" s="7" t="s">
        <v>107</v>
      </c>
      <c r="D2315" s="9" t="s">
        <v>45</v>
      </c>
      <c r="E2315" s="9" t="s">
        <v>44</v>
      </c>
      <c r="F2315" s="5" t="n">
        <v>12</v>
      </c>
      <c r="G2315" s="10"/>
      <c r="H2315" s="11" t="str">
        <f aca="false">IFERROR(IF($D2315="Manual Review","",IF($G2315="","",IF($D2315="Direct Expiry",$G2315,EDATE($G2315,$F2315)))),"Check Date")</f>
        <v/>
      </c>
      <c r="I2315" s="12" t="str">
        <f aca="true">IF($H2315="","",IF(ISNUMBER($H2315),$H2315-TODAY(),""))</f>
        <v/>
      </c>
      <c r="J2315" s="4" t="str">
        <f aca="true">IF($D2315="Manual Review","Manual Review",IF($G2315="","No Data",IF(NOT(ISNUMBER($H2315)),"N/A",IF($H2315&lt;TODAY(),"Overdue",IF($H2315&lt;=TODAY()+30,"Due within 1 Month",IF($H2315&lt;=TODAY()+60,"Due within 2 Months","OK"))))))</f>
        <v>No Data</v>
      </c>
      <c r="K2315" s="13"/>
    </row>
    <row r="2316" customFormat="false" ht="15" hidden="false" customHeight="false" outlineLevel="0" collapsed="false">
      <c r="A2316" s="9" t="str">
        <f aca="false">Vessels!B25</f>
        <v>Vessel 21</v>
      </c>
      <c r="B2316" s="9" t="s">
        <v>88</v>
      </c>
      <c r="C2316" s="7" t="s">
        <v>108</v>
      </c>
      <c r="D2316" s="9" t="s">
        <v>45</v>
      </c>
      <c r="E2316" s="9" t="s">
        <v>109</v>
      </c>
      <c r="F2316" s="5" t="n">
        <v>12</v>
      </c>
      <c r="G2316" s="10"/>
      <c r="H2316" s="11" t="str">
        <f aca="false">IFERROR(IF($D2316="Manual Review","",IF($G2316="","",IF($D2316="Direct Expiry",$G2316,EDATE($G2316,$F2316)))),"Check Date")</f>
        <v/>
      </c>
      <c r="I2316" s="12" t="str">
        <f aca="true">IF($H2316="","",IF(ISNUMBER($H2316),$H2316-TODAY(),""))</f>
        <v/>
      </c>
      <c r="J2316" s="4" t="str">
        <f aca="true">IF($D2316="Manual Review","Manual Review",IF($G2316="","No Data",IF(NOT(ISNUMBER($H2316)),"N/A",IF($H2316&lt;TODAY(),"Overdue",IF($H2316&lt;=TODAY()+30,"Due within 1 Month",IF($H2316&lt;=TODAY()+60,"Due within 2 Months","OK"))))))</f>
        <v>No Data</v>
      </c>
      <c r="K2316" s="13"/>
    </row>
    <row r="2317" customFormat="false" ht="15" hidden="false" customHeight="false" outlineLevel="0" collapsed="false">
      <c r="A2317" s="9" t="str">
        <f aca="false">Vessels!B25</f>
        <v>Vessel 21</v>
      </c>
      <c r="B2317" s="9" t="s">
        <v>88</v>
      </c>
      <c r="C2317" s="7" t="s">
        <v>108</v>
      </c>
      <c r="D2317" s="9" t="s">
        <v>45</v>
      </c>
      <c r="E2317" s="9" t="s">
        <v>110</v>
      </c>
      <c r="F2317" s="5" t="n">
        <v>60</v>
      </c>
      <c r="G2317" s="10"/>
      <c r="H2317" s="11" t="str">
        <f aca="false">IFERROR(IF($D2317="Manual Review","",IF($G2317="","",IF($D2317="Direct Expiry",$G2317,EDATE($G2317,$F2317)))),"Check Date")</f>
        <v/>
      </c>
      <c r="I2317" s="12" t="str">
        <f aca="true">IF($H2317="","",IF(ISNUMBER($H2317),$H2317-TODAY(),""))</f>
        <v/>
      </c>
      <c r="J2317" s="4" t="str">
        <f aca="true">IF($D2317="Manual Review","Manual Review",IF($G2317="","No Data",IF(NOT(ISNUMBER($H2317)),"N/A",IF($H2317&lt;TODAY(),"Overdue",IF($H2317&lt;=TODAY()+30,"Due within 1 Month",IF($H2317&lt;=TODAY()+60,"Due within 2 Months","OK"))))))</f>
        <v>No Data</v>
      </c>
      <c r="K2317" s="13"/>
    </row>
    <row r="2318" customFormat="false" ht="15" hidden="false" customHeight="false" outlineLevel="0" collapsed="false">
      <c r="A2318" s="9" t="str">
        <f aca="false">Vessels!B25</f>
        <v>Vessel 21</v>
      </c>
      <c r="B2318" s="9" t="s">
        <v>88</v>
      </c>
      <c r="C2318" s="7" t="s">
        <v>111</v>
      </c>
      <c r="D2318" s="9" t="s">
        <v>45</v>
      </c>
      <c r="E2318" s="9" t="s">
        <v>44</v>
      </c>
      <c r="F2318" s="5" t="n">
        <v>12</v>
      </c>
      <c r="G2318" s="10"/>
      <c r="H2318" s="11" t="str">
        <f aca="false">IFERROR(IF($D2318="Manual Review","",IF($G2318="","",IF($D2318="Direct Expiry",$G2318,EDATE($G2318,$F2318)))),"Check Date")</f>
        <v/>
      </c>
      <c r="I2318" s="12" t="str">
        <f aca="true">IF($H2318="","",IF(ISNUMBER($H2318),$H2318-TODAY(),""))</f>
        <v/>
      </c>
      <c r="J2318" s="4" t="str">
        <f aca="true">IF($D2318="Manual Review","Manual Review",IF($G2318="","No Data",IF(NOT(ISNUMBER($H2318)),"N/A",IF($H2318&lt;TODAY(),"Overdue",IF($H2318&lt;=TODAY()+30,"Due within 1 Month",IF($H2318&lt;=TODAY()+60,"Due within 2 Months","OK"))))))</f>
        <v>No Data</v>
      </c>
      <c r="K2318" s="13"/>
    </row>
    <row r="2319" customFormat="false" ht="15" hidden="false" customHeight="false" outlineLevel="0" collapsed="false">
      <c r="A2319" s="9" t="str">
        <f aca="false">Vessels!B25</f>
        <v>Vessel 21</v>
      </c>
      <c r="B2319" s="9" t="s">
        <v>88</v>
      </c>
      <c r="C2319" s="7" t="s">
        <v>112</v>
      </c>
      <c r="D2319" s="9" t="s">
        <v>45</v>
      </c>
      <c r="E2319" s="9" t="s">
        <v>44</v>
      </c>
      <c r="F2319" s="5" t="n">
        <v>12</v>
      </c>
      <c r="G2319" s="10"/>
      <c r="H2319" s="11" t="str">
        <f aca="false">IFERROR(IF($D2319="Manual Review","",IF($G2319="","",IF($D2319="Direct Expiry",$G2319,EDATE($G2319,$F2319)))),"Check Date")</f>
        <v/>
      </c>
      <c r="I2319" s="12" t="str">
        <f aca="true">IF($H2319="","",IF(ISNUMBER($H2319),$H2319-TODAY(),""))</f>
        <v/>
      </c>
      <c r="J2319" s="4" t="str">
        <f aca="true">IF($D2319="Manual Review","Manual Review",IF($G2319="","No Data",IF(NOT(ISNUMBER($H2319)),"N/A",IF($H2319&lt;TODAY(),"Overdue",IF($H2319&lt;=TODAY()+30,"Due within 1 Month",IF($H2319&lt;=TODAY()+60,"Due within 2 Months","OK"))))))</f>
        <v>No Data</v>
      </c>
      <c r="K2319" s="13"/>
    </row>
    <row r="2320" customFormat="false" ht="15" hidden="false" customHeight="false" outlineLevel="0" collapsed="false">
      <c r="A2320" s="9" t="str">
        <f aca="false">Vessels!B25</f>
        <v>Vessel 21</v>
      </c>
      <c r="B2320" s="9" t="s">
        <v>88</v>
      </c>
      <c r="C2320" s="7" t="s">
        <v>113</v>
      </c>
      <c r="D2320" s="9" t="s">
        <v>115</v>
      </c>
      <c r="E2320" s="9" t="s">
        <v>114</v>
      </c>
      <c r="F2320" s="5"/>
      <c r="G2320" s="10"/>
      <c r="H2320" s="11" t="str">
        <f aca="false">IFERROR(IF($D2320="Manual Review","",IF($G2320="","",IF($D2320="Direct Expiry",$G2320,EDATE($G2320,$F2320)))),"Check Date")</f>
        <v/>
      </c>
      <c r="I2320" s="12" t="str">
        <f aca="true">IF($H2320="","",IF(ISNUMBER($H2320),$H2320-TODAY(),""))</f>
        <v/>
      </c>
      <c r="J2320" s="4" t="str">
        <f aca="true">IF($D2320="Manual Review","Manual Review",IF($G2320="","No Data",IF(NOT(ISNUMBER($H2320)),"N/A",IF($H2320&lt;TODAY(),"Overdue",IF($H2320&lt;=TODAY()+30,"Due within 1 Month",IF($H2320&lt;=TODAY()+60,"Due within 2 Months","OK"))))))</f>
        <v>Manual Review</v>
      </c>
      <c r="K2320" s="13"/>
    </row>
    <row r="2321" customFormat="false" ht="15" hidden="false" customHeight="false" outlineLevel="0" collapsed="false">
      <c r="A2321" s="9" t="str">
        <f aca="false">Vessels!B25</f>
        <v>Vessel 21</v>
      </c>
      <c r="B2321" s="9" t="s">
        <v>88</v>
      </c>
      <c r="C2321" s="7" t="s">
        <v>116</v>
      </c>
      <c r="D2321" s="9" t="s">
        <v>115</v>
      </c>
      <c r="E2321" s="9" t="s">
        <v>114</v>
      </c>
      <c r="F2321" s="5"/>
      <c r="G2321" s="10"/>
      <c r="H2321" s="11" t="str">
        <f aca="false">IFERROR(IF($D2321="Manual Review","",IF($G2321="","",IF($D2321="Direct Expiry",$G2321,EDATE($G2321,$F2321)))),"Check Date")</f>
        <v/>
      </c>
      <c r="I2321" s="12" t="str">
        <f aca="true">IF($H2321="","",IF(ISNUMBER($H2321),$H2321-TODAY(),""))</f>
        <v/>
      </c>
      <c r="J2321" s="4" t="str">
        <f aca="true">IF($D2321="Manual Review","Manual Review",IF($G2321="","No Data",IF(NOT(ISNUMBER($H2321)),"N/A",IF($H2321&lt;TODAY(),"Overdue",IF($H2321&lt;=TODAY()+30,"Due within 1 Month",IF($H2321&lt;=TODAY()+60,"Due within 2 Months","OK"))))))</f>
        <v>Manual Review</v>
      </c>
      <c r="K2321" s="13"/>
    </row>
    <row r="2322" customFormat="false" ht="15" hidden="false" customHeight="false" outlineLevel="0" collapsed="false">
      <c r="A2322" s="9" t="str">
        <f aca="false">Vessels!B25</f>
        <v>Vessel 21</v>
      </c>
      <c r="B2322" s="9" t="s">
        <v>117</v>
      </c>
      <c r="C2322" s="7" t="s">
        <v>118</v>
      </c>
      <c r="D2322" s="9" t="s">
        <v>59</v>
      </c>
      <c r="E2322" s="9" t="s">
        <v>119</v>
      </c>
      <c r="F2322" s="5"/>
      <c r="G2322" s="10"/>
      <c r="H2322" s="11" t="str">
        <f aca="false">IFERROR(IF($D2322="Manual Review","",IF($G2322="","",IF($D2322="Direct Expiry",$G2322,EDATE($G2322,$F2322)))),"Check Date")</f>
        <v/>
      </c>
      <c r="I2322" s="12" t="str">
        <f aca="true">IF($H2322="","",IF(ISNUMBER($H2322),$H2322-TODAY(),""))</f>
        <v/>
      </c>
      <c r="J2322" s="4" t="str">
        <f aca="true">IF($D2322="Manual Review","Manual Review",IF($G2322="","No Data",IF(NOT(ISNUMBER($H2322)),"N/A",IF($H2322&lt;TODAY(),"Overdue",IF($H2322&lt;=TODAY()+30,"Due within 1 Month",IF($H2322&lt;=TODAY()+60,"Due within 2 Months","OK"))))))</f>
        <v>No Data</v>
      </c>
      <c r="K2322" s="13"/>
    </row>
    <row r="2323" customFormat="false" ht="15" hidden="false" customHeight="false" outlineLevel="0" collapsed="false">
      <c r="A2323" s="9" t="str">
        <f aca="false">Vessels!B25</f>
        <v>Vessel 21</v>
      </c>
      <c r="B2323" s="9" t="s">
        <v>117</v>
      </c>
      <c r="C2323" s="7" t="s">
        <v>120</v>
      </c>
      <c r="D2323" s="9" t="s">
        <v>45</v>
      </c>
      <c r="E2323" s="9" t="s">
        <v>44</v>
      </c>
      <c r="F2323" s="5" t="n">
        <v>12</v>
      </c>
      <c r="G2323" s="10"/>
      <c r="H2323" s="11" t="str">
        <f aca="false">IFERROR(IF($D2323="Manual Review","",IF($G2323="","",IF($D2323="Direct Expiry",$G2323,EDATE($G2323,$F2323)))),"Check Date")</f>
        <v/>
      </c>
      <c r="I2323" s="12" t="str">
        <f aca="true">IF($H2323="","",IF(ISNUMBER($H2323),$H2323-TODAY(),""))</f>
        <v/>
      </c>
      <c r="J2323" s="4" t="str">
        <f aca="true">IF($D2323="Manual Review","Manual Review",IF($G2323="","No Data",IF(NOT(ISNUMBER($H2323)),"N/A",IF($H2323&lt;TODAY(),"Overdue",IF($H2323&lt;=TODAY()+30,"Due within 1 Month",IF($H2323&lt;=TODAY()+60,"Due within 2 Months","OK"))))))</f>
        <v>No Data</v>
      </c>
      <c r="K2323" s="13"/>
    </row>
    <row r="2324" customFormat="false" ht="15" hidden="false" customHeight="false" outlineLevel="0" collapsed="false">
      <c r="A2324" s="9" t="str">
        <f aca="false">Vessels!B25</f>
        <v>Vessel 21</v>
      </c>
      <c r="B2324" s="9" t="s">
        <v>117</v>
      </c>
      <c r="C2324" s="7" t="s">
        <v>121</v>
      </c>
      <c r="D2324" s="9" t="s">
        <v>45</v>
      </c>
      <c r="E2324" s="9" t="s">
        <v>44</v>
      </c>
      <c r="F2324" s="5" t="n">
        <v>12</v>
      </c>
      <c r="G2324" s="10"/>
      <c r="H2324" s="11" t="str">
        <f aca="false">IFERROR(IF($D2324="Manual Review","",IF($G2324="","",IF($D2324="Direct Expiry",$G2324,EDATE($G2324,$F2324)))),"Check Date")</f>
        <v/>
      </c>
      <c r="I2324" s="12" t="str">
        <f aca="true">IF($H2324="","",IF(ISNUMBER($H2324),$H2324-TODAY(),""))</f>
        <v/>
      </c>
      <c r="J2324" s="4" t="str">
        <f aca="true">IF($D2324="Manual Review","Manual Review",IF($G2324="","No Data",IF(NOT(ISNUMBER($H2324)),"N/A",IF($H2324&lt;TODAY(),"Overdue",IF($H2324&lt;=TODAY()+30,"Due within 1 Month",IF($H2324&lt;=TODAY()+60,"Due within 2 Months","OK"))))))</f>
        <v>No Data</v>
      </c>
      <c r="K2324" s="13"/>
    </row>
    <row r="2325" customFormat="false" ht="15" hidden="false" customHeight="false" outlineLevel="0" collapsed="false">
      <c r="A2325" s="9" t="str">
        <f aca="false">Vessels!B25</f>
        <v>Vessel 21</v>
      </c>
      <c r="B2325" s="9" t="s">
        <v>117</v>
      </c>
      <c r="C2325" s="7" t="s">
        <v>122</v>
      </c>
      <c r="D2325" s="9" t="s">
        <v>45</v>
      </c>
      <c r="E2325" s="9" t="s">
        <v>123</v>
      </c>
      <c r="F2325" s="5" t="n">
        <v>24</v>
      </c>
      <c r="G2325" s="10"/>
      <c r="H2325" s="11" t="str">
        <f aca="false">IFERROR(IF($D2325="Manual Review","",IF($G2325="","",IF($D2325="Direct Expiry",$G2325,EDATE($G2325,$F2325)))),"Check Date")</f>
        <v/>
      </c>
      <c r="I2325" s="12" t="str">
        <f aca="true">IF($H2325="","",IF(ISNUMBER($H2325),$H2325-TODAY(),""))</f>
        <v/>
      </c>
      <c r="J2325" s="4" t="str">
        <f aca="true">IF($D2325="Manual Review","Manual Review",IF($G2325="","No Data",IF(NOT(ISNUMBER($H2325)),"N/A",IF($H2325&lt;TODAY(),"Overdue",IF($H2325&lt;=TODAY()+30,"Due within 1 Month",IF($H2325&lt;=TODAY()+60,"Due within 2 Months","OK"))))))</f>
        <v>No Data</v>
      </c>
      <c r="K2325" s="13"/>
    </row>
    <row r="2326" customFormat="false" ht="15" hidden="false" customHeight="false" outlineLevel="0" collapsed="false">
      <c r="A2326" s="9" t="str">
        <f aca="false">Vessels!B25</f>
        <v>Vessel 21</v>
      </c>
      <c r="B2326" s="9" t="s">
        <v>117</v>
      </c>
      <c r="C2326" s="7" t="s">
        <v>124</v>
      </c>
      <c r="D2326" s="9" t="s">
        <v>59</v>
      </c>
      <c r="E2326" s="9" t="s">
        <v>58</v>
      </c>
      <c r="F2326" s="5"/>
      <c r="G2326" s="10"/>
      <c r="H2326" s="11" t="str">
        <f aca="false">IFERROR(IF($D2326="Manual Review","",IF($G2326="","",IF($D2326="Direct Expiry",$G2326,EDATE($G2326,$F2326)))),"Check Date")</f>
        <v/>
      </c>
      <c r="I2326" s="12" t="str">
        <f aca="true">IF($H2326="","",IF(ISNUMBER($H2326),$H2326-TODAY(),""))</f>
        <v/>
      </c>
      <c r="J2326" s="4" t="str">
        <f aca="true">IF($D2326="Manual Review","Manual Review",IF($G2326="","No Data",IF(NOT(ISNUMBER($H2326)),"N/A",IF($H2326&lt;TODAY(),"Overdue",IF($H2326&lt;=TODAY()+30,"Due within 1 Month",IF($H2326&lt;=TODAY()+60,"Due within 2 Months","OK"))))))</f>
        <v>No Data</v>
      </c>
      <c r="K2326" s="13"/>
    </row>
    <row r="2327" customFormat="false" ht="15" hidden="false" customHeight="false" outlineLevel="0" collapsed="false">
      <c r="A2327" s="9" t="str">
        <f aca="false">Vessels!B25</f>
        <v>Vessel 21</v>
      </c>
      <c r="B2327" s="9" t="s">
        <v>117</v>
      </c>
      <c r="C2327" s="7" t="s">
        <v>125</v>
      </c>
      <c r="D2327" s="9" t="s">
        <v>59</v>
      </c>
      <c r="E2327" s="9" t="s">
        <v>58</v>
      </c>
      <c r="F2327" s="5"/>
      <c r="G2327" s="10"/>
      <c r="H2327" s="11" t="str">
        <f aca="false">IFERROR(IF($D2327="Manual Review","",IF($G2327="","",IF($D2327="Direct Expiry",$G2327,EDATE($G2327,$F2327)))),"Check Date")</f>
        <v/>
      </c>
      <c r="I2327" s="12" t="str">
        <f aca="true">IF($H2327="","",IF(ISNUMBER($H2327),$H2327-TODAY(),""))</f>
        <v/>
      </c>
      <c r="J2327" s="4" t="str">
        <f aca="true">IF($D2327="Manual Review","Manual Review",IF($G2327="","No Data",IF(NOT(ISNUMBER($H2327)),"N/A",IF($H2327&lt;TODAY(),"Overdue",IF($H2327&lt;=TODAY()+30,"Due within 1 Month",IF($H2327&lt;=TODAY()+60,"Due within 2 Months","OK"))))))</f>
        <v>No Data</v>
      </c>
      <c r="K2327" s="13"/>
    </row>
    <row r="2328" customFormat="false" ht="15" hidden="false" customHeight="false" outlineLevel="0" collapsed="false">
      <c r="A2328" s="9" t="str">
        <f aca="false">Vessels!B25</f>
        <v>Vessel 21</v>
      </c>
      <c r="B2328" s="9" t="s">
        <v>117</v>
      </c>
      <c r="C2328" s="7" t="s">
        <v>126</v>
      </c>
      <c r="D2328" s="9" t="s">
        <v>45</v>
      </c>
      <c r="E2328" s="9" t="s">
        <v>44</v>
      </c>
      <c r="F2328" s="5" t="n">
        <v>12</v>
      </c>
      <c r="G2328" s="10"/>
      <c r="H2328" s="11" t="str">
        <f aca="false">IFERROR(IF($D2328="Manual Review","",IF($G2328="","",IF($D2328="Direct Expiry",$G2328,EDATE($G2328,$F2328)))),"Check Date")</f>
        <v/>
      </c>
      <c r="I2328" s="12" t="str">
        <f aca="true">IF($H2328="","",IF(ISNUMBER($H2328),$H2328-TODAY(),""))</f>
        <v/>
      </c>
      <c r="J2328" s="4" t="str">
        <f aca="true">IF($D2328="Manual Review","Manual Review",IF($G2328="","No Data",IF(NOT(ISNUMBER($H2328)),"N/A",IF($H2328&lt;TODAY(),"Overdue",IF($H2328&lt;=TODAY()+30,"Due within 1 Month",IF($H2328&lt;=TODAY()+60,"Due within 2 Months","OK"))))))</f>
        <v>No Data</v>
      </c>
      <c r="K2328" s="13"/>
    </row>
    <row r="2329" customFormat="false" ht="15" hidden="false" customHeight="false" outlineLevel="0" collapsed="false">
      <c r="A2329" s="9" t="str">
        <f aca="false">Vessels!B25</f>
        <v>Vessel 21</v>
      </c>
      <c r="B2329" s="9" t="s">
        <v>117</v>
      </c>
      <c r="C2329" s="7" t="s">
        <v>127</v>
      </c>
      <c r="D2329" s="9" t="s">
        <v>59</v>
      </c>
      <c r="E2329" s="9" t="s">
        <v>58</v>
      </c>
      <c r="F2329" s="5"/>
      <c r="G2329" s="10"/>
      <c r="H2329" s="11" t="str">
        <f aca="false">IFERROR(IF($D2329="Manual Review","",IF($G2329="","",IF($D2329="Direct Expiry",$G2329,EDATE($G2329,$F2329)))),"Check Date")</f>
        <v/>
      </c>
      <c r="I2329" s="12" t="str">
        <f aca="true">IF($H2329="","",IF(ISNUMBER($H2329),$H2329-TODAY(),""))</f>
        <v/>
      </c>
      <c r="J2329" s="4" t="str">
        <f aca="true">IF($D2329="Manual Review","Manual Review",IF($G2329="","No Data",IF(NOT(ISNUMBER($H2329)),"N/A",IF($H2329&lt;TODAY(),"Overdue",IF($H2329&lt;=TODAY()+30,"Due within 1 Month",IF($H2329&lt;=TODAY()+60,"Due within 2 Months","OK"))))))</f>
        <v>No Data</v>
      </c>
      <c r="K2329" s="13"/>
    </row>
    <row r="2330" customFormat="false" ht="15" hidden="false" customHeight="false" outlineLevel="0" collapsed="false">
      <c r="A2330" s="9" t="str">
        <f aca="false">Vessels!B25</f>
        <v>Vessel 21</v>
      </c>
      <c r="B2330" s="9" t="s">
        <v>117</v>
      </c>
      <c r="C2330" s="7" t="s">
        <v>128</v>
      </c>
      <c r="D2330" s="9" t="s">
        <v>59</v>
      </c>
      <c r="E2330" s="9" t="s">
        <v>58</v>
      </c>
      <c r="F2330" s="5"/>
      <c r="G2330" s="10"/>
      <c r="H2330" s="11" t="str">
        <f aca="false">IFERROR(IF($D2330="Manual Review","",IF($G2330="","",IF($D2330="Direct Expiry",$G2330,EDATE($G2330,$F2330)))),"Check Date")</f>
        <v/>
      </c>
      <c r="I2330" s="12" t="str">
        <f aca="true">IF($H2330="","",IF(ISNUMBER($H2330),$H2330-TODAY(),""))</f>
        <v/>
      </c>
      <c r="J2330" s="4" t="str">
        <f aca="true">IF($D2330="Manual Review","Manual Review",IF($G2330="","No Data",IF(NOT(ISNUMBER($H2330)),"N/A",IF($H2330&lt;TODAY(),"Overdue",IF($H2330&lt;=TODAY()+30,"Due within 1 Month",IF($H2330&lt;=TODAY()+60,"Due within 2 Months","OK"))))))</f>
        <v>No Data</v>
      </c>
      <c r="K2330" s="13"/>
    </row>
    <row r="2331" customFormat="false" ht="15" hidden="false" customHeight="false" outlineLevel="0" collapsed="false">
      <c r="A2331" s="9" t="str">
        <f aca="false">Vessels!B25</f>
        <v>Vessel 21</v>
      </c>
      <c r="B2331" s="9" t="s">
        <v>117</v>
      </c>
      <c r="C2331" s="7" t="s">
        <v>129</v>
      </c>
      <c r="D2331" s="9" t="s">
        <v>59</v>
      </c>
      <c r="E2331" s="9" t="s">
        <v>58</v>
      </c>
      <c r="F2331" s="5"/>
      <c r="G2331" s="10"/>
      <c r="H2331" s="11" t="str">
        <f aca="false">IFERROR(IF($D2331="Manual Review","",IF($G2331="","",IF($D2331="Direct Expiry",$G2331,EDATE($G2331,$F2331)))),"Check Date")</f>
        <v/>
      </c>
      <c r="I2331" s="12" t="str">
        <f aca="true">IF($H2331="","",IF(ISNUMBER($H2331),$H2331-TODAY(),""))</f>
        <v/>
      </c>
      <c r="J2331" s="4" t="str">
        <f aca="true">IF($D2331="Manual Review","Manual Review",IF($G2331="","No Data",IF(NOT(ISNUMBER($H2331)),"N/A",IF($H2331&lt;TODAY(),"Overdue",IF($H2331&lt;=TODAY()+30,"Due within 1 Month",IF($H2331&lt;=TODAY()+60,"Due within 2 Months","OK"))))))</f>
        <v>No Data</v>
      </c>
      <c r="K2331" s="13"/>
    </row>
    <row r="2332" customFormat="false" ht="15" hidden="false" customHeight="false" outlineLevel="0" collapsed="false">
      <c r="A2332" s="9" t="str">
        <f aca="false">Vessels!B25</f>
        <v>Vessel 21</v>
      </c>
      <c r="B2332" s="9" t="s">
        <v>117</v>
      </c>
      <c r="C2332" s="7" t="s">
        <v>130</v>
      </c>
      <c r="D2332" s="9" t="s">
        <v>45</v>
      </c>
      <c r="E2332" s="9" t="s">
        <v>44</v>
      </c>
      <c r="F2332" s="5" t="n">
        <v>12</v>
      </c>
      <c r="G2332" s="10"/>
      <c r="H2332" s="11" t="str">
        <f aca="false">IFERROR(IF($D2332="Manual Review","",IF($G2332="","",IF($D2332="Direct Expiry",$G2332,EDATE($G2332,$F2332)))),"Check Date")</f>
        <v/>
      </c>
      <c r="I2332" s="12" t="str">
        <f aca="true">IF($H2332="","",IF(ISNUMBER($H2332),$H2332-TODAY(),""))</f>
        <v/>
      </c>
      <c r="J2332" s="4" t="str">
        <f aca="true">IF($D2332="Manual Review","Manual Review",IF($G2332="","No Data",IF(NOT(ISNUMBER($H2332)),"N/A",IF($H2332&lt;TODAY(),"Overdue",IF($H2332&lt;=TODAY()+30,"Due within 1 Month",IF($H2332&lt;=TODAY()+60,"Due within 2 Months","OK"))))))</f>
        <v>No Data</v>
      </c>
      <c r="K2332" s="13"/>
    </row>
    <row r="2333" customFormat="false" ht="15" hidden="false" customHeight="false" outlineLevel="0" collapsed="false">
      <c r="A2333" s="9" t="str">
        <f aca="false">Vessels!B25</f>
        <v>Vessel 21</v>
      </c>
      <c r="B2333" s="9" t="s">
        <v>117</v>
      </c>
      <c r="C2333" s="7" t="s">
        <v>131</v>
      </c>
      <c r="D2333" s="9" t="s">
        <v>45</v>
      </c>
      <c r="E2333" s="9" t="s">
        <v>44</v>
      </c>
      <c r="F2333" s="5" t="n">
        <v>12</v>
      </c>
      <c r="G2333" s="10"/>
      <c r="H2333" s="11" t="str">
        <f aca="false">IFERROR(IF($D2333="Manual Review","",IF($G2333="","",IF($D2333="Direct Expiry",$G2333,EDATE($G2333,$F2333)))),"Check Date")</f>
        <v/>
      </c>
      <c r="I2333" s="12" t="str">
        <f aca="true">IF($H2333="","",IF(ISNUMBER($H2333),$H2333-TODAY(),""))</f>
        <v/>
      </c>
      <c r="J2333" s="4" t="str">
        <f aca="true">IF($D2333="Manual Review","Manual Review",IF($G2333="","No Data",IF(NOT(ISNUMBER($H2333)),"N/A",IF($H2333&lt;TODAY(),"Overdue",IF($H2333&lt;=TODAY()+30,"Due within 1 Month",IF($H2333&lt;=TODAY()+60,"Due within 2 Months","OK"))))))</f>
        <v>No Data</v>
      </c>
      <c r="K2333" s="13"/>
    </row>
    <row r="2334" customFormat="false" ht="15" hidden="false" customHeight="false" outlineLevel="0" collapsed="false">
      <c r="A2334" s="9" t="str">
        <f aca="false">Vessels!B25</f>
        <v>Vessel 21</v>
      </c>
      <c r="B2334" s="9" t="s">
        <v>117</v>
      </c>
      <c r="C2334" s="7" t="s">
        <v>132</v>
      </c>
      <c r="D2334" s="9" t="s">
        <v>45</v>
      </c>
      <c r="E2334" s="9" t="s">
        <v>44</v>
      </c>
      <c r="F2334" s="5" t="n">
        <v>12</v>
      </c>
      <c r="G2334" s="10"/>
      <c r="H2334" s="11" t="str">
        <f aca="false">IFERROR(IF($D2334="Manual Review","",IF($G2334="","",IF($D2334="Direct Expiry",$G2334,EDATE($G2334,$F2334)))),"Check Date")</f>
        <v/>
      </c>
      <c r="I2334" s="12" t="str">
        <f aca="true">IF($H2334="","",IF(ISNUMBER($H2334),$H2334-TODAY(),""))</f>
        <v/>
      </c>
      <c r="J2334" s="4" t="str">
        <f aca="true">IF($D2334="Manual Review","Manual Review",IF($G2334="","No Data",IF(NOT(ISNUMBER($H2334)),"N/A",IF($H2334&lt;TODAY(),"Overdue",IF($H2334&lt;=TODAY()+30,"Due within 1 Month",IF($H2334&lt;=TODAY()+60,"Due within 2 Months","OK"))))))</f>
        <v>No Data</v>
      </c>
      <c r="K2334" s="13"/>
    </row>
    <row r="2335" customFormat="false" ht="15" hidden="false" customHeight="false" outlineLevel="0" collapsed="false">
      <c r="A2335" s="9" t="str">
        <f aca="false">Vessels!B25</f>
        <v>Vessel 21</v>
      </c>
      <c r="B2335" s="9" t="s">
        <v>117</v>
      </c>
      <c r="C2335" s="7" t="s">
        <v>133</v>
      </c>
      <c r="D2335" s="9" t="s">
        <v>45</v>
      </c>
      <c r="E2335" s="9" t="s">
        <v>44</v>
      </c>
      <c r="F2335" s="5" t="n">
        <v>12</v>
      </c>
      <c r="G2335" s="10"/>
      <c r="H2335" s="11" t="str">
        <f aca="false">IFERROR(IF($D2335="Manual Review","",IF($G2335="","",IF($D2335="Direct Expiry",$G2335,EDATE($G2335,$F2335)))),"Check Date")</f>
        <v/>
      </c>
      <c r="I2335" s="12" t="str">
        <f aca="true">IF($H2335="","",IF(ISNUMBER($H2335),$H2335-TODAY(),""))</f>
        <v/>
      </c>
      <c r="J2335" s="4" t="str">
        <f aca="true">IF($D2335="Manual Review","Manual Review",IF($G2335="","No Data",IF(NOT(ISNUMBER($H2335)),"N/A",IF($H2335&lt;TODAY(),"Overdue",IF($H2335&lt;=TODAY()+30,"Due within 1 Month",IF($H2335&lt;=TODAY()+60,"Due within 2 Months","OK"))))))</f>
        <v>No Data</v>
      </c>
      <c r="K2335" s="13"/>
    </row>
    <row r="2336" customFormat="false" ht="15" hidden="false" customHeight="false" outlineLevel="0" collapsed="false">
      <c r="A2336" s="9" t="str">
        <f aca="false">Vessels!B25</f>
        <v>Vessel 21</v>
      </c>
      <c r="B2336" s="9" t="s">
        <v>117</v>
      </c>
      <c r="C2336" s="7" t="s">
        <v>134</v>
      </c>
      <c r="D2336" s="9" t="s">
        <v>45</v>
      </c>
      <c r="E2336" s="9" t="s">
        <v>44</v>
      </c>
      <c r="F2336" s="5" t="n">
        <v>12</v>
      </c>
      <c r="G2336" s="10"/>
      <c r="H2336" s="11" t="str">
        <f aca="false">IFERROR(IF($D2336="Manual Review","",IF($G2336="","",IF($D2336="Direct Expiry",$G2336,EDATE($G2336,$F2336)))),"Check Date")</f>
        <v/>
      </c>
      <c r="I2336" s="12" t="str">
        <f aca="true">IF($H2336="","",IF(ISNUMBER($H2336),$H2336-TODAY(),""))</f>
        <v/>
      </c>
      <c r="J2336" s="4" t="str">
        <f aca="true">IF($D2336="Manual Review","Manual Review",IF($G2336="","No Data",IF(NOT(ISNUMBER($H2336)),"N/A",IF($H2336&lt;TODAY(),"Overdue",IF($H2336&lt;=TODAY()+30,"Due within 1 Month",IF($H2336&lt;=TODAY()+60,"Due within 2 Months","OK"))))))</f>
        <v>No Data</v>
      </c>
      <c r="K2336" s="13"/>
    </row>
    <row r="2337" customFormat="false" ht="15" hidden="false" customHeight="false" outlineLevel="0" collapsed="false">
      <c r="A2337" s="9" t="str">
        <f aca="false">Vessels!B25</f>
        <v>Vessel 21</v>
      </c>
      <c r="B2337" s="9" t="s">
        <v>117</v>
      </c>
      <c r="C2337" s="7" t="s">
        <v>135</v>
      </c>
      <c r="D2337" s="9" t="s">
        <v>45</v>
      </c>
      <c r="E2337" s="9" t="s">
        <v>44</v>
      </c>
      <c r="F2337" s="5" t="n">
        <v>12</v>
      </c>
      <c r="G2337" s="10"/>
      <c r="H2337" s="11" t="str">
        <f aca="false">IFERROR(IF($D2337="Manual Review","",IF($G2337="","",IF($D2337="Direct Expiry",$G2337,EDATE($G2337,$F2337)))),"Check Date")</f>
        <v/>
      </c>
      <c r="I2337" s="12" t="str">
        <f aca="true">IF($H2337="","",IF(ISNUMBER($H2337),$H2337-TODAY(),""))</f>
        <v/>
      </c>
      <c r="J2337" s="4" t="str">
        <f aca="true">IF($D2337="Manual Review","Manual Review",IF($G2337="","No Data",IF(NOT(ISNUMBER($H2337)),"N/A",IF($H2337&lt;TODAY(),"Overdue",IF($H2337&lt;=TODAY()+30,"Due within 1 Month",IF($H2337&lt;=TODAY()+60,"Due within 2 Months","OK"))))))</f>
        <v>No Data</v>
      </c>
      <c r="K2337" s="13"/>
    </row>
    <row r="2338" customFormat="false" ht="15" hidden="false" customHeight="false" outlineLevel="0" collapsed="false">
      <c r="A2338" s="9" t="str">
        <f aca="false">Vessels!B25</f>
        <v>Vessel 21</v>
      </c>
      <c r="B2338" s="9" t="s">
        <v>136</v>
      </c>
      <c r="C2338" s="7" t="s">
        <v>137</v>
      </c>
      <c r="D2338" s="9" t="s">
        <v>45</v>
      </c>
      <c r="E2338" s="9" t="s">
        <v>44</v>
      </c>
      <c r="F2338" s="5" t="n">
        <v>12</v>
      </c>
      <c r="G2338" s="10"/>
      <c r="H2338" s="11" t="str">
        <f aca="false">IFERROR(IF($D2338="Manual Review","",IF($G2338="","",IF($D2338="Direct Expiry",$G2338,EDATE($G2338,$F2338)))),"Check Date")</f>
        <v/>
      </c>
      <c r="I2338" s="12" t="str">
        <f aca="true">IF($H2338="","",IF(ISNUMBER($H2338),$H2338-TODAY(),""))</f>
        <v/>
      </c>
      <c r="J2338" s="4" t="str">
        <f aca="true">IF($D2338="Manual Review","Manual Review",IF($G2338="","No Data",IF(NOT(ISNUMBER($H2338)),"N/A",IF($H2338&lt;TODAY(),"Overdue",IF($H2338&lt;=TODAY()+30,"Due within 1 Month",IF($H2338&lt;=TODAY()+60,"Due within 2 Months","OK"))))))</f>
        <v>No Data</v>
      </c>
      <c r="K2338" s="13"/>
    </row>
    <row r="2339" customFormat="false" ht="15" hidden="false" customHeight="false" outlineLevel="0" collapsed="false">
      <c r="A2339" s="9" t="str">
        <f aca="false">Vessels!B25</f>
        <v>Vessel 21</v>
      </c>
      <c r="B2339" s="9" t="s">
        <v>136</v>
      </c>
      <c r="C2339" s="7" t="s">
        <v>138</v>
      </c>
      <c r="D2339" s="9" t="s">
        <v>45</v>
      </c>
      <c r="E2339" s="9" t="s">
        <v>44</v>
      </c>
      <c r="F2339" s="5" t="n">
        <v>12</v>
      </c>
      <c r="G2339" s="10"/>
      <c r="H2339" s="11" t="str">
        <f aca="false">IFERROR(IF($D2339="Manual Review","",IF($G2339="","",IF($D2339="Direct Expiry",$G2339,EDATE($G2339,$F2339)))),"Check Date")</f>
        <v/>
      </c>
      <c r="I2339" s="12" t="str">
        <f aca="true">IF($H2339="","",IF(ISNUMBER($H2339),$H2339-TODAY(),""))</f>
        <v/>
      </c>
      <c r="J2339" s="4" t="str">
        <f aca="true">IF($D2339="Manual Review","Manual Review",IF($G2339="","No Data",IF(NOT(ISNUMBER($H2339)),"N/A",IF($H2339&lt;TODAY(),"Overdue",IF($H2339&lt;=TODAY()+30,"Due within 1 Month",IF($H2339&lt;=TODAY()+60,"Due within 2 Months","OK"))))))</f>
        <v>No Data</v>
      </c>
      <c r="K2339" s="13"/>
    </row>
    <row r="2340" customFormat="false" ht="15" hidden="false" customHeight="false" outlineLevel="0" collapsed="false">
      <c r="A2340" s="9" t="str">
        <f aca="false">Vessels!B25</f>
        <v>Vessel 21</v>
      </c>
      <c r="B2340" s="9" t="s">
        <v>136</v>
      </c>
      <c r="C2340" s="7" t="s">
        <v>139</v>
      </c>
      <c r="D2340" s="9" t="s">
        <v>45</v>
      </c>
      <c r="E2340" s="9" t="s">
        <v>140</v>
      </c>
      <c r="F2340" s="5" t="n">
        <v>12</v>
      </c>
      <c r="G2340" s="10"/>
      <c r="H2340" s="11" t="str">
        <f aca="false">IFERROR(IF($D2340="Manual Review","",IF($G2340="","",IF($D2340="Direct Expiry",$G2340,EDATE($G2340,$F2340)))),"Check Date")</f>
        <v/>
      </c>
      <c r="I2340" s="12" t="str">
        <f aca="true">IF($H2340="","",IF(ISNUMBER($H2340),$H2340-TODAY(),""))</f>
        <v/>
      </c>
      <c r="J2340" s="4" t="str">
        <f aca="true">IF($D2340="Manual Review","Manual Review",IF($G2340="","No Data",IF(NOT(ISNUMBER($H2340)),"N/A",IF($H2340&lt;TODAY(),"Overdue",IF($H2340&lt;=TODAY()+30,"Due within 1 Month",IF($H2340&lt;=TODAY()+60,"Due within 2 Months","OK"))))))</f>
        <v>No Data</v>
      </c>
      <c r="K2340" s="13"/>
    </row>
    <row r="2341" customFormat="false" ht="15" hidden="false" customHeight="false" outlineLevel="0" collapsed="false">
      <c r="A2341" s="9" t="str">
        <f aca="false">Vessels!B25</f>
        <v>Vessel 21</v>
      </c>
      <c r="B2341" s="9" t="s">
        <v>136</v>
      </c>
      <c r="C2341" s="7" t="s">
        <v>141</v>
      </c>
      <c r="D2341" s="9" t="s">
        <v>45</v>
      </c>
      <c r="E2341" s="9" t="s">
        <v>44</v>
      </c>
      <c r="F2341" s="5" t="n">
        <v>12</v>
      </c>
      <c r="G2341" s="10"/>
      <c r="H2341" s="11" t="str">
        <f aca="false">IFERROR(IF($D2341="Manual Review","",IF($G2341="","",IF($D2341="Direct Expiry",$G2341,EDATE($G2341,$F2341)))),"Check Date")</f>
        <v/>
      </c>
      <c r="I2341" s="12" t="str">
        <f aca="true">IF($H2341="","",IF(ISNUMBER($H2341),$H2341-TODAY(),""))</f>
        <v/>
      </c>
      <c r="J2341" s="4" t="str">
        <f aca="true">IF($D2341="Manual Review","Manual Review",IF($G2341="","No Data",IF(NOT(ISNUMBER($H2341)),"N/A",IF($H2341&lt;TODAY(),"Overdue",IF($H2341&lt;=TODAY()+30,"Due within 1 Month",IF($H2341&lt;=TODAY()+60,"Due within 2 Months","OK"))))))</f>
        <v>No Data</v>
      </c>
      <c r="K2341" s="13"/>
    </row>
    <row r="2342" customFormat="false" ht="15" hidden="false" customHeight="false" outlineLevel="0" collapsed="false">
      <c r="A2342" s="9" t="str">
        <f aca="false">Vessels!B25</f>
        <v>Vessel 21</v>
      </c>
      <c r="B2342" s="9" t="s">
        <v>136</v>
      </c>
      <c r="C2342" s="7" t="s">
        <v>142</v>
      </c>
      <c r="D2342" s="9" t="s">
        <v>115</v>
      </c>
      <c r="E2342" s="9" t="s">
        <v>143</v>
      </c>
      <c r="F2342" s="5"/>
      <c r="G2342" s="10"/>
      <c r="H2342" s="11" t="str">
        <f aca="false">IFERROR(IF($D2342="Manual Review","",IF($G2342="","",IF($D2342="Direct Expiry",$G2342,EDATE($G2342,$F2342)))),"Check Date")</f>
        <v/>
      </c>
      <c r="I2342" s="12" t="str">
        <f aca="true">IF($H2342="","",IF(ISNUMBER($H2342),$H2342-TODAY(),""))</f>
        <v/>
      </c>
      <c r="J2342" s="4" t="str">
        <f aca="true">IF($D2342="Manual Review","Manual Review",IF($G2342="","No Data",IF(NOT(ISNUMBER($H2342)),"N/A",IF($H2342&lt;TODAY(),"Overdue",IF($H2342&lt;=TODAY()+30,"Due within 1 Month",IF($H2342&lt;=TODAY()+60,"Due within 2 Months","OK"))))))</f>
        <v>Manual Review</v>
      </c>
      <c r="K2342" s="13"/>
    </row>
    <row r="2343" customFormat="false" ht="15" hidden="false" customHeight="false" outlineLevel="0" collapsed="false">
      <c r="A2343" s="9" t="str">
        <f aca="false">Vessels!B25</f>
        <v>Vessel 21</v>
      </c>
      <c r="B2343" s="9" t="s">
        <v>136</v>
      </c>
      <c r="C2343" s="7" t="s">
        <v>144</v>
      </c>
      <c r="D2343" s="9" t="s">
        <v>45</v>
      </c>
      <c r="E2343" s="9" t="s">
        <v>44</v>
      </c>
      <c r="F2343" s="5" t="n">
        <v>12</v>
      </c>
      <c r="G2343" s="10"/>
      <c r="H2343" s="11" t="str">
        <f aca="false">IFERROR(IF($D2343="Manual Review","",IF($G2343="","",IF($D2343="Direct Expiry",$G2343,EDATE($G2343,$F2343)))),"Check Date")</f>
        <v/>
      </c>
      <c r="I2343" s="12" t="str">
        <f aca="true">IF($H2343="","",IF(ISNUMBER($H2343),$H2343-TODAY(),""))</f>
        <v/>
      </c>
      <c r="J2343" s="4" t="str">
        <f aca="true">IF($D2343="Manual Review","Manual Review",IF($G2343="","No Data",IF(NOT(ISNUMBER($H2343)),"N/A",IF($H2343&lt;TODAY(),"Overdue",IF($H2343&lt;=TODAY()+30,"Due within 1 Month",IF($H2343&lt;=TODAY()+60,"Due within 2 Months","OK"))))))</f>
        <v>No Data</v>
      </c>
      <c r="K2343" s="13"/>
    </row>
    <row r="2344" customFormat="false" ht="15" hidden="false" customHeight="false" outlineLevel="0" collapsed="false">
      <c r="A2344" s="9" t="str">
        <f aca="false">Vessels!B25</f>
        <v>Vessel 21</v>
      </c>
      <c r="B2344" s="9" t="s">
        <v>136</v>
      </c>
      <c r="C2344" s="7" t="s">
        <v>145</v>
      </c>
      <c r="D2344" s="9" t="s">
        <v>45</v>
      </c>
      <c r="E2344" s="9" t="s">
        <v>44</v>
      </c>
      <c r="F2344" s="5" t="n">
        <v>12</v>
      </c>
      <c r="G2344" s="10"/>
      <c r="H2344" s="11" t="str">
        <f aca="false">IFERROR(IF($D2344="Manual Review","",IF($G2344="","",IF($D2344="Direct Expiry",$G2344,EDATE($G2344,$F2344)))),"Check Date")</f>
        <v/>
      </c>
      <c r="I2344" s="12" t="str">
        <f aca="true">IF($H2344="","",IF(ISNUMBER($H2344),$H2344-TODAY(),""))</f>
        <v/>
      </c>
      <c r="J2344" s="4" t="str">
        <f aca="true">IF($D2344="Manual Review","Manual Review",IF($G2344="","No Data",IF(NOT(ISNUMBER($H2344)),"N/A",IF($H2344&lt;TODAY(),"Overdue",IF($H2344&lt;=TODAY()+30,"Due within 1 Month",IF($H2344&lt;=TODAY()+60,"Due within 2 Months","OK"))))))</f>
        <v>No Data</v>
      </c>
      <c r="K2344" s="13"/>
    </row>
    <row r="2345" customFormat="false" ht="15" hidden="false" customHeight="false" outlineLevel="0" collapsed="false">
      <c r="A2345" s="9" t="str">
        <f aca="false">Vessels!B25</f>
        <v>Vessel 21</v>
      </c>
      <c r="B2345" s="9" t="s">
        <v>136</v>
      </c>
      <c r="C2345" s="7" t="s">
        <v>146</v>
      </c>
      <c r="D2345" s="9" t="s">
        <v>45</v>
      </c>
      <c r="E2345" s="9" t="s">
        <v>44</v>
      </c>
      <c r="F2345" s="5" t="n">
        <v>12</v>
      </c>
      <c r="G2345" s="10"/>
      <c r="H2345" s="11" t="str">
        <f aca="false">IFERROR(IF($D2345="Manual Review","",IF($G2345="","",IF($D2345="Direct Expiry",$G2345,EDATE($G2345,$F2345)))),"Check Date")</f>
        <v/>
      </c>
      <c r="I2345" s="12" t="str">
        <f aca="true">IF($H2345="","",IF(ISNUMBER($H2345),$H2345-TODAY(),""))</f>
        <v/>
      </c>
      <c r="J2345" s="4" t="str">
        <f aca="true">IF($D2345="Manual Review","Manual Review",IF($G2345="","No Data",IF(NOT(ISNUMBER($H2345)),"N/A",IF($H2345&lt;TODAY(),"Overdue",IF($H2345&lt;=TODAY()+30,"Due within 1 Month",IF($H2345&lt;=TODAY()+60,"Due within 2 Months","OK"))))))</f>
        <v>No Data</v>
      </c>
      <c r="K2345" s="13"/>
    </row>
    <row r="2346" customFormat="false" ht="15" hidden="false" customHeight="false" outlineLevel="0" collapsed="false">
      <c r="A2346" s="9" t="str">
        <f aca="false">Vessels!B25</f>
        <v>Vessel 21</v>
      </c>
      <c r="B2346" s="9" t="s">
        <v>136</v>
      </c>
      <c r="C2346" s="7" t="s">
        <v>147</v>
      </c>
      <c r="D2346" s="9" t="s">
        <v>45</v>
      </c>
      <c r="E2346" s="9" t="s">
        <v>44</v>
      </c>
      <c r="F2346" s="5" t="n">
        <v>12</v>
      </c>
      <c r="G2346" s="10"/>
      <c r="H2346" s="11" t="str">
        <f aca="false">IFERROR(IF($D2346="Manual Review","",IF($G2346="","",IF($D2346="Direct Expiry",$G2346,EDATE($G2346,$F2346)))),"Check Date")</f>
        <v/>
      </c>
      <c r="I2346" s="12" t="str">
        <f aca="true">IF($H2346="","",IF(ISNUMBER($H2346),$H2346-TODAY(),""))</f>
        <v/>
      </c>
      <c r="J2346" s="4" t="str">
        <f aca="true">IF($D2346="Manual Review","Manual Review",IF($G2346="","No Data",IF(NOT(ISNUMBER($H2346)),"N/A",IF($H2346&lt;TODAY(),"Overdue",IF($H2346&lt;=TODAY()+30,"Due within 1 Month",IF($H2346&lt;=TODAY()+60,"Due within 2 Months","OK"))))))</f>
        <v>No Data</v>
      </c>
      <c r="K2346" s="13"/>
    </row>
    <row r="2347" customFormat="false" ht="15" hidden="false" customHeight="false" outlineLevel="0" collapsed="false">
      <c r="A2347" s="9" t="str">
        <f aca="false">Vessels!B25</f>
        <v>Vessel 21</v>
      </c>
      <c r="B2347" s="9" t="s">
        <v>136</v>
      </c>
      <c r="C2347" s="7" t="s">
        <v>148</v>
      </c>
      <c r="D2347" s="9" t="s">
        <v>45</v>
      </c>
      <c r="E2347" s="9" t="s">
        <v>44</v>
      </c>
      <c r="F2347" s="5" t="n">
        <v>12</v>
      </c>
      <c r="G2347" s="10"/>
      <c r="H2347" s="11" t="str">
        <f aca="false">IFERROR(IF($D2347="Manual Review","",IF($G2347="","",IF($D2347="Direct Expiry",$G2347,EDATE($G2347,$F2347)))),"Check Date")</f>
        <v/>
      </c>
      <c r="I2347" s="12" t="str">
        <f aca="true">IF($H2347="","",IF(ISNUMBER($H2347),$H2347-TODAY(),""))</f>
        <v/>
      </c>
      <c r="J2347" s="4" t="str">
        <f aca="true">IF($D2347="Manual Review","Manual Review",IF($G2347="","No Data",IF(NOT(ISNUMBER($H2347)),"N/A",IF($H2347&lt;TODAY(),"Overdue",IF($H2347&lt;=TODAY()+30,"Due within 1 Month",IF($H2347&lt;=TODAY()+60,"Due within 2 Months","OK"))))))</f>
        <v>No Data</v>
      </c>
      <c r="K2347" s="13"/>
    </row>
    <row r="2348" customFormat="false" ht="15" hidden="false" customHeight="false" outlineLevel="0" collapsed="false">
      <c r="A2348" s="9" t="str">
        <f aca="false">Vessels!B25</f>
        <v>Vessel 21</v>
      </c>
      <c r="B2348" s="9" t="s">
        <v>136</v>
      </c>
      <c r="C2348" s="7" t="s">
        <v>149</v>
      </c>
      <c r="D2348" s="9" t="s">
        <v>45</v>
      </c>
      <c r="E2348" s="9" t="s">
        <v>44</v>
      </c>
      <c r="F2348" s="5" t="n">
        <v>12</v>
      </c>
      <c r="G2348" s="10"/>
      <c r="H2348" s="11" t="str">
        <f aca="false">IFERROR(IF($D2348="Manual Review","",IF($G2348="","",IF($D2348="Direct Expiry",$G2348,EDATE($G2348,$F2348)))),"Check Date")</f>
        <v/>
      </c>
      <c r="I2348" s="12" t="str">
        <f aca="true">IF($H2348="","",IF(ISNUMBER($H2348),$H2348-TODAY(),""))</f>
        <v/>
      </c>
      <c r="J2348" s="4" t="str">
        <f aca="true">IF($D2348="Manual Review","Manual Review",IF($G2348="","No Data",IF(NOT(ISNUMBER($H2348)),"N/A",IF($H2348&lt;TODAY(),"Overdue",IF($H2348&lt;=TODAY()+30,"Due within 1 Month",IF($H2348&lt;=TODAY()+60,"Due within 2 Months","OK"))))))</f>
        <v>No Data</v>
      </c>
      <c r="K2348" s="13"/>
    </row>
    <row r="2349" customFormat="false" ht="15" hidden="false" customHeight="false" outlineLevel="0" collapsed="false">
      <c r="A2349" s="9" t="str">
        <f aca="false">Vessels!B25</f>
        <v>Vessel 21</v>
      </c>
      <c r="B2349" s="9" t="s">
        <v>136</v>
      </c>
      <c r="C2349" s="7" t="s">
        <v>150</v>
      </c>
      <c r="D2349" s="9" t="s">
        <v>45</v>
      </c>
      <c r="E2349" s="9" t="s">
        <v>44</v>
      </c>
      <c r="F2349" s="5" t="n">
        <v>12</v>
      </c>
      <c r="G2349" s="10"/>
      <c r="H2349" s="11" t="str">
        <f aca="false">IFERROR(IF($D2349="Manual Review","",IF($G2349="","",IF($D2349="Direct Expiry",$G2349,EDATE($G2349,$F2349)))),"Check Date")</f>
        <v/>
      </c>
      <c r="I2349" s="12" t="str">
        <f aca="true">IF($H2349="","",IF(ISNUMBER($H2349),$H2349-TODAY(),""))</f>
        <v/>
      </c>
      <c r="J2349" s="4" t="str">
        <f aca="true">IF($D2349="Manual Review","Manual Review",IF($G2349="","No Data",IF(NOT(ISNUMBER($H2349)),"N/A",IF($H2349&lt;TODAY(),"Overdue",IF($H2349&lt;=TODAY()+30,"Due within 1 Month",IF($H2349&lt;=TODAY()+60,"Due within 2 Months","OK"))))))</f>
        <v>No Data</v>
      </c>
      <c r="K2349" s="13"/>
    </row>
    <row r="2350" customFormat="false" ht="15" hidden="false" customHeight="false" outlineLevel="0" collapsed="false">
      <c r="A2350" s="9" t="str">
        <f aca="false">Vessels!B25</f>
        <v>Vessel 21</v>
      </c>
      <c r="B2350" s="9" t="s">
        <v>136</v>
      </c>
      <c r="C2350" s="7" t="s">
        <v>151</v>
      </c>
      <c r="D2350" s="9" t="s">
        <v>45</v>
      </c>
      <c r="E2350" s="9" t="s">
        <v>44</v>
      </c>
      <c r="F2350" s="5" t="n">
        <v>12</v>
      </c>
      <c r="G2350" s="10"/>
      <c r="H2350" s="11" t="str">
        <f aca="false">IFERROR(IF($D2350="Manual Review","",IF($G2350="","",IF($D2350="Direct Expiry",$G2350,EDATE($G2350,$F2350)))),"Check Date")</f>
        <v/>
      </c>
      <c r="I2350" s="12" t="str">
        <f aca="true">IF($H2350="","",IF(ISNUMBER($H2350),$H2350-TODAY(),""))</f>
        <v/>
      </c>
      <c r="J2350" s="4" t="str">
        <f aca="true">IF($D2350="Manual Review","Manual Review",IF($G2350="","No Data",IF(NOT(ISNUMBER($H2350)),"N/A",IF($H2350&lt;TODAY(),"Overdue",IF($H2350&lt;=TODAY()+30,"Due within 1 Month",IF($H2350&lt;=TODAY()+60,"Due within 2 Months","OK"))))))</f>
        <v>No Data</v>
      </c>
      <c r="K2350" s="13"/>
    </row>
    <row r="2351" customFormat="false" ht="15" hidden="false" customHeight="false" outlineLevel="0" collapsed="false">
      <c r="A2351" s="9" t="str">
        <f aca="false">Vessels!B25</f>
        <v>Vessel 21</v>
      </c>
      <c r="B2351" s="9" t="s">
        <v>136</v>
      </c>
      <c r="C2351" s="7" t="s">
        <v>152</v>
      </c>
      <c r="D2351" s="9" t="s">
        <v>45</v>
      </c>
      <c r="E2351" s="9" t="s">
        <v>44</v>
      </c>
      <c r="F2351" s="5" t="n">
        <v>12</v>
      </c>
      <c r="G2351" s="10"/>
      <c r="H2351" s="11" t="str">
        <f aca="false">IFERROR(IF($D2351="Manual Review","",IF($G2351="","",IF($D2351="Direct Expiry",$G2351,EDATE($G2351,$F2351)))),"Check Date")</f>
        <v/>
      </c>
      <c r="I2351" s="12" t="str">
        <f aca="true">IF($H2351="","",IF(ISNUMBER($H2351),$H2351-TODAY(),""))</f>
        <v/>
      </c>
      <c r="J2351" s="4" t="str">
        <f aca="true">IF($D2351="Manual Review","Manual Review",IF($G2351="","No Data",IF(NOT(ISNUMBER($H2351)),"N/A",IF($H2351&lt;TODAY(),"Overdue",IF($H2351&lt;=TODAY()+30,"Due within 1 Month",IF($H2351&lt;=TODAY()+60,"Due within 2 Months","OK"))))))</f>
        <v>No Data</v>
      </c>
      <c r="K2351" s="13"/>
    </row>
    <row r="2352" customFormat="false" ht="15" hidden="false" customHeight="false" outlineLevel="0" collapsed="false">
      <c r="A2352" s="9" t="str">
        <f aca="false">Vessels!B25</f>
        <v>Vessel 21</v>
      </c>
      <c r="B2352" s="9" t="s">
        <v>136</v>
      </c>
      <c r="C2352" s="7" t="s">
        <v>153</v>
      </c>
      <c r="D2352" s="9" t="s">
        <v>45</v>
      </c>
      <c r="E2352" s="9" t="s">
        <v>44</v>
      </c>
      <c r="F2352" s="5" t="n">
        <v>12</v>
      </c>
      <c r="G2352" s="10"/>
      <c r="H2352" s="11" t="str">
        <f aca="false">IFERROR(IF($D2352="Manual Review","",IF($G2352="","",IF($D2352="Direct Expiry",$G2352,EDATE($G2352,$F2352)))),"Check Date")</f>
        <v/>
      </c>
      <c r="I2352" s="12" t="str">
        <f aca="true">IF($H2352="","",IF(ISNUMBER($H2352),$H2352-TODAY(),""))</f>
        <v/>
      </c>
      <c r="J2352" s="4" t="str">
        <f aca="true">IF($D2352="Manual Review","Manual Review",IF($G2352="","No Data",IF(NOT(ISNUMBER($H2352)),"N/A",IF($H2352&lt;TODAY(),"Overdue",IF($H2352&lt;=TODAY()+30,"Due within 1 Month",IF($H2352&lt;=TODAY()+60,"Due within 2 Months","OK"))))))</f>
        <v>No Data</v>
      </c>
      <c r="K2352" s="13"/>
    </row>
    <row r="2353" customFormat="false" ht="15" hidden="false" customHeight="false" outlineLevel="0" collapsed="false">
      <c r="A2353" s="9" t="str">
        <f aca="false">Vessels!B25</f>
        <v>Vessel 21</v>
      </c>
      <c r="B2353" s="9" t="s">
        <v>136</v>
      </c>
      <c r="C2353" s="7" t="s">
        <v>154</v>
      </c>
      <c r="D2353" s="9" t="s">
        <v>45</v>
      </c>
      <c r="E2353" s="9" t="s">
        <v>44</v>
      </c>
      <c r="F2353" s="5" t="n">
        <v>12</v>
      </c>
      <c r="G2353" s="10"/>
      <c r="H2353" s="11" t="str">
        <f aca="false">IFERROR(IF($D2353="Manual Review","",IF($G2353="","",IF($D2353="Direct Expiry",$G2353,EDATE($G2353,$F2353)))),"Check Date")</f>
        <v/>
      </c>
      <c r="I2353" s="12" t="str">
        <f aca="true">IF($H2353="","",IF(ISNUMBER($H2353),$H2353-TODAY(),""))</f>
        <v/>
      </c>
      <c r="J2353" s="4" t="str">
        <f aca="true">IF($D2353="Manual Review","Manual Review",IF($G2353="","No Data",IF(NOT(ISNUMBER($H2353)),"N/A",IF($H2353&lt;TODAY(),"Overdue",IF($H2353&lt;=TODAY()+30,"Due within 1 Month",IF($H2353&lt;=TODAY()+60,"Due within 2 Months","OK"))))))</f>
        <v>No Data</v>
      </c>
      <c r="K2353" s="13"/>
    </row>
    <row r="2354" customFormat="false" ht="15" hidden="false" customHeight="false" outlineLevel="0" collapsed="false">
      <c r="A2354" s="9" t="str">
        <f aca="false">Vessels!B25</f>
        <v>Vessel 21</v>
      </c>
      <c r="B2354" s="9" t="s">
        <v>136</v>
      </c>
      <c r="C2354" s="7" t="s">
        <v>155</v>
      </c>
      <c r="D2354" s="9" t="s">
        <v>45</v>
      </c>
      <c r="E2354" s="9" t="s">
        <v>44</v>
      </c>
      <c r="F2354" s="5" t="n">
        <v>12</v>
      </c>
      <c r="G2354" s="10"/>
      <c r="H2354" s="11" t="str">
        <f aca="false">IFERROR(IF($D2354="Manual Review","",IF($G2354="","",IF($D2354="Direct Expiry",$G2354,EDATE($G2354,$F2354)))),"Check Date")</f>
        <v/>
      </c>
      <c r="I2354" s="12" t="str">
        <f aca="true">IF($H2354="","",IF(ISNUMBER($H2354),$H2354-TODAY(),""))</f>
        <v/>
      </c>
      <c r="J2354" s="4" t="str">
        <f aca="true">IF($D2354="Manual Review","Manual Review",IF($G2354="","No Data",IF(NOT(ISNUMBER($H2354)),"N/A",IF($H2354&lt;TODAY(),"Overdue",IF($H2354&lt;=TODAY()+30,"Due within 1 Month",IF($H2354&lt;=TODAY()+60,"Due within 2 Months","OK"))))))</f>
        <v>No Data</v>
      </c>
      <c r="K2354" s="13"/>
    </row>
    <row r="2355" customFormat="false" ht="15" hidden="false" customHeight="false" outlineLevel="0" collapsed="false">
      <c r="A2355" s="9" t="str">
        <f aca="false">Vessels!B25</f>
        <v>Vessel 21</v>
      </c>
      <c r="B2355" s="9" t="s">
        <v>136</v>
      </c>
      <c r="C2355" s="7" t="s">
        <v>156</v>
      </c>
      <c r="D2355" s="9" t="s">
        <v>45</v>
      </c>
      <c r="E2355" s="9" t="s">
        <v>44</v>
      </c>
      <c r="F2355" s="5" t="n">
        <v>12</v>
      </c>
      <c r="G2355" s="10"/>
      <c r="H2355" s="11" t="str">
        <f aca="false">IFERROR(IF($D2355="Manual Review","",IF($G2355="","",IF($D2355="Direct Expiry",$G2355,EDATE($G2355,$F2355)))),"Check Date")</f>
        <v/>
      </c>
      <c r="I2355" s="12" t="str">
        <f aca="true">IF($H2355="","",IF(ISNUMBER($H2355),$H2355-TODAY(),""))</f>
        <v/>
      </c>
      <c r="J2355" s="4" t="str">
        <f aca="true">IF($D2355="Manual Review","Manual Review",IF($G2355="","No Data",IF(NOT(ISNUMBER($H2355)),"N/A",IF($H2355&lt;TODAY(),"Overdue",IF($H2355&lt;=TODAY()+30,"Due within 1 Month",IF($H2355&lt;=TODAY()+60,"Due within 2 Months","OK"))))))</f>
        <v>No Data</v>
      </c>
      <c r="K2355" s="13"/>
    </row>
    <row r="2356" customFormat="false" ht="15" hidden="false" customHeight="false" outlineLevel="0" collapsed="false">
      <c r="A2356" s="9" t="str">
        <f aca="false">Vessels!B25</f>
        <v>Vessel 21</v>
      </c>
      <c r="B2356" s="9" t="s">
        <v>136</v>
      </c>
      <c r="C2356" s="7" t="s">
        <v>157</v>
      </c>
      <c r="D2356" s="9" t="s">
        <v>45</v>
      </c>
      <c r="E2356" s="9" t="s">
        <v>44</v>
      </c>
      <c r="F2356" s="5" t="n">
        <v>12</v>
      </c>
      <c r="G2356" s="10"/>
      <c r="H2356" s="11" t="str">
        <f aca="false">IFERROR(IF($D2356="Manual Review","",IF($G2356="","",IF($D2356="Direct Expiry",$G2356,EDATE($G2356,$F2356)))),"Check Date")</f>
        <v/>
      </c>
      <c r="I2356" s="12" t="str">
        <f aca="true">IF($H2356="","",IF(ISNUMBER($H2356),$H2356-TODAY(),""))</f>
        <v/>
      </c>
      <c r="J2356" s="4" t="str">
        <f aca="true">IF($D2356="Manual Review","Manual Review",IF($G2356="","No Data",IF(NOT(ISNUMBER($H2356)),"N/A",IF($H2356&lt;TODAY(),"Overdue",IF($H2356&lt;=TODAY()+30,"Due within 1 Month",IF($H2356&lt;=TODAY()+60,"Due within 2 Months","OK"))))))</f>
        <v>No Data</v>
      </c>
      <c r="K2356" s="13"/>
    </row>
    <row r="2357" customFormat="false" ht="15" hidden="false" customHeight="false" outlineLevel="0" collapsed="false">
      <c r="A2357" s="9" t="str">
        <f aca="false">Vessels!B26</f>
        <v>Vessel 22</v>
      </c>
      <c r="B2357" s="9" t="s">
        <v>42</v>
      </c>
      <c r="C2357" s="7" t="s">
        <v>43</v>
      </c>
      <c r="D2357" s="9" t="s">
        <v>45</v>
      </c>
      <c r="E2357" s="9" t="s">
        <v>44</v>
      </c>
      <c r="F2357" s="5" t="n">
        <v>12</v>
      </c>
      <c r="G2357" s="10"/>
      <c r="H2357" s="11" t="str">
        <f aca="false">IFERROR(IF($D2357="Manual Review","",IF($G2357="","",IF($D2357="Direct Expiry",$G2357,EDATE($G2357,$F2357)))),"Check Date")</f>
        <v/>
      </c>
      <c r="I2357" s="12" t="str">
        <f aca="true">IF($H2357="","",IF(ISNUMBER($H2357),$H2357-TODAY(),""))</f>
        <v/>
      </c>
      <c r="J2357" s="4" t="str">
        <f aca="true">IF($D2357="Manual Review","Manual Review",IF($G2357="","No Data",IF(NOT(ISNUMBER($H2357)),"N/A",IF($H2357&lt;TODAY(),"Overdue",IF($H2357&lt;=TODAY()+30,"Due within 1 Month",IF($H2357&lt;=TODAY()+60,"Due within 2 Months","OK"))))))</f>
        <v>No Data</v>
      </c>
      <c r="K2357" s="13"/>
    </row>
    <row r="2358" customFormat="false" ht="15" hidden="false" customHeight="false" outlineLevel="0" collapsed="false">
      <c r="A2358" s="9" t="str">
        <f aca="false">Vessels!B26</f>
        <v>Vessel 22</v>
      </c>
      <c r="B2358" s="9" t="s">
        <v>42</v>
      </c>
      <c r="C2358" s="7" t="s">
        <v>43</v>
      </c>
      <c r="D2358" s="9" t="s">
        <v>45</v>
      </c>
      <c r="E2358" s="9" t="s">
        <v>46</v>
      </c>
      <c r="F2358" s="5" t="n">
        <v>60</v>
      </c>
      <c r="G2358" s="10"/>
      <c r="H2358" s="11" t="str">
        <f aca="false">IFERROR(IF($D2358="Manual Review","",IF($G2358="","",IF($D2358="Direct Expiry",$G2358,EDATE($G2358,$F2358)))),"Check Date")</f>
        <v/>
      </c>
      <c r="I2358" s="12" t="str">
        <f aca="true">IF($H2358="","",IF(ISNUMBER($H2358),$H2358-TODAY(),""))</f>
        <v/>
      </c>
      <c r="J2358" s="4" t="str">
        <f aca="true">IF($D2358="Manual Review","Manual Review",IF($G2358="","No Data",IF(NOT(ISNUMBER($H2358)),"N/A",IF($H2358&lt;TODAY(),"Overdue",IF($H2358&lt;=TODAY()+30,"Due within 1 Month",IF($H2358&lt;=TODAY()+60,"Due within 2 Months","OK"))))))</f>
        <v>No Data</v>
      </c>
      <c r="K2358" s="13"/>
    </row>
    <row r="2359" customFormat="false" ht="15" hidden="false" customHeight="false" outlineLevel="0" collapsed="false">
      <c r="A2359" s="9" t="str">
        <f aca="false">Vessels!B26</f>
        <v>Vessel 22</v>
      </c>
      <c r="B2359" s="9" t="s">
        <v>42</v>
      </c>
      <c r="C2359" s="7" t="s">
        <v>47</v>
      </c>
      <c r="D2359" s="9" t="s">
        <v>45</v>
      </c>
      <c r="E2359" s="9" t="s">
        <v>44</v>
      </c>
      <c r="F2359" s="5" t="n">
        <v>12</v>
      </c>
      <c r="G2359" s="10"/>
      <c r="H2359" s="11" t="str">
        <f aca="false">IFERROR(IF($D2359="Manual Review","",IF($G2359="","",IF($D2359="Direct Expiry",$G2359,EDATE($G2359,$F2359)))),"Check Date")</f>
        <v/>
      </c>
      <c r="I2359" s="12" t="str">
        <f aca="true">IF($H2359="","",IF(ISNUMBER($H2359),$H2359-TODAY(),""))</f>
        <v/>
      </c>
      <c r="J2359" s="4" t="str">
        <f aca="true">IF($D2359="Manual Review","Manual Review",IF($G2359="","No Data",IF(NOT(ISNUMBER($H2359)),"N/A",IF($H2359&lt;TODAY(),"Overdue",IF($H2359&lt;=TODAY()+30,"Due within 1 Month",IF($H2359&lt;=TODAY()+60,"Due within 2 Months","OK"))))))</f>
        <v>No Data</v>
      </c>
      <c r="K2359" s="13"/>
    </row>
    <row r="2360" customFormat="false" ht="15" hidden="false" customHeight="false" outlineLevel="0" collapsed="false">
      <c r="A2360" s="9" t="str">
        <f aca="false">Vessels!B26</f>
        <v>Vessel 22</v>
      </c>
      <c r="B2360" s="9" t="s">
        <v>42</v>
      </c>
      <c r="C2360" s="7" t="s">
        <v>47</v>
      </c>
      <c r="D2360" s="9" t="s">
        <v>45</v>
      </c>
      <c r="E2360" s="9" t="s">
        <v>46</v>
      </c>
      <c r="F2360" s="5" t="n">
        <v>60</v>
      </c>
      <c r="G2360" s="10"/>
      <c r="H2360" s="11" t="str">
        <f aca="false">IFERROR(IF($D2360="Manual Review","",IF($G2360="","",IF($D2360="Direct Expiry",$G2360,EDATE($G2360,$F2360)))),"Check Date")</f>
        <v/>
      </c>
      <c r="I2360" s="12" t="str">
        <f aca="true">IF($H2360="","",IF(ISNUMBER($H2360),$H2360-TODAY(),""))</f>
        <v/>
      </c>
      <c r="J2360" s="4" t="str">
        <f aca="true">IF($D2360="Manual Review","Manual Review",IF($G2360="","No Data",IF(NOT(ISNUMBER($H2360)),"N/A",IF($H2360&lt;TODAY(),"Overdue",IF($H2360&lt;=TODAY()+30,"Due within 1 Month",IF($H2360&lt;=TODAY()+60,"Due within 2 Months","OK"))))))</f>
        <v>No Data</v>
      </c>
      <c r="K2360" s="13"/>
    </row>
    <row r="2361" customFormat="false" ht="15" hidden="false" customHeight="false" outlineLevel="0" collapsed="false">
      <c r="A2361" s="9" t="str">
        <f aca="false">Vessels!B26</f>
        <v>Vessel 22</v>
      </c>
      <c r="B2361" s="9" t="s">
        <v>42</v>
      </c>
      <c r="C2361" s="7" t="s">
        <v>48</v>
      </c>
      <c r="D2361" s="9" t="s">
        <v>45</v>
      </c>
      <c r="E2361" s="9" t="s">
        <v>44</v>
      </c>
      <c r="F2361" s="5" t="n">
        <v>12</v>
      </c>
      <c r="G2361" s="10"/>
      <c r="H2361" s="11" t="str">
        <f aca="false">IFERROR(IF($D2361="Manual Review","",IF($G2361="","",IF($D2361="Direct Expiry",$G2361,EDATE($G2361,$F2361)))),"Check Date")</f>
        <v/>
      </c>
      <c r="I2361" s="12" t="str">
        <f aca="true">IF($H2361="","",IF(ISNUMBER($H2361),$H2361-TODAY(),""))</f>
        <v/>
      </c>
      <c r="J2361" s="4" t="str">
        <f aca="true">IF($D2361="Manual Review","Manual Review",IF($G2361="","No Data",IF(NOT(ISNUMBER($H2361)),"N/A",IF($H2361&lt;TODAY(),"Overdue",IF($H2361&lt;=TODAY()+30,"Due within 1 Month",IF($H2361&lt;=TODAY()+60,"Due within 2 Months","OK"))))))</f>
        <v>No Data</v>
      </c>
      <c r="K2361" s="13"/>
    </row>
    <row r="2362" customFormat="false" ht="15" hidden="false" customHeight="false" outlineLevel="0" collapsed="false">
      <c r="A2362" s="9" t="str">
        <f aca="false">Vessels!B26</f>
        <v>Vessel 22</v>
      </c>
      <c r="B2362" s="9" t="s">
        <v>42</v>
      </c>
      <c r="C2362" s="7" t="s">
        <v>48</v>
      </c>
      <c r="D2362" s="9" t="s">
        <v>45</v>
      </c>
      <c r="E2362" s="9" t="s">
        <v>49</v>
      </c>
      <c r="F2362" s="5" t="n">
        <v>60</v>
      </c>
      <c r="G2362" s="10"/>
      <c r="H2362" s="11" t="str">
        <f aca="false">IFERROR(IF($D2362="Manual Review","",IF($G2362="","",IF($D2362="Direct Expiry",$G2362,EDATE($G2362,$F2362)))),"Check Date")</f>
        <v/>
      </c>
      <c r="I2362" s="12" t="str">
        <f aca="true">IF($H2362="","",IF(ISNUMBER($H2362),$H2362-TODAY(),""))</f>
        <v/>
      </c>
      <c r="J2362" s="4" t="str">
        <f aca="true">IF($D2362="Manual Review","Manual Review",IF($G2362="","No Data",IF(NOT(ISNUMBER($H2362)),"N/A",IF($H2362&lt;TODAY(),"Overdue",IF($H2362&lt;=TODAY()+30,"Due within 1 Month",IF($H2362&lt;=TODAY()+60,"Due within 2 Months","OK"))))))</f>
        <v>No Data</v>
      </c>
      <c r="K2362" s="13"/>
    </row>
    <row r="2363" customFormat="false" ht="15" hidden="false" customHeight="false" outlineLevel="0" collapsed="false">
      <c r="A2363" s="9" t="str">
        <f aca="false">Vessels!B26</f>
        <v>Vessel 22</v>
      </c>
      <c r="B2363" s="9" t="s">
        <v>42</v>
      </c>
      <c r="C2363" s="7" t="s">
        <v>50</v>
      </c>
      <c r="D2363" s="9" t="s">
        <v>45</v>
      </c>
      <c r="E2363" s="9" t="s">
        <v>44</v>
      </c>
      <c r="F2363" s="5" t="n">
        <v>12</v>
      </c>
      <c r="G2363" s="10"/>
      <c r="H2363" s="11" t="str">
        <f aca="false">IFERROR(IF($D2363="Manual Review","",IF($G2363="","",IF($D2363="Direct Expiry",$G2363,EDATE($G2363,$F2363)))),"Check Date")</f>
        <v/>
      </c>
      <c r="I2363" s="12" t="str">
        <f aca="true">IF($H2363="","",IF(ISNUMBER($H2363),$H2363-TODAY(),""))</f>
        <v/>
      </c>
      <c r="J2363" s="4" t="str">
        <f aca="true">IF($D2363="Manual Review","Manual Review",IF($G2363="","No Data",IF(NOT(ISNUMBER($H2363)),"N/A",IF($H2363&lt;TODAY(),"Overdue",IF($H2363&lt;=TODAY()+30,"Due within 1 Month",IF($H2363&lt;=TODAY()+60,"Due within 2 Months","OK"))))))</f>
        <v>No Data</v>
      </c>
      <c r="K2363" s="13"/>
    </row>
    <row r="2364" customFormat="false" ht="15" hidden="false" customHeight="false" outlineLevel="0" collapsed="false">
      <c r="A2364" s="9" t="str">
        <f aca="false">Vessels!B26</f>
        <v>Vessel 22</v>
      </c>
      <c r="B2364" s="9" t="s">
        <v>42</v>
      </c>
      <c r="C2364" s="7" t="s">
        <v>50</v>
      </c>
      <c r="D2364" s="9" t="s">
        <v>45</v>
      </c>
      <c r="E2364" s="9" t="s">
        <v>49</v>
      </c>
      <c r="F2364" s="5" t="n">
        <v>60</v>
      </c>
      <c r="G2364" s="10"/>
      <c r="H2364" s="11" t="str">
        <f aca="false">IFERROR(IF($D2364="Manual Review","",IF($G2364="","",IF($D2364="Direct Expiry",$G2364,EDATE($G2364,$F2364)))),"Check Date")</f>
        <v/>
      </c>
      <c r="I2364" s="12" t="str">
        <f aca="true">IF($H2364="","",IF(ISNUMBER($H2364),$H2364-TODAY(),""))</f>
        <v/>
      </c>
      <c r="J2364" s="4" t="str">
        <f aca="true">IF($D2364="Manual Review","Manual Review",IF($G2364="","No Data",IF(NOT(ISNUMBER($H2364)),"N/A",IF($H2364&lt;TODAY(),"Overdue",IF($H2364&lt;=TODAY()+30,"Due within 1 Month",IF($H2364&lt;=TODAY()+60,"Due within 2 Months","OK"))))))</f>
        <v>No Data</v>
      </c>
      <c r="K2364" s="13"/>
    </row>
    <row r="2365" customFormat="false" ht="15" hidden="false" customHeight="false" outlineLevel="0" collapsed="false">
      <c r="A2365" s="9" t="str">
        <f aca="false">Vessels!B26</f>
        <v>Vessel 22</v>
      </c>
      <c r="B2365" s="9" t="s">
        <v>42</v>
      </c>
      <c r="C2365" s="7" t="s">
        <v>51</v>
      </c>
      <c r="D2365" s="9" t="s">
        <v>45</v>
      </c>
      <c r="E2365" s="9" t="s">
        <v>46</v>
      </c>
      <c r="F2365" s="5" t="n">
        <v>60</v>
      </c>
      <c r="G2365" s="10"/>
      <c r="H2365" s="11" t="str">
        <f aca="false">IFERROR(IF($D2365="Manual Review","",IF($G2365="","",IF($D2365="Direct Expiry",$G2365,EDATE($G2365,$F2365)))),"Check Date")</f>
        <v/>
      </c>
      <c r="I2365" s="12" t="str">
        <f aca="true">IF($H2365="","",IF(ISNUMBER($H2365),$H2365-TODAY(),""))</f>
        <v/>
      </c>
      <c r="J2365" s="4" t="str">
        <f aca="true">IF($D2365="Manual Review","Manual Review",IF($G2365="","No Data",IF(NOT(ISNUMBER($H2365)),"N/A",IF($H2365&lt;TODAY(),"Overdue",IF($H2365&lt;=TODAY()+30,"Due within 1 Month",IF($H2365&lt;=TODAY()+60,"Due within 2 Months","OK"))))))</f>
        <v>No Data</v>
      </c>
      <c r="K2365" s="13"/>
    </row>
    <row r="2366" customFormat="false" ht="15" hidden="false" customHeight="false" outlineLevel="0" collapsed="false">
      <c r="A2366" s="9" t="str">
        <f aca="false">Vessels!B26</f>
        <v>Vessel 22</v>
      </c>
      <c r="B2366" s="9" t="s">
        <v>42</v>
      </c>
      <c r="C2366" s="7" t="s">
        <v>52</v>
      </c>
      <c r="D2366" s="9" t="s">
        <v>45</v>
      </c>
      <c r="E2366" s="9" t="s">
        <v>46</v>
      </c>
      <c r="F2366" s="5" t="n">
        <v>60</v>
      </c>
      <c r="G2366" s="10"/>
      <c r="H2366" s="11" t="str">
        <f aca="false">IFERROR(IF($D2366="Manual Review","",IF($G2366="","",IF($D2366="Direct Expiry",$G2366,EDATE($G2366,$F2366)))),"Check Date")</f>
        <v/>
      </c>
      <c r="I2366" s="12" t="str">
        <f aca="true">IF($H2366="","",IF(ISNUMBER($H2366),$H2366-TODAY(),""))</f>
        <v/>
      </c>
      <c r="J2366" s="4" t="str">
        <f aca="true">IF($D2366="Manual Review","Manual Review",IF($G2366="","No Data",IF(NOT(ISNUMBER($H2366)),"N/A",IF($H2366&lt;TODAY(),"Overdue",IF($H2366&lt;=TODAY()+30,"Due within 1 Month",IF($H2366&lt;=TODAY()+60,"Due within 2 Months","OK"))))))</f>
        <v>No Data</v>
      </c>
      <c r="K2366" s="13"/>
    </row>
    <row r="2367" customFormat="false" ht="15" hidden="false" customHeight="false" outlineLevel="0" collapsed="false">
      <c r="A2367" s="9" t="str">
        <f aca="false">Vessels!B26</f>
        <v>Vessel 22</v>
      </c>
      <c r="B2367" s="9" t="s">
        <v>42</v>
      </c>
      <c r="C2367" s="7" t="s">
        <v>53</v>
      </c>
      <c r="D2367" s="9" t="s">
        <v>45</v>
      </c>
      <c r="E2367" s="9" t="s">
        <v>46</v>
      </c>
      <c r="F2367" s="5" t="n">
        <v>60</v>
      </c>
      <c r="G2367" s="10"/>
      <c r="H2367" s="11" t="str">
        <f aca="false">IFERROR(IF($D2367="Manual Review","",IF($G2367="","",IF($D2367="Direct Expiry",$G2367,EDATE($G2367,$F2367)))),"Check Date")</f>
        <v/>
      </c>
      <c r="I2367" s="12" t="str">
        <f aca="true">IF($H2367="","",IF(ISNUMBER($H2367),$H2367-TODAY(),""))</f>
        <v/>
      </c>
      <c r="J2367" s="4" t="str">
        <f aca="true">IF($D2367="Manual Review","Manual Review",IF($G2367="","No Data",IF(NOT(ISNUMBER($H2367)),"N/A",IF($H2367&lt;TODAY(),"Overdue",IF($H2367&lt;=TODAY()+30,"Due within 1 Month",IF($H2367&lt;=TODAY()+60,"Due within 2 Months","OK"))))))</f>
        <v>No Data</v>
      </c>
      <c r="K2367" s="13"/>
    </row>
    <row r="2368" customFormat="false" ht="15" hidden="false" customHeight="false" outlineLevel="0" collapsed="false">
      <c r="A2368" s="9" t="str">
        <f aca="false">Vessels!B26</f>
        <v>Vessel 22</v>
      </c>
      <c r="B2368" s="9" t="s">
        <v>42</v>
      </c>
      <c r="C2368" s="7" t="s">
        <v>54</v>
      </c>
      <c r="D2368" s="9" t="s">
        <v>45</v>
      </c>
      <c r="E2368" s="9" t="s">
        <v>46</v>
      </c>
      <c r="F2368" s="5" t="n">
        <v>60</v>
      </c>
      <c r="G2368" s="10"/>
      <c r="H2368" s="11" t="str">
        <f aca="false">IFERROR(IF($D2368="Manual Review","",IF($G2368="","",IF($D2368="Direct Expiry",$G2368,EDATE($G2368,$F2368)))),"Check Date")</f>
        <v/>
      </c>
      <c r="I2368" s="12" t="str">
        <f aca="true">IF($H2368="","",IF(ISNUMBER($H2368),$H2368-TODAY(),""))</f>
        <v/>
      </c>
      <c r="J2368" s="4" t="str">
        <f aca="true">IF($D2368="Manual Review","Manual Review",IF($G2368="","No Data",IF(NOT(ISNUMBER($H2368)),"N/A",IF($H2368&lt;TODAY(),"Overdue",IF($H2368&lt;=TODAY()+30,"Due within 1 Month",IF($H2368&lt;=TODAY()+60,"Due within 2 Months","OK"))))))</f>
        <v>No Data</v>
      </c>
      <c r="K2368" s="13"/>
    </row>
    <row r="2369" customFormat="false" ht="15" hidden="false" customHeight="false" outlineLevel="0" collapsed="false">
      <c r="A2369" s="9" t="str">
        <f aca="false">Vessels!B26</f>
        <v>Vessel 22</v>
      </c>
      <c r="B2369" s="9" t="s">
        <v>42</v>
      </c>
      <c r="C2369" s="7" t="s">
        <v>55</v>
      </c>
      <c r="D2369" s="9" t="s">
        <v>45</v>
      </c>
      <c r="E2369" s="9" t="s">
        <v>46</v>
      </c>
      <c r="F2369" s="5" t="n">
        <v>60</v>
      </c>
      <c r="G2369" s="10"/>
      <c r="H2369" s="11" t="str">
        <f aca="false">IFERROR(IF($D2369="Manual Review","",IF($G2369="","",IF($D2369="Direct Expiry",$G2369,EDATE($G2369,$F2369)))),"Check Date")</f>
        <v/>
      </c>
      <c r="I2369" s="12" t="str">
        <f aca="true">IF($H2369="","",IF(ISNUMBER($H2369),$H2369-TODAY(),""))</f>
        <v/>
      </c>
      <c r="J2369" s="4" t="str">
        <f aca="true">IF($D2369="Manual Review","Manual Review",IF($G2369="","No Data",IF(NOT(ISNUMBER($H2369)),"N/A",IF($H2369&lt;TODAY(),"Overdue",IF($H2369&lt;=TODAY()+30,"Due within 1 Month",IF($H2369&lt;=TODAY()+60,"Due within 2 Months","OK"))))))</f>
        <v>No Data</v>
      </c>
      <c r="K2369" s="13"/>
    </row>
    <row r="2370" customFormat="false" ht="15" hidden="false" customHeight="false" outlineLevel="0" collapsed="false">
      <c r="A2370" s="9" t="str">
        <f aca="false">Vessels!B26</f>
        <v>Vessel 22</v>
      </c>
      <c r="B2370" s="9" t="s">
        <v>42</v>
      </c>
      <c r="C2370" s="7" t="s">
        <v>56</v>
      </c>
      <c r="D2370" s="9" t="s">
        <v>45</v>
      </c>
      <c r="E2370" s="9" t="s">
        <v>46</v>
      </c>
      <c r="F2370" s="5" t="n">
        <v>60</v>
      </c>
      <c r="G2370" s="10"/>
      <c r="H2370" s="11" t="str">
        <f aca="false">IFERROR(IF($D2370="Manual Review","",IF($G2370="","",IF($D2370="Direct Expiry",$G2370,EDATE($G2370,$F2370)))),"Check Date")</f>
        <v/>
      </c>
      <c r="I2370" s="12" t="str">
        <f aca="true">IF($H2370="","",IF(ISNUMBER($H2370),$H2370-TODAY(),""))</f>
        <v/>
      </c>
      <c r="J2370" s="4" t="str">
        <f aca="true">IF($D2370="Manual Review","Manual Review",IF($G2370="","No Data",IF(NOT(ISNUMBER($H2370)),"N/A",IF($H2370&lt;TODAY(),"Overdue",IF($H2370&lt;=TODAY()+30,"Due within 1 Month",IF($H2370&lt;=TODAY()+60,"Due within 2 Months","OK"))))))</f>
        <v>No Data</v>
      </c>
      <c r="K2370" s="13"/>
    </row>
    <row r="2371" customFormat="false" ht="15" hidden="false" customHeight="false" outlineLevel="0" collapsed="false">
      <c r="A2371" s="9" t="str">
        <f aca="false">Vessels!B26</f>
        <v>Vessel 22</v>
      </c>
      <c r="B2371" s="9" t="s">
        <v>42</v>
      </c>
      <c r="C2371" s="7" t="s">
        <v>57</v>
      </c>
      <c r="D2371" s="9" t="s">
        <v>59</v>
      </c>
      <c r="E2371" s="9" t="s">
        <v>58</v>
      </c>
      <c r="F2371" s="5"/>
      <c r="G2371" s="10"/>
      <c r="H2371" s="11" t="str">
        <f aca="false">IFERROR(IF($D2371="Manual Review","",IF($G2371="","",IF($D2371="Direct Expiry",$G2371,EDATE($G2371,$F2371)))),"Check Date")</f>
        <v/>
      </c>
      <c r="I2371" s="12" t="str">
        <f aca="true">IF($H2371="","",IF(ISNUMBER($H2371),$H2371-TODAY(),""))</f>
        <v/>
      </c>
      <c r="J2371" s="4" t="str">
        <f aca="true">IF($D2371="Manual Review","Manual Review",IF($G2371="","No Data",IF(NOT(ISNUMBER($H2371)),"N/A",IF($H2371&lt;TODAY(),"Overdue",IF($H2371&lt;=TODAY()+30,"Due within 1 Month",IF($H2371&lt;=TODAY()+60,"Due within 2 Months","OK"))))))</f>
        <v>No Data</v>
      </c>
      <c r="K2371" s="13"/>
    </row>
    <row r="2372" customFormat="false" ht="15" hidden="false" customHeight="false" outlineLevel="0" collapsed="false">
      <c r="A2372" s="9" t="str">
        <f aca="false">Vessels!B26</f>
        <v>Vessel 22</v>
      </c>
      <c r="B2372" s="9" t="s">
        <v>42</v>
      </c>
      <c r="C2372" s="7" t="s">
        <v>60</v>
      </c>
      <c r="D2372" s="9" t="s">
        <v>45</v>
      </c>
      <c r="E2372" s="9" t="s">
        <v>44</v>
      </c>
      <c r="F2372" s="5" t="n">
        <v>12</v>
      </c>
      <c r="G2372" s="10"/>
      <c r="H2372" s="11" t="str">
        <f aca="false">IFERROR(IF($D2372="Manual Review","",IF($G2372="","",IF($D2372="Direct Expiry",$G2372,EDATE($G2372,$F2372)))),"Check Date")</f>
        <v/>
      </c>
      <c r="I2372" s="12" t="str">
        <f aca="true">IF($H2372="","",IF(ISNUMBER($H2372),$H2372-TODAY(),""))</f>
        <v/>
      </c>
      <c r="J2372" s="4" t="str">
        <f aca="true">IF($D2372="Manual Review","Manual Review",IF($G2372="","No Data",IF(NOT(ISNUMBER($H2372)),"N/A",IF($H2372&lt;TODAY(),"Overdue",IF($H2372&lt;=TODAY()+30,"Due within 1 Month",IF($H2372&lt;=TODAY()+60,"Due within 2 Months","OK"))))))</f>
        <v>No Data</v>
      </c>
      <c r="K2372" s="13"/>
    </row>
    <row r="2373" customFormat="false" ht="15" hidden="false" customHeight="false" outlineLevel="0" collapsed="false">
      <c r="A2373" s="9" t="str">
        <f aca="false">Vessels!B26</f>
        <v>Vessel 22</v>
      </c>
      <c r="B2373" s="9" t="s">
        <v>42</v>
      </c>
      <c r="C2373" s="7" t="s">
        <v>60</v>
      </c>
      <c r="D2373" s="9" t="s">
        <v>45</v>
      </c>
      <c r="E2373" s="9" t="s">
        <v>46</v>
      </c>
      <c r="F2373" s="5" t="n">
        <v>60</v>
      </c>
      <c r="G2373" s="10"/>
      <c r="H2373" s="11" t="str">
        <f aca="false">IFERROR(IF($D2373="Manual Review","",IF($G2373="","",IF($D2373="Direct Expiry",$G2373,EDATE($G2373,$F2373)))),"Check Date")</f>
        <v/>
      </c>
      <c r="I2373" s="12" t="str">
        <f aca="true">IF($H2373="","",IF(ISNUMBER($H2373),$H2373-TODAY(),""))</f>
        <v/>
      </c>
      <c r="J2373" s="4" t="str">
        <f aca="true">IF($D2373="Manual Review","Manual Review",IF($G2373="","No Data",IF(NOT(ISNUMBER($H2373)),"N/A",IF($H2373&lt;TODAY(),"Overdue",IF($H2373&lt;=TODAY()+30,"Due within 1 Month",IF($H2373&lt;=TODAY()+60,"Due within 2 Months","OK"))))))</f>
        <v>No Data</v>
      </c>
      <c r="K2373" s="13"/>
    </row>
    <row r="2374" customFormat="false" ht="15" hidden="false" customHeight="false" outlineLevel="0" collapsed="false">
      <c r="A2374" s="9" t="str">
        <f aca="false">Vessels!B26</f>
        <v>Vessel 22</v>
      </c>
      <c r="B2374" s="9" t="s">
        <v>42</v>
      </c>
      <c r="C2374" s="7" t="s">
        <v>61</v>
      </c>
      <c r="D2374" s="9" t="s">
        <v>45</v>
      </c>
      <c r="E2374" s="9" t="s">
        <v>44</v>
      </c>
      <c r="F2374" s="5" t="n">
        <v>12</v>
      </c>
      <c r="G2374" s="10"/>
      <c r="H2374" s="11" t="str">
        <f aca="false">IFERROR(IF($D2374="Manual Review","",IF($G2374="","",IF($D2374="Direct Expiry",$G2374,EDATE($G2374,$F2374)))),"Check Date")</f>
        <v/>
      </c>
      <c r="I2374" s="12" t="str">
        <f aca="true">IF($H2374="","",IF(ISNUMBER($H2374),$H2374-TODAY(),""))</f>
        <v/>
      </c>
      <c r="J2374" s="4" t="str">
        <f aca="true">IF($D2374="Manual Review","Manual Review",IF($G2374="","No Data",IF(NOT(ISNUMBER($H2374)),"N/A",IF($H2374&lt;TODAY(),"Overdue",IF($H2374&lt;=TODAY()+30,"Due within 1 Month",IF($H2374&lt;=TODAY()+60,"Due within 2 Months","OK"))))))</f>
        <v>No Data</v>
      </c>
      <c r="K2374" s="13"/>
    </row>
    <row r="2375" customFormat="false" ht="15" hidden="false" customHeight="false" outlineLevel="0" collapsed="false">
      <c r="A2375" s="9" t="str">
        <f aca="false">Vessels!B26</f>
        <v>Vessel 22</v>
      </c>
      <c r="B2375" s="9" t="s">
        <v>42</v>
      </c>
      <c r="C2375" s="7" t="s">
        <v>61</v>
      </c>
      <c r="D2375" s="9" t="s">
        <v>45</v>
      </c>
      <c r="E2375" s="9" t="s">
        <v>46</v>
      </c>
      <c r="F2375" s="5" t="n">
        <v>60</v>
      </c>
      <c r="G2375" s="10"/>
      <c r="H2375" s="11" t="str">
        <f aca="false">IFERROR(IF($D2375="Manual Review","",IF($G2375="","",IF($D2375="Direct Expiry",$G2375,EDATE($G2375,$F2375)))),"Check Date")</f>
        <v/>
      </c>
      <c r="I2375" s="12" t="str">
        <f aca="true">IF($H2375="","",IF(ISNUMBER($H2375),$H2375-TODAY(),""))</f>
        <v/>
      </c>
      <c r="J2375" s="4" t="str">
        <f aca="true">IF($D2375="Manual Review","Manual Review",IF($G2375="","No Data",IF(NOT(ISNUMBER($H2375)),"N/A",IF($H2375&lt;TODAY(),"Overdue",IF($H2375&lt;=TODAY()+30,"Due within 1 Month",IF($H2375&lt;=TODAY()+60,"Due within 2 Months","OK"))))))</f>
        <v>No Data</v>
      </c>
      <c r="K2375" s="13"/>
    </row>
    <row r="2376" customFormat="false" ht="15" hidden="false" customHeight="false" outlineLevel="0" collapsed="false">
      <c r="A2376" s="9" t="str">
        <f aca="false">Vessels!B26</f>
        <v>Vessel 22</v>
      </c>
      <c r="B2376" s="9" t="s">
        <v>42</v>
      </c>
      <c r="C2376" s="7" t="s">
        <v>62</v>
      </c>
      <c r="D2376" s="9" t="s">
        <v>45</v>
      </c>
      <c r="E2376" s="9" t="s">
        <v>44</v>
      </c>
      <c r="F2376" s="5" t="n">
        <v>12</v>
      </c>
      <c r="G2376" s="10"/>
      <c r="H2376" s="11" t="str">
        <f aca="false">IFERROR(IF($D2376="Manual Review","",IF($G2376="","",IF($D2376="Direct Expiry",$G2376,EDATE($G2376,$F2376)))),"Check Date")</f>
        <v/>
      </c>
      <c r="I2376" s="12" t="str">
        <f aca="true">IF($H2376="","",IF(ISNUMBER($H2376),$H2376-TODAY(),""))</f>
        <v/>
      </c>
      <c r="J2376" s="4" t="str">
        <f aca="true">IF($D2376="Manual Review","Manual Review",IF($G2376="","No Data",IF(NOT(ISNUMBER($H2376)),"N/A",IF($H2376&lt;TODAY(),"Overdue",IF($H2376&lt;=TODAY()+30,"Due within 1 Month",IF($H2376&lt;=TODAY()+60,"Due within 2 Months","OK"))))))</f>
        <v>No Data</v>
      </c>
      <c r="K2376" s="13"/>
    </row>
    <row r="2377" customFormat="false" ht="15" hidden="false" customHeight="false" outlineLevel="0" collapsed="false">
      <c r="A2377" s="9" t="str">
        <f aca="false">Vessels!B26</f>
        <v>Vessel 22</v>
      </c>
      <c r="B2377" s="9" t="s">
        <v>42</v>
      </c>
      <c r="C2377" s="7" t="s">
        <v>62</v>
      </c>
      <c r="D2377" s="9" t="s">
        <v>45</v>
      </c>
      <c r="E2377" s="9" t="s">
        <v>49</v>
      </c>
      <c r="F2377" s="5" t="n">
        <v>60</v>
      </c>
      <c r="G2377" s="10"/>
      <c r="H2377" s="11" t="str">
        <f aca="false">IFERROR(IF($D2377="Manual Review","",IF($G2377="","",IF($D2377="Direct Expiry",$G2377,EDATE($G2377,$F2377)))),"Check Date")</f>
        <v/>
      </c>
      <c r="I2377" s="12" t="str">
        <f aca="true">IF($H2377="","",IF(ISNUMBER($H2377),$H2377-TODAY(),""))</f>
        <v/>
      </c>
      <c r="J2377" s="4" t="str">
        <f aca="true">IF($D2377="Manual Review","Manual Review",IF($G2377="","No Data",IF(NOT(ISNUMBER($H2377)),"N/A",IF($H2377&lt;TODAY(),"Overdue",IF($H2377&lt;=TODAY()+30,"Due within 1 Month",IF($H2377&lt;=TODAY()+60,"Due within 2 Months","OK"))))))</f>
        <v>No Data</v>
      </c>
      <c r="K2377" s="13"/>
    </row>
    <row r="2378" customFormat="false" ht="15" hidden="false" customHeight="false" outlineLevel="0" collapsed="false">
      <c r="A2378" s="9" t="str">
        <f aca="false">Vessels!B26</f>
        <v>Vessel 22</v>
      </c>
      <c r="B2378" s="9" t="s">
        <v>42</v>
      </c>
      <c r="C2378" s="7" t="s">
        <v>63</v>
      </c>
      <c r="D2378" s="9" t="s">
        <v>45</v>
      </c>
      <c r="E2378" s="9" t="s">
        <v>44</v>
      </c>
      <c r="F2378" s="5" t="n">
        <v>12</v>
      </c>
      <c r="G2378" s="10"/>
      <c r="H2378" s="11" t="str">
        <f aca="false">IFERROR(IF($D2378="Manual Review","",IF($G2378="","",IF($D2378="Direct Expiry",$G2378,EDATE($G2378,$F2378)))),"Check Date")</f>
        <v/>
      </c>
      <c r="I2378" s="12" t="str">
        <f aca="true">IF($H2378="","",IF(ISNUMBER($H2378),$H2378-TODAY(),""))</f>
        <v/>
      </c>
      <c r="J2378" s="4" t="str">
        <f aca="true">IF($D2378="Manual Review","Manual Review",IF($G2378="","No Data",IF(NOT(ISNUMBER($H2378)),"N/A",IF($H2378&lt;TODAY(),"Overdue",IF($H2378&lt;=TODAY()+30,"Due within 1 Month",IF($H2378&lt;=TODAY()+60,"Due within 2 Months","OK"))))))</f>
        <v>No Data</v>
      </c>
      <c r="K2378" s="13"/>
    </row>
    <row r="2379" customFormat="false" ht="15" hidden="false" customHeight="false" outlineLevel="0" collapsed="false">
      <c r="A2379" s="9" t="str">
        <f aca="false">Vessels!B26</f>
        <v>Vessel 22</v>
      </c>
      <c r="B2379" s="9" t="s">
        <v>42</v>
      </c>
      <c r="C2379" s="7" t="s">
        <v>63</v>
      </c>
      <c r="D2379" s="9" t="s">
        <v>45</v>
      </c>
      <c r="E2379" s="9" t="s">
        <v>49</v>
      </c>
      <c r="F2379" s="5" t="n">
        <v>60</v>
      </c>
      <c r="G2379" s="10"/>
      <c r="H2379" s="11" t="str">
        <f aca="false">IFERROR(IF($D2379="Manual Review","",IF($G2379="","",IF($D2379="Direct Expiry",$G2379,EDATE($G2379,$F2379)))),"Check Date")</f>
        <v/>
      </c>
      <c r="I2379" s="12" t="str">
        <f aca="true">IF($H2379="","",IF(ISNUMBER($H2379),$H2379-TODAY(),""))</f>
        <v/>
      </c>
      <c r="J2379" s="4" t="str">
        <f aca="true">IF($D2379="Manual Review","Manual Review",IF($G2379="","No Data",IF(NOT(ISNUMBER($H2379)),"N/A",IF($H2379&lt;TODAY(),"Overdue",IF($H2379&lt;=TODAY()+30,"Due within 1 Month",IF($H2379&lt;=TODAY()+60,"Due within 2 Months","OK"))))))</f>
        <v>No Data</v>
      </c>
      <c r="K2379" s="13"/>
    </row>
    <row r="2380" customFormat="false" ht="15" hidden="false" customHeight="false" outlineLevel="0" collapsed="false">
      <c r="A2380" s="9" t="str">
        <f aca="false">Vessels!B26</f>
        <v>Vessel 22</v>
      </c>
      <c r="B2380" s="9" t="s">
        <v>42</v>
      </c>
      <c r="C2380" s="7" t="s">
        <v>64</v>
      </c>
      <c r="D2380" s="9" t="s">
        <v>45</v>
      </c>
      <c r="E2380" s="9" t="s">
        <v>46</v>
      </c>
      <c r="F2380" s="5" t="n">
        <v>60</v>
      </c>
      <c r="G2380" s="10"/>
      <c r="H2380" s="11" t="str">
        <f aca="false">IFERROR(IF($D2380="Manual Review","",IF($G2380="","",IF($D2380="Direct Expiry",$G2380,EDATE($G2380,$F2380)))),"Check Date")</f>
        <v/>
      </c>
      <c r="I2380" s="12" t="str">
        <f aca="true">IF($H2380="","",IF(ISNUMBER($H2380),$H2380-TODAY(),""))</f>
        <v/>
      </c>
      <c r="J2380" s="4" t="str">
        <f aca="true">IF($D2380="Manual Review","Manual Review",IF($G2380="","No Data",IF(NOT(ISNUMBER($H2380)),"N/A",IF($H2380&lt;TODAY(),"Overdue",IF($H2380&lt;=TODAY()+30,"Due within 1 Month",IF($H2380&lt;=TODAY()+60,"Due within 2 Months","OK"))))))</f>
        <v>No Data</v>
      </c>
      <c r="K2380" s="13"/>
    </row>
    <row r="2381" customFormat="false" ht="15" hidden="false" customHeight="false" outlineLevel="0" collapsed="false">
      <c r="A2381" s="9" t="str">
        <f aca="false">Vessels!B26</f>
        <v>Vessel 22</v>
      </c>
      <c r="B2381" s="9" t="s">
        <v>42</v>
      </c>
      <c r="C2381" s="7" t="s">
        <v>65</v>
      </c>
      <c r="D2381" s="9" t="s">
        <v>45</v>
      </c>
      <c r="E2381" s="9" t="s">
        <v>46</v>
      </c>
      <c r="F2381" s="5" t="n">
        <v>60</v>
      </c>
      <c r="G2381" s="10"/>
      <c r="H2381" s="11" t="str">
        <f aca="false">IFERROR(IF($D2381="Manual Review","",IF($G2381="","",IF($D2381="Direct Expiry",$G2381,EDATE($G2381,$F2381)))),"Check Date")</f>
        <v/>
      </c>
      <c r="I2381" s="12" t="str">
        <f aca="true">IF($H2381="","",IF(ISNUMBER($H2381),$H2381-TODAY(),""))</f>
        <v/>
      </c>
      <c r="J2381" s="4" t="str">
        <f aca="true">IF($D2381="Manual Review","Manual Review",IF($G2381="","No Data",IF(NOT(ISNUMBER($H2381)),"N/A",IF($H2381&lt;TODAY(),"Overdue",IF($H2381&lt;=TODAY()+30,"Due within 1 Month",IF($H2381&lt;=TODAY()+60,"Due within 2 Months","OK"))))))</f>
        <v>No Data</v>
      </c>
      <c r="K2381" s="13"/>
    </row>
    <row r="2382" customFormat="false" ht="15" hidden="false" customHeight="false" outlineLevel="0" collapsed="false">
      <c r="A2382" s="9" t="str">
        <f aca="false">Vessels!B26</f>
        <v>Vessel 22</v>
      </c>
      <c r="B2382" s="9" t="s">
        <v>42</v>
      </c>
      <c r="C2382" s="7" t="s">
        <v>66</v>
      </c>
      <c r="D2382" s="9" t="s">
        <v>45</v>
      </c>
      <c r="E2382" s="9" t="s">
        <v>46</v>
      </c>
      <c r="F2382" s="5" t="n">
        <v>60</v>
      </c>
      <c r="G2382" s="10"/>
      <c r="H2382" s="11" t="str">
        <f aca="false">IFERROR(IF($D2382="Manual Review","",IF($G2382="","",IF($D2382="Direct Expiry",$G2382,EDATE($G2382,$F2382)))),"Check Date")</f>
        <v/>
      </c>
      <c r="I2382" s="12" t="str">
        <f aca="true">IF($H2382="","",IF(ISNUMBER($H2382),$H2382-TODAY(),""))</f>
        <v/>
      </c>
      <c r="J2382" s="4" t="str">
        <f aca="true">IF($D2382="Manual Review","Manual Review",IF($G2382="","No Data",IF(NOT(ISNUMBER($H2382)),"N/A",IF($H2382&lt;TODAY(),"Overdue",IF($H2382&lt;=TODAY()+30,"Due within 1 Month",IF($H2382&lt;=TODAY()+60,"Due within 2 Months","OK"))))))</f>
        <v>No Data</v>
      </c>
      <c r="K2382" s="13"/>
    </row>
    <row r="2383" customFormat="false" ht="15" hidden="false" customHeight="false" outlineLevel="0" collapsed="false">
      <c r="A2383" s="9" t="str">
        <f aca="false">Vessels!B26</f>
        <v>Vessel 22</v>
      </c>
      <c r="B2383" s="9" t="s">
        <v>42</v>
      </c>
      <c r="C2383" s="7" t="s">
        <v>67</v>
      </c>
      <c r="D2383" s="9" t="s">
        <v>45</v>
      </c>
      <c r="E2383" s="9" t="s">
        <v>46</v>
      </c>
      <c r="F2383" s="5" t="n">
        <v>60</v>
      </c>
      <c r="G2383" s="10"/>
      <c r="H2383" s="11" t="str">
        <f aca="false">IFERROR(IF($D2383="Manual Review","",IF($G2383="","",IF($D2383="Direct Expiry",$G2383,EDATE($G2383,$F2383)))),"Check Date")</f>
        <v/>
      </c>
      <c r="I2383" s="12" t="str">
        <f aca="true">IF($H2383="","",IF(ISNUMBER($H2383),$H2383-TODAY(),""))</f>
        <v/>
      </c>
      <c r="J2383" s="4" t="str">
        <f aca="true">IF($D2383="Manual Review","Manual Review",IF($G2383="","No Data",IF(NOT(ISNUMBER($H2383)),"N/A",IF($H2383&lt;TODAY(),"Overdue",IF($H2383&lt;=TODAY()+30,"Due within 1 Month",IF($H2383&lt;=TODAY()+60,"Due within 2 Months","OK"))))))</f>
        <v>No Data</v>
      </c>
      <c r="K2383" s="13"/>
    </row>
    <row r="2384" customFormat="false" ht="15" hidden="false" customHeight="false" outlineLevel="0" collapsed="false">
      <c r="A2384" s="9" t="str">
        <f aca="false">Vessels!B26</f>
        <v>Vessel 22</v>
      </c>
      <c r="B2384" s="9" t="s">
        <v>42</v>
      </c>
      <c r="C2384" s="7" t="s">
        <v>68</v>
      </c>
      <c r="D2384" s="9" t="s">
        <v>45</v>
      </c>
      <c r="E2384" s="9" t="s">
        <v>46</v>
      </c>
      <c r="F2384" s="5" t="n">
        <v>60</v>
      </c>
      <c r="G2384" s="10"/>
      <c r="H2384" s="11" t="str">
        <f aca="false">IFERROR(IF($D2384="Manual Review","",IF($G2384="","",IF($D2384="Direct Expiry",$G2384,EDATE($G2384,$F2384)))),"Check Date")</f>
        <v/>
      </c>
      <c r="I2384" s="12" t="str">
        <f aca="true">IF($H2384="","",IF(ISNUMBER($H2384),$H2384-TODAY(),""))</f>
        <v/>
      </c>
      <c r="J2384" s="4" t="str">
        <f aca="true">IF($D2384="Manual Review","Manual Review",IF($G2384="","No Data",IF(NOT(ISNUMBER($H2384)),"N/A",IF($H2384&lt;TODAY(),"Overdue",IF($H2384&lt;=TODAY()+30,"Due within 1 Month",IF($H2384&lt;=TODAY()+60,"Due within 2 Months","OK"))))))</f>
        <v>No Data</v>
      </c>
      <c r="K2384" s="13"/>
    </row>
    <row r="2385" customFormat="false" ht="15" hidden="false" customHeight="false" outlineLevel="0" collapsed="false">
      <c r="A2385" s="9" t="str">
        <f aca="false">Vessels!B26</f>
        <v>Vessel 22</v>
      </c>
      <c r="B2385" s="9" t="s">
        <v>42</v>
      </c>
      <c r="C2385" s="7" t="s">
        <v>69</v>
      </c>
      <c r="D2385" s="9" t="s">
        <v>45</v>
      </c>
      <c r="E2385" s="9" t="s">
        <v>46</v>
      </c>
      <c r="F2385" s="5" t="n">
        <v>60</v>
      </c>
      <c r="G2385" s="10"/>
      <c r="H2385" s="11" t="str">
        <f aca="false">IFERROR(IF($D2385="Manual Review","",IF($G2385="","",IF($D2385="Direct Expiry",$G2385,EDATE($G2385,$F2385)))),"Check Date")</f>
        <v/>
      </c>
      <c r="I2385" s="12" t="str">
        <f aca="true">IF($H2385="","",IF(ISNUMBER($H2385),$H2385-TODAY(),""))</f>
        <v/>
      </c>
      <c r="J2385" s="4" t="str">
        <f aca="true">IF($D2385="Manual Review","Manual Review",IF($G2385="","No Data",IF(NOT(ISNUMBER($H2385)),"N/A",IF($H2385&lt;TODAY(),"Overdue",IF($H2385&lt;=TODAY()+30,"Due within 1 Month",IF($H2385&lt;=TODAY()+60,"Due within 2 Months","OK"))))))</f>
        <v>No Data</v>
      </c>
      <c r="K2385" s="13"/>
    </row>
    <row r="2386" customFormat="false" ht="15" hidden="false" customHeight="false" outlineLevel="0" collapsed="false">
      <c r="A2386" s="9" t="str">
        <f aca="false">Vessels!B26</f>
        <v>Vessel 22</v>
      </c>
      <c r="B2386" s="9" t="s">
        <v>42</v>
      </c>
      <c r="C2386" s="7" t="s">
        <v>70</v>
      </c>
      <c r="D2386" s="9" t="s">
        <v>59</v>
      </c>
      <c r="E2386" s="9" t="s">
        <v>58</v>
      </c>
      <c r="F2386" s="5"/>
      <c r="G2386" s="10"/>
      <c r="H2386" s="11" t="str">
        <f aca="false">IFERROR(IF($D2386="Manual Review","",IF($G2386="","",IF($D2386="Direct Expiry",$G2386,EDATE($G2386,$F2386)))),"Check Date")</f>
        <v/>
      </c>
      <c r="I2386" s="12" t="str">
        <f aca="true">IF($H2386="","",IF(ISNUMBER($H2386),$H2386-TODAY(),""))</f>
        <v/>
      </c>
      <c r="J2386" s="4" t="str">
        <f aca="true">IF($D2386="Manual Review","Manual Review",IF($G2386="","No Data",IF(NOT(ISNUMBER($H2386)),"N/A",IF($H2386&lt;TODAY(),"Overdue",IF($H2386&lt;=TODAY()+30,"Due within 1 Month",IF($H2386&lt;=TODAY()+60,"Due within 2 Months","OK"))))))</f>
        <v>No Data</v>
      </c>
      <c r="K2386" s="13"/>
    </row>
    <row r="2387" customFormat="false" ht="15" hidden="false" customHeight="false" outlineLevel="0" collapsed="false">
      <c r="A2387" s="9" t="str">
        <f aca="false">Vessels!B26</f>
        <v>Vessel 22</v>
      </c>
      <c r="B2387" s="9" t="s">
        <v>42</v>
      </c>
      <c r="C2387" s="7" t="s">
        <v>71</v>
      </c>
      <c r="D2387" s="9" t="s">
        <v>45</v>
      </c>
      <c r="E2387" s="9" t="s">
        <v>44</v>
      </c>
      <c r="F2387" s="5" t="n">
        <v>12</v>
      </c>
      <c r="G2387" s="10"/>
      <c r="H2387" s="11" t="str">
        <f aca="false">IFERROR(IF($D2387="Manual Review","",IF($G2387="","",IF($D2387="Direct Expiry",$G2387,EDATE($G2387,$F2387)))),"Check Date")</f>
        <v/>
      </c>
      <c r="I2387" s="12" t="str">
        <f aca="true">IF($H2387="","",IF(ISNUMBER($H2387),$H2387-TODAY(),""))</f>
        <v/>
      </c>
      <c r="J2387" s="4" t="str">
        <f aca="true">IF($D2387="Manual Review","Manual Review",IF($G2387="","No Data",IF(NOT(ISNUMBER($H2387)),"N/A",IF($H2387&lt;TODAY(),"Overdue",IF($H2387&lt;=TODAY()+30,"Due within 1 Month",IF($H2387&lt;=TODAY()+60,"Due within 2 Months","OK"))))))</f>
        <v>No Data</v>
      </c>
      <c r="K2387" s="13"/>
    </row>
    <row r="2388" customFormat="false" ht="15" hidden="false" customHeight="false" outlineLevel="0" collapsed="false">
      <c r="A2388" s="9" t="str">
        <f aca="false">Vessels!B26</f>
        <v>Vessel 22</v>
      </c>
      <c r="B2388" s="9" t="s">
        <v>42</v>
      </c>
      <c r="C2388" s="7" t="s">
        <v>72</v>
      </c>
      <c r="D2388" s="9" t="s">
        <v>59</v>
      </c>
      <c r="E2388" s="9" t="s">
        <v>58</v>
      </c>
      <c r="F2388" s="5"/>
      <c r="G2388" s="10"/>
      <c r="H2388" s="11" t="str">
        <f aca="false">IFERROR(IF($D2388="Manual Review","",IF($G2388="","",IF($D2388="Direct Expiry",$G2388,EDATE($G2388,$F2388)))),"Check Date")</f>
        <v/>
      </c>
      <c r="I2388" s="12" t="str">
        <f aca="true">IF($H2388="","",IF(ISNUMBER($H2388),$H2388-TODAY(),""))</f>
        <v/>
      </c>
      <c r="J2388" s="4" t="str">
        <f aca="true">IF($D2388="Manual Review","Manual Review",IF($G2388="","No Data",IF(NOT(ISNUMBER($H2388)),"N/A",IF($H2388&lt;TODAY(),"Overdue",IF($H2388&lt;=TODAY()+30,"Due within 1 Month",IF($H2388&lt;=TODAY()+60,"Due within 2 Months","OK"))))))</f>
        <v>No Data</v>
      </c>
      <c r="K2388" s="13"/>
    </row>
    <row r="2389" customFormat="false" ht="15" hidden="false" customHeight="false" outlineLevel="0" collapsed="false">
      <c r="A2389" s="9" t="str">
        <f aca="false">Vessels!B26</f>
        <v>Vessel 22</v>
      </c>
      <c r="B2389" s="9" t="s">
        <v>42</v>
      </c>
      <c r="C2389" s="7" t="s">
        <v>73</v>
      </c>
      <c r="D2389" s="9" t="s">
        <v>45</v>
      </c>
      <c r="E2389" s="9" t="s">
        <v>44</v>
      </c>
      <c r="F2389" s="5" t="n">
        <v>12</v>
      </c>
      <c r="G2389" s="10"/>
      <c r="H2389" s="11" t="str">
        <f aca="false">IFERROR(IF($D2389="Manual Review","",IF($G2389="","",IF($D2389="Direct Expiry",$G2389,EDATE($G2389,$F2389)))),"Check Date")</f>
        <v/>
      </c>
      <c r="I2389" s="12" t="str">
        <f aca="true">IF($H2389="","",IF(ISNUMBER($H2389),$H2389-TODAY(),""))</f>
        <v/>
      </c>
      <c r="J2389" s="4" t="str">
        <f aca="true">IF($D2389="Manual Review","Manual Review",IF($G2389="","No Data",IF(NOT(ISNUMBER($H2389)),"N/A",IF($H2389&lt;TODAY(),"Overdue",IF($H2389&lt;=TODAY()+30,"Due within 1 Month",IF($H2389&lt;=TODAY()+60,"Due within 2 Months","OK"))))))</f>
        <v>No Data</v>
      </c>
      <c r="K2389" s="13"/>
    </row>
    <row r="2390" customFormat="false" ht="15" hidden="false" customHeight="false" outlineLevel="0" collapsed="false">
      <c r="A2390" s="9" t="str">
        <f aca="false">Vessels!B26</f>
        <v>Vessel 22</v>
      </c>
      <c r="B2390" s="9" t="s">
        <v>42</v>
      </c>
      <c r="C2390" s="7" t="s">
        <v>74</v>
      </c>
      <c r="D2390" s="9" t="s">
        <v>59</v>
      </c>
      <c r="E2390" s="9" t="s">
        <v>58</v>
      </c>
      <c r="F2390" s="5"/>
      <c r="G2390" s="10"/>
      <c r="H2390" s="11" t="str">
        <f aca="false">IFERROR(IF($D2390="Manual Review","",IF($G2390="","",IF($D2390="Direct Expiry",$G2390,EDATE($G2390,$F2390)))),"Check Date")</f>
        <v/>
      </c>
      <c r="I2390" s="12" t="str">
        <f aca="true">IF($H2390="","",IF(ISNUMBER($H2390),$H2390-TODAY(),""))</f>
        <v/>
      </c>
      <c r="J2390" s="4" t="str">
        <f aca="true">IF($D2390="Manual Review","Manual Review",IF($G2390="","No Data",IF(NOT(ISNUMBER($H2390)),"N/A",IF($H2390&lt;TODAY(),"Overdue",IF($H2390&lt;=TODAY()+30,"Due within 1 Month",IF($H2390&lt;=TODAY()+60,"Due within 2 Months","OK"))))))</f>
        <v>No Data</v>
      </c>
      <c r="K2390" s="13"/>
    </row>
    <row r="2391" customFormat="false" ht="15" hidden="false" customHeight="false" outlineLevel="0" collapsed="false">
      <c r="A2391" s="9" t="str">
        <f aca="false">Vessels!B26</f>
        <v>Vessel 22</v>
      </c>
      <c r="B2391" s="9" t="s">
        <v>42</v>
      </c>
      <c r="C2391" s="7" t="s">
        <v>75</v>
      </c>
      <c r="D2391" s="9" t="s">
        <v>45</v>
      </c>
      <c r="E2391" s="9" t="s">
        <v>44</v>
      </c>
      <c r="F2391" s="5" t="n">
        <v>12</v>
      </c>
      <c r="G2391" s="10"/>
      <c r="H2391" s="11" t="str">
        <f aca="false">IFERROR(IF($D2391="Manual Review","",IF($G2391="","",IF($D2391="Direct Expiry",$G2391,EDATE($G2391,$F2391)))),"Check Date")</f>
        <v/>
      </c>
      <c r="I2391" s="12" t="str">
        <f aca="true">IF($H2391="","",IF(ISNUMBER($H2391),$H2391-TODAY(),""))</f>
        <v/>
      </c>
      <c r="J2391" s="4" t="str">
        <f aca="true">IF($D2391="Manual Review","Manual Review",IF($G2391="","No Data",IF(NOT(ISNUMBER($H2391)),"N/A",IF($H2391&lt;TODAY(),"Overdue",IF($H2391&lt;=TODAY()+30,"Due within 1 Month",IF($H2391&lt;=TODAY()+60,"Due within 2 Months","OK"))))))</f>
        <v>No Data</v>
      </c>
      <c r="K2391" s="13"/>
    </row>
    <row r="2392" customFormat="false" ht="15" hidden="false" customHeight="false" outlineLevel="0" collapsed="false">
      <c r="A2392" s="9" t="str">
        <f aca="false">Vessels!B26</f>
        <v>Vessel 22</v>
      </c>
      <c r="B2392" s="9" t="s">
        <v>42</v>
      </c>
      <c r="C2392" s="7" t="s">
        <v>76</v>
      </c>
      <c r="D2392" s="9" t="s">
        <v>59</v>
      </c>
      <c r="E2392" s="9" t="s">
        <v>58</v>
      </c>
      <c r="F2392" s="5"/>
      <c r="G2392" s="10"/>
      <c r="H2392" s="11" t="str">
        <f aca="false">IFERROR(IF($D2392="Manual Review","",IF($G2392="","",IF($D2392="Direct Expiry",$G2392,EDATE($G2392,$F2392)))),"Check Date")</f>
        <v/>
      </c>
      <c r="I2392" s="12" t="str">
        <f aca="true">IF($H2392="","",IF(ISNUMBER($H2392),$H2392-TODAY(),""))</f>
        <v/>
      </c>
      <c r="J2392" s="4" t="str">
        <f aca="true">IF($D2392="Manual Review","Manual Review",IF($G2392="","No Data",IF(NOT(ISNUMBER($H2392)),"N/A",IF($H2392&lt;TODAY(),"Overdue",IF($H2392&lt;=TODAY()+30,"Due within 1 Month",IF($H2392&lt;=TODAY()+60,"Due within 2 Months","OK"))))))</f>
        <v>No Data</v>
      </c>
      <c r="K2392" s="13"/>
    </row>
    <row r="2393" customFormat="false" ht="15" hidden="false" customHeight="false" outlineLevel="0" collapsed="false">
      <c r="A2393" s="9" t="str">
        <f aca="false">Vessels!B26</f>
        <v>Vessel 22</v>
      </c>
      <c r="B2393" s="9" t="s">
        <v>42</v>
      </c>
      <c r="C2393" s="7" t="s">
        <v>77</v>
      </c>
      <c r="D2393" s="9" t="s">
        <v>59</v>
      </c>
      <c r="E2393" s="9" t="s">
        <v>58</v>
      </c>
      <c r="F2393" s="5"/>
      <c r="G2393" s="10"/>
      <c r="H2393" s="11" t="str">
        <f aca="false">IFERROR(IF($D2393="Manual Review","",IF($G2393="","",IF($D2393="Direct Expiry",$G2393,EDATE($G2393,$F2393)))),"Check Date")</f>
        <v/>
      </c>
      <c r="I2393" s="12" t="str">
        <f aca="true">IF($H2393="","",IF(ISNUMBER($H2393),$H2393-TODAY(),""))</f>
        <v/>
      </c>
      <c r="J2393" s="4" t="str">
        <f aca="true">IF($D2393="Manual Review","Manual Review",IF($G2393="","No Data",IF(NOT(ISNUMBER($H2393)),"N/A",IF($H2393&lt;TODAY(),"Overdue",IF($H2393&lt;=TODAY()+30,"Due within 1 Month",IF($H2393&lt;=TODAY()+60,"Due within 2 Months","OK"))))))</f>
        <v>No Data</v>
      </c>
      <c r="K2393" s="13"/>
    </row>
    <row r="2394" customFormat="false" ht="15" hidden="false" customHeight="false" outlineLevel="0" collapsed="false">
      <c r="A2394" s="9" t="str">
        <f aca="false">Vessels!B26</f>
        <v>Vessel 22</v>
      </c>
      <c r="B2394" s="9" t="s">
        <v>42</v>
      </c>
      <c r="C2394" s="7" t="s">
        <v>78</v>
      </c>
      <c r="D2394" s="9" t="s">
        <v>59</v>
      </c>
      <c r="E2394" s="9" t="s">
        <v>58</v>
      </c>
      <c r="F2394" s="5"/>
      <c r="G2394" s="10"/>
      <c r="H2394" s="11" t="str">
        <f aca="false">IFERROR(IF($D2394="Manual Review","",IF($G2394="","",IF($D2394="Direct Expiry",$G2394,EDATE($G2394,$F2394)))),"Check Date")</f>
        <v/>
      </c>
      <c r="I2394" s="12" t="str">
        <f aca="true">IF($H2394="","",IF(ISNUMBER($H2394),$H2394-TODAY(),""))</f>
        <v/>
      </c>
      <c r="J2394" s="4" t="str">
        <f aca="true">IF($D2394="Manual Review","Manual Review",IF($G2394="","No Data",IF(NOT(ISNUMBER($H2394)),"N/A",IF($H2394&lt;TODAY(),"Overdue",IF($H2394&lt;=TODAY()+30,"Due within 1 Month",IF($H2394&lt;=TODAY()+60,"Due within 2 Months","OK"))))))</f>
        <v>No Data</v>
      </c>
      <c r="K2394" s="13"/>
    </row>
    <row r="2395" customFormat="false" ht="15" hidden="false" customHeight="false" outlineLevel="0" collapsed="false">
      <c r="A2395" s="9" t="str">
        <f aca="false">Vessels!B26</f>
        <v>Vessel 22</v>
      </c>
      <c r="B2395" s="9" t="s">
        <v>42</v>
      </c>
      <c r="C2395" s="7" t="s">
        <v>79</v>
      </c>
      <c r="D2395" s="9" t="s">
        <v>45</v>
      </c>
      <c r="E2395" s="9" t="s">
        <v>44</v>
      </c>
      <c r="F2395" s="5" t="n">
        <v>12</v>
      </c>
      <c r="G2395" s="10"/>
      <c r="H2395" s="11" t="str">
        <f aca="false">IFERROR(IF($D2395="Manual Review","",IF($G2395="","",IF($D2395="Direct Expiry",$G2395,EDATE($G2395,$F2395)))),"Check Date")</f>
        <v/>
      </c>
      <c r="I2395" s="12" t="str">
        <f aca="true">IF($H2395="","",IF(ISNUMBER($H2395),$H2395-TODAY(),""))</f>
        <v/>
      </c>
      <c r="J2395" s="4" t="str">
        <f aca="true">IF($D2395="Manual Review","Manual Review",IF($G2395="","No Data",IF(NOT(ISNUMBER($H2395)),"N/A",IF($H2395&lt;TODAY(),"Overdue",IF($H2395&lt;=TODAY()+30,"Due within 1 Month",IF($H2395&lt;=TODAY()+60,"Due within 2 Months","OK"))))))</f>
        <v>No Data</v>
      </c>
      <c r="K2395" s="13"/>
    </row>
    <row r="2396" customFormat="false" ht="15" hidden="false" customHeight="false" outlineLevel="0" collapsed="false">
      <c r="A2396" s="9" t="str">
        <f aca="false">Vessels!B26</f>
        <v>Vessel 22</v>
      </c>
      <c r="B2396" s="9" t="s">
        <v>42</v>
      </c>
      <c r="C2396" s="7" t="s">
        <v>80</v>
      </c>
      <c r="D2396" s="9" t="s">
        <v>45</v>
      </c>
      <c r="E2396" s="9" t="s">
        <v>81</v>
      </c>
      <c r="F2396" s="5" t="n">
        <v>36</v>
      </c>
      <c r="G2396" s="10"/>
      <c r="H2396" s="11" t="str">
        <f aca="false">IFERROR(IF($D2396="Manual Review","",IF($G2396="","",IF($D2396="Direct Expiry",$G2396,EDATE($G2396,$F2396)))),"Check Date")</f>
        <v/>
      </c>
      <c r="I2396" s="12" t="str">
        <f aca="true">IF($H2396="","",IF(ISNUMBER($H2396),$H2396-TODAY(),""))</f>
        <v/>
      </c>
      <c r="J2396" s="4" t="str">
        <f aca="true">IF($D2396="Manual Review","Manual Review",IF($G2396="","No Data",IF(NOT(ISNUMBER($H2396)),"N/A",IF($H2396&lt;TODAY(),"Overdue",IF($H2396&lt;=TODAY()+30,"Due within 1 Month",IF($H2396&lt;=TODAY()+60,"Due within 2 Months","OK"))))))</f>
        <v>No Data</v>
      </c>
      <c r="K2396" s="13"/>
    </row>
    <row r="2397" customFormat="false" ht="15" hidden="false" customHeight="false" outlineLevel="0" collapsed="false">
      <c r="A2397" s="9" t="str">
        <f aca="false">Vessels!B26</f>
        <v>Vessel 22</v>
      </c>
      <c r="B2397" s="9" t="s">
        <v>42</v>
      </c>
      <c r="C2397" s="7" t="s">
        <v>80</v>
      </c>
      <c r="D2397" s="9" t="s">
        <v>45</v>
      </c>
      <c r="E2397" s="9" t="s">
        <v>82</v>
      </c>
      <c r="F2397" s="5" t="n">
        <v>24</v>
      </c>
      <c r="G2397" s="10"/>
      <c r="H2397" s="11" t="str">
        <f aca="false">IFERROR(IF($D2397="Manual Review","",IF($G2397="","",IF($D2397="Direct Expiry",$G2397,EDATE($G2397,$F2397)))),"Check Date")</f>
        <v/>
      </c>
      <c r="I2397" s="12" t="str">
        <f aca="true">IF($H2397="","",IF(ISNUMBER($H2397),$H2397-TODAY(),""))</f>
        <v/>
      </c>
      <c r="J2397" s="4" t="str">
        <f aca="true">IF($D2397="Manual Review","Manual Review",IF($G2397="","No Data",IF(NOT(ISNUMBER($H2397)),"N/A",IF($H2397&lt;TODAY(),"Overdue",IF($H2397&lt;=TODAY()+30,"Due within 1 Month",IF($H2397&lt;=TODAY()+60,"Due within 2 Months","OK"))))))</f>
        <v>No Data</v>
      </c>
      <c r="K2397" s="13"/>
    </row>
    <row r="2398" customFormat="false" ht="15" hidden="false" customHeight="false" outlineLevel="0" collapsed="false">
      <c r="A2398" s="9" t="str">
        <f aca="false">Vessels!B26</f>
        <v>Vessel 22</v>
      </c>
      <c r="B2398" s="9" t="s">
        <v>42</v>
      </c>
      <c r="C2398" s="7" t="s">
        <v>83</v>
      </c>
      <c r="D2398" s="9" t="s">
        <v>45</v>
      </c>
      <c r="E2398" s="9" t="s">
        <v>44</v>
      </c>
      <c r="F2398" s="5" t="n">
        <v>12</v>
      </c>
      <c r="G2398" s="10"/>
      <c r="H2398" s="11" t="str">
        <f aca="false">IFERROR(IF($D2398="Manual Review","",IF($G2398="","",IF($D2398="Direct Expiry",$G2398,EDATE($G2398,$F2398)))),"Check Date")</f>
        <v/>
      </c>
      <c r="I2398" s="12" t="str">
        <f aca="true">IF($H2398="","",IF(ISNUMBER($H2398),$H2398-TODAY(),""))</f>
        <v/>
      </c>
      <c r="J2398" s="4" t="str">
        <f aca="true">IF($D2398="Manual Review","Manual Review",IF($G2398="","No Data",IF(NOT(ISNUMBER($H2398)),"N/A",IF($H2398&lt;TODAY(),"Overdue",IF($H2398&lt;=TODAY()+30,"Due within 1 Month",IF($H2398&lt;=TODAY()+60,"Due within 2 Months","OK"))))))</f>
        <v>No Data</v>
      </c>
      <c r="K2398" s="13"/>
    </row>
    <row r="2399" customFormat="false" ht="15" hidden="false" customHeight="false" outlineLevel="0" collapsed="false">
      <c r="A2399" s="9" t="str">
        <f aca="false">Vessels!B26</f>
        <v>Vessel 22</v>
      </c>
      <c r="B2399" s="9" t="s">
        <v>42</v>
      </c>
      <c r="C2399" s="7" t="s">
        <v>83</v>
      </c>
      <c r="D2399" s="9" t="s">
        <v>45</v>
      </c>
      <c r="E2399" s="9" t="s">
        <v>84</v>
      </c>
      <c r="F2399" s="5" t="n">
        <v>60</v>
      </c>
      <c r="G2399" s="10"/>
      <c r="H2399" s="11" t="str">
        <f aca="false">IFERROR(IF($D2399="Manual Review","",IF($G2399="","",IF($D2399="Direct Expiry",$G2399,EDATE($G2399,$F2399)))),"Check Date")</f>
        <v/>
      </c>
      <c r="I2399" s="12" t="str">
        <f aca="true">IF($H2399="","",IF(ISNUMBER($H2399),$H2399-TODAY(),""))</f>
        <v/>
      </c>
      <c r="J2399" s="4" t="str">
        <f aca="true">IF($D2399="Manual Review","Manual Review",IF($G2399="","No Data",IF(NOT(ISNUMBER($H2399)),"N/A",IF($H2399&lt;TODAY(),"Overdue",IF($H2399&lt;=TODAY()+30,"Due within 1 Month",IF($H2399&lt;=TODAY()+60,"Due within 2 Months","OK"))))))</f>
        <v>No Data</v>
      </c>
      <c r="K2399" s="13"/>
    </row>
    <row r="2400" customFormat="false" ht="15" hidden="false" customHeight="false" outlineLevel="0" collapsed="false">
      <c r="A2400" s="9" t="str">
        <f aca="false">Vessels!B26</f>
        <v>Vessel 22</v>
      </c>
      <c r="B2400" s="9" t="s">
        <v>42</v>
      </c>
      <c r="C2400" s="7" t="s">
        <v>85</v>
      </c>
      <c r="D2400" s="9" t="s">
        <v>45</v>
      </c>
      <c r="E2400" s="9" t="s">
        <v>44</v>
      </c>
      <c r="F2400" s="5" t="n">
        <v>12</v>
      </c>
      <c r="G2400" s="10"/>
      <c r="H2400" s="11" t="str">
        <f aca="false">IFERROR(IF($D2400="Manual Review","",IF($G2400="","",IF($D2400="Direct Expiry",$G2400,EDATE($G2400,$F2400)))),"Check Date")</f>
        <v/>
      </c>
      <c r="I2400" s="12" t="str">
        <f aca="true">IF($H2400="","",IF(ISNUMBER($H2400),$H2400-TODAY(),""))</f>
        <v/>
      </c>
      <c r="J2400" s="4" t="str">
        <f aca="true">IF($D2400="Manual Review","Manual Review",IF($G2400="","No Data",IF(NOT(ISNUMBER($H2400)),"N/A",IF($H2400&lt;TODAY(),"Overdue",IF($H2400&lt;=TODAY()+30,"Due within 1 Month",IF($H2400&lt;=TODAY()+60,"Due within 2 Months","OK"))))))</f>
        <v>No Data</v>
      </c>
      <c r="K2400" s="13"/>
    </row>
    <row r="2401" customFormat="false" ht="15" hidden="false" customHeight="false" outlineLevel="0" collapsed="false">
      <c r="A2401" s="9" t="str">
        <f aca="false">Vessels!B26</f>
        <v>Vessel 22</v>
      </c>
      <c r="B2401" s="9" t="s">
        <v>42</v>
      </c>
      <c r="C2401" s="7" t="s">
        <v>85</v>
      </c>
      <c r="D2401" s="9" t="s">
        <v>45</v>
      </c>
      <c r="E2401" s="9" t="s">
        <v>84</v>
      </c>
      <c r="F2401" s="5" t="n">
        <v>60</v>
      </c>
      <c r="G2401" s="10"/>
      <c r="H2401" s="11" t="str">
        <f aca="false">IFERROR(IF($D2401="Manual Review","",IF($G2401="","",IF($D2401="Direct Expiry",$G2401,EDATE($G2401,$F2401)))),"Check Date")</f>
        <v/>
      </c>
      <c r="I2401" s="12" t="str">
        <f aca="true">IF($H2401="","",IF(ISNUMBER($H2401),$H2401-TODAY(),""))</f>
        <v/>
      </c>
      <c r="J2401" s="4" t="str">
        <f aca="true">IF($D2401="Manual Review","Manual Review",IF($G2401="","No Data",IF(NOT(ISNUMBER($H2401)),"N/A",IF($H2401&lt;TODAY(),"Overdue",IF($H2401&lt;=TODAY()+30,"Due within 1 Month",IF($H2401&lt;=TODAY()+60,"Due within 2 Months","OK"))))))</f>
        <v>No Data</v>
      </c>
      <c r="K2401" s="13"/>
    </row>
    <row r="2402" customFormat="false" ht="15" hidden="false" customHeight="false" outlineLevel="0" collapsed="false">
      <c r="A2402" s="9" t="str">
        <f aca="false">Vessels!B26</f>
        <v>Vessel 22</v>
      </c>
      <c r="B2402" s="9" t="s">
        <v>42</v>
      </c>
      <c r="C2402" s="7" t="s">
        <v>86</v>
      </c>
      <c r="D2402" s="9" t="s">
        <v>45</v>
      </c>
      <c r="E2402" s="9" t="s">
        <v>44</v>
      </c>
      <c r="F2402" s="5" t="n">
        <v>12</v>
      </c>
      <c r="G2402" s="10"/>
      <c r="H2402" s="11" t="str">
        <f aca="false">IFERROR(IF($D2402="Manual Review","",IF($G2402="","",IF($D2402="Direct Expiry",$G2402,EDATE($G2402,$F2402)))),"Check Date")</f>
        <v/>
      </c>
      <c r="I2402" s="12" t="str">
        <f aca="true">IF($H2402="","",IF(ISNUMBER($H2402),$H2402-TODAY(),""))</f>
        <v/>
      </c>
      <c r="J2402" s="4" t="str">
        <f aca="true">IF($D2402="Manual Review","Manual Review",IF($G2402="","No Data",IF(NOT(ISNUMBER($H2402)),"N/A",IF($H2402&lt;TODAY(),"Overdue",IF($H2402&lt;=TODAY()+30,"Due within 1 Month",IF($H2402&lt;=TODAY()+60,"Due within 2 Months","OK"))))))</f>
        <v>No Data</v>
      </c>
      <c r="K2402" s="13"/>
    </row>
    <row r="2403" customFormat="false" ht="15" hidden="false" customHeight="false" outlineLevel="0" collapsed="false">
      <c r="A2403" s="9" t="str">
        <f aca="false">Vessels!B26</f>
        <v>Vessel 22</v>
      </c>
      <c r="B2403" s="9" t="s">
        <v>42</v>
      </c>
      <c r="C2403" s="7" t="s">
        <v>87</v>
      </c>
      <c r="D2403" s="9" t="s">
        <v>45</v>
      </c>
      <c r="E2403" s="9" t="s">
        <v>44</v>
      </c>
      <c r="F2403" s="5" t="n">
        <v>12</v>
      </c>
      <c r="G2403" s="10"/>
      <c r="H2403" s="11" t="str">
        <f aca="false">IFERROR(IF($D2403="Manual Review","",IF($G2403="","",IF($D2403="Direct Expiry",$G2403,EDATE($G2403,$F2403)))),"Check Date")</f>
        <v/>
      </c>
      <c r="I2403" s="12" t="str">
        <f aca="true">IF($H2403="","",IF(ISNUMBER($H2403),$H2403-TODAY(),""))</f>
        <v/>
      </c>
      <c r="J2403" s="4" t="str">
        <f aca="true">IF($D2403="Manual Review","Manual Review",IF($G2403="","No Data",IF(NOT(ISNUMBER($H2403)),"N/A",IF($H2403&lt;TODAY(),"Overdue",IF($H2403&lt;=TODAY()+30,"Due within 1 Month",IF($H2403&lt;=TODAY()+60,"Due within 2 Months","OK"))))))</f>
        <v>No Data</v>
      </c>
      <c r="K2403" s="13"/>
    </row>
    <row r="2404" customFormat="false" ht="15" hidden="false" customHeight="false" outlineLevel="0" collapsed="false">
      <c r="A2404" s="9" t="str">
        <f aca="false">Vessels!B26</f>
        <v>Vessel 22</v>
      </c>
      <c r="B2404" s="9" t="s">
        <v>88</v>
      </c>
      <c r="C2404" s="7" t="s">
        <v>89</v>
      </c>
      <c r="D2404" s="9" t="s">
        <v>45</v>
      </c>
      <c r="E2404" s="9" t="s">
        <v>90</v>
      </c>
      <c r="F2404" s="5" t="n">
        <v>36</v>
      </c>
      <c r="G2404" s="10"/>
      <c r="H2404" s="11" t="str">
        <f aca="false">IFERROR(IF($D2404="Manual Review","",IF($G2404="","",IF($D2404="Direct Expiry",$G2404,EDATE($G2404,$F2404)))),"Check Date")</f>
        <v/>
      </c>
      <c r="I2404" s="12" t="str">
        <f aca="true">IF($H2404="","",IF(ISNUMBER($H2404),$H2404-TODAY(),""))</f>
        <v/>
      </c>
      <c r="J2404" s="4" t="str">
        <f aca="true">IF($D2404="Manual Review","Manual Review",IF($G2404="","No Data",IF(NOT(ISNUMBER($H2404)),"N/A",IF($H2404&lt;TODAY(),"Overdue",IF($H2404&lt;=TODAY()+30,"Due within 1 Month",IF($H2404&lt;=TODAY()+60,"Due within 2 Months","OK"))))))</f>
        <v>No Data</v>
      </c>
      <c r="K2404" s="13"/>
    </row>
    <row r="2405" customFormat="false" ht="15" hidden="false" customHeight="false" outlineLevel="0" collapsed="false">
      <c r="A2405" s="9" t="str">
        <f aca="false">Vessels!B26</f>
        <v>Vessel 22</v>
      </c>
      <c r="B2405" s="9" t="s">
        <v>88</v>
      </c>
      <c r="C2405" s="7" t="s">
        <v>91</v>
      </c>
      <c r="D2405" s="9" t="s">
        <v>45</v>
      </c>
      <c r="E2405" s="9" t="s">
        <v>44</v>
      </c>
      <c r="F2405" s="5" t="n">
        <v>12</v>
      </c>
      <c r="G2405" s="10"/>
      <c r="H2405" s="11" t="str">
        <f aca="false">IFERROR(IF($D2405="Manual Review","",IF($G2405="","",IF($D2405="Direct Expiry",$G2405,EDATE($G2405,$F2405)))),"Check Date")</f>
        <v/>
      </c>
      <c r="I2405" s="12" t="str">
        <f aca="true">IF($H2405="","",IF(ISNUMBER($H2405),$H2405-TODAY(),""))</f>
        <v/>
      </c>
      <c r="J2405" s="4" t="str">
        <f aca="true">IF($D2405="Manual Review","Manual Review",IF($G2405="","No Data",IF(NOT(ISNUMBER($H2405)),"N/A",IF($H2405&lt;TODAY(),"Overdue",IF($H2405&lt;=TODAY()+30,"Due within 1 Month",IF($H2405&lt;=TODAY()+60,"Due within 2 Months","OK"))))))</f>
        <v>No Data</v>
      </c>
      <c r="K2405" s="13"/>
    </row>
    <row r="2406" customFormat="false" ht="15" hidden="false" customHeight="false" outlineLevel="0" collapsed="false">
      <c r="A2406" s="9" t="str">
        <f aca="false">Vessels!B26</f>
        <v>Vessel 22</v>
      </c>
      <c r="B2406" s="9" t="s">
        <v>88</v>
      </c>
      <c r="C2406" s="7" t="s">
        <v>91</v>
      </c>
      <c r="D2406" s="9" t="s">
        <v>45</v>
      </c>
      <c r="E2406" s="9" t="s">
        <v>92</v>
      </c>
      <c r="F2406" s="5" t="n">
        <v>120</v>
      </c>
      <c r="G2406" s="10"/>
      <c r="H2406" s="11" t="str">
        <f aca="false">IFERROR(IF($D2406="Manual Review","",IF($G2406="","",IF($D2406="Direct Expiry",$G2406,EDATE($G2406,$F2406)))),"Check Date")</f>
        <v/>
      </c>
      <c r="I2406" s="12" t="str">
        <f aca="true">IF($H2406="","",IF(ISNUMBER($H2406),$H2406-TODAY(),""))</f>
        <v/>
      </c>
      <c r="J2406" s="4" t="str">
        <f aca="true">IF($D2406="Manual Review","Manual Review",IF($G2406="","No Data",IF(NOT(ISNUMBER($H2406)),"N/A",IF($H2406&lt;TODAY(),"Overdue",IF($H2406&lt;=TODAY()+30,"Due within 1 Month",IF($H2406&lt;=TODAY()+60,"Due within 2 Months","OK"))))))</f>
        <v>No Data</v>
      </c>
      <c r="K2406" s="13"/>
    </row>
    <row r="2407" customFormat="false" ht="15" hidden="false" customHeight="false" outlineLevel="0" collapsed="false">
      <c r="A2407" s="9" t="str">
        <f aca="false">Vessels!B26</f>
        <v>Vessel 22</v>
      </c>
      <c r="B2407" s="9" t="s">
        <v>88</v>
      </c>
      <c r="C2407" s="7" t="s">
        <v>93</v>
      </c>
      <c r="D2407" s="9" t="s">
        <v>45</v>
      </c>
      <c r="E2407" s="9" t="s">
        <v>44</v>
      </c>
      <c r="F2407" s="5" t="n">
        <v>12</v>
      </c>
      <c r="G2407" s="10"/>
      <c r="H2407" s="11" t="str">
        <f aca="false">IFERROR(IF($D2407="Manual Review","",IF($G2407="","",IF($D2407="Direct Expiry",$G2407,EDATE($G2407,$F2407)))),"Check Date")</f>
        <v/>
      </c>
      <c r="I2407" s="12" t="str">
        <f aca="true">IF($H2407="","",IF(ISNUMBER($H2407),$H2407-TODAY(),""))</f>
        <v/>
      </c>
      <c r="J2407" s="4" t="str">
        <f aca="true">IF($D2407="Manual Review","Manual Review",IF($G2407="","No Data",IF(NOT(ISNUMBER($H2407)),"N/A",IF($H2407&lt;TODAY(),"Overdue",IF($H2407&lt;=TODAY()+30,"Due within 1 Month",IF($H2407&lt;=TODAY()+60,"Due within 2 Months","OK"))))))</f>
        <v>No Data</v>
      </c>
      <c r="K2407" s="13"/>
    </row>
    <row r="2408" customFormat="false" ht="15" hidden="false" customHeight="false" outlineLevel="0" collapsed="false">
      <c r="A2408" s="9" t="str">
        <f aca="false">Vessels!B26</f>
        <v>Vessel 22</v>
      </c>
      <c r="B2408" s="9" t="s">
        <v>88</v>
      </c>
      <c r="C2408" s="7" t="s">
        <v>93</v>
      </c>
      <c r="D2408" s="9" t="s">
        <v>45</v>
      </c>
      <c r="E2408" s="9" t="s">
        <v>92</v>
      </c>
      <c r="F2408" s="5" t="n">
        <v>120</v>
      </c>
      <c r="G2408" s="10"/>
      <c r="H2408" s="11" t="str">
        <f aca="false">IFERROR(IF($D2408="Manual Review","",IF($G2408="","",IF($D2408="Direct Expiry",$G2408,EDATE($G2408,$F2408)))),"Check Date")</f>
        <v/>
      </c>
      <c r="I2408" s="12" t="str">
        <f aca="true">IF($H2408="","",IF(ISNUMBER($H2408),$H2408-TODAY(),""))</f>
        <v/>
      </c>
      <c r="J2408" s="4" t="str">
        <f aca="true">IF($D2408="Manual Review","Manual Review",IF($G2408="","No Data",IF(NOT(ISNUMBER($H2408)),"N/A",IF($H2408&lt;TODAY(),"Overdue",IF($H2408&lt;=TODAY()+30,"Due within 1 Month",IF($H2408&lt;=TODAY()+60,"Due within 2 Months","OK"))))))</f>
        <v>No Data</v>
      </c>
      <c r="K2408" s="13"/>
    </row>
    <row r="2409" customFormat="false" ht="15" hidden="false" customHeight="false" outlineLevel="0" collapsed="false">
      <c r="A2409" s="9" t="str">
        <f aca="false">Vessels!B26</f>
        <v>Vessel 22</v>
      </c>
      <c r="B2409" s="9" t="s">
        <v>88</v>
      </c>
      <c r="C2409" s="7" t="s">
        <v>94</v>
      </c>
      <c r="D2409" s="9" t="s">
        <v>45</v>
      </c>
      <c r="E2409" s="9" t="s">
        <v>44</v>
      </c>
      <c r="F2409" s="5" t="n">
        <v>12</v>
      </c>
      <c r="G2409" s="10"/>
      <c r="H2409" s="11" t="str">
        <f aca="false">IFERROR(IF($D2409="Manual Review","",IF($G2409="","",IF($D2409="Direct Expiry",$G2409,EDATE($G2409,$F2409)))),"Check Date")</f>
        <v/>
      </c>
      <c r="I2409" s="12" t="str">
        <f aca="true">IF($H2409="","",IF(ISNUMBER($H2409),$H2409-TODAY(),""))</f>
        <v/>
      </c>
      <c r="J2409" s="4" t="str">
        <f aca="true">IF($D2409="Manual Review","Manual Review",IF($G2409="","No Data",IF(NOT(ISNUMBER($H2409)),"N/A",IF($H2409&lt;TODAY(),"Overdue",IF($H2409&lt;=TODAY()+30,"Due within 1 Month",IF($H2409&lt;=TODAY()+60,"Due within 2 Months","OK"))))))</f>
        <v>No Data</v>
      </c>
      <c r="K2409" s="13"/>
    </row>
    <row r="2410" customFormat="false" ht="15" hidden="false" customHeight="false" outlineLevel="0" collapsed="false">
      <c r="A2410" s="9" t="str">
        <f aca="false">Vessels!B26</f>
        <v>Vessel 22</v>
      </c>
      <c r="B2410" s="9" t="s">
        <v>88</v>
      </c>
      <c r="C2410" s="7" t="s">
        <v>94</v>
      </c>
      <c r="D2410" s="9" t="s">
        <v>45</v>
      </c>
      <c r="E2410" s="9" t="s">
        <v>92</v>
      </c>
      <c r="F2410" s="5" t="n">
        <v>120</v>
      </c>
      <c r="G2410" s="10"/>
      <c r="H2410" s="11" t="str">
        <f aca="false">IFERROR(IF($D2410="Manual Review","",IF($G2410="","",IF($D2410="Direct Expiry",$G2410,EDATE($G2410,$F2410)))),"Check Date")</f>
        <v/>
      </c>
      <c r="I2410" s="12" t="str">
        <f aca="true">IF($H2410="","",IF(ISNUMBER($H2410),$H2410-TODAY(),""))</f>
        <v/>
      </c>
      <c r="J2410" s="4" t="str">
        <f aca="true">IF($D2410="Manual Review","Manual Review",IF($G2410="","No Data",IF(NOT(ISNUMBER($H2410)),"N/A",IF($H2410&lt;TODAY(),"Overdue",IF($H2410&lt;=TODAY()+30,"Due within 1 Month",IF($H2410&lt;=TODAY()+60,"Due within 2 Months","OK"))))))</f>
        <v>No Data</v>
      </c>
      <c r="K2410" s="13"/>
    </row>
    <row r="2411" customFormat="false" ht="15" hidden="false" customHeight="false" outlineLevel="0" collapsed="false">
      <c r="A2411" s="9" t="str">
        <f aca="false">Vessels!B26</f>
        <v>Vessel 22</v>
      </c>
      <c r="B2411" s="9" t="s">
        <v>88</v>
      </c>
      <c r="C2411" s="7" t="s">
        <v>95</v>
      </c>
      <c r="D2411" s="9" t="s">
        <v>45</v>
      </c>
      <c r="E2411" s="9" t="s">
        <v>44</v>
      </c>
      <c r="F2411" s="5" t="n">
        <v>12</v>
      </c>
      <c r="G2411" s="10"/>
      <c r="H2411" s="11" t="str">
        <f aca="false">IFERROR(IF($D2411="Manual Review","",IF($G2411="","",IF($D2411="Direct Expiry",$G2411,EDATE($G2411,$F2411)))),"Check Date")</f>
        <v/>
      </c>
      <c r="I2411" s="12" t="str">
        <f aca="true">IF($H2411="","",IF(ISNUMBER($H2411),$H2411-TODAY(),""))</f>
        <v/>
      </c>
      <c r="J2411" s="4" t="str">
        <f aca="true">IF($D2411="Manual Review","Manual Review",IF($G2411="","No Data",IF(NOT(ISNUMBER($H2411)),"N/A",IF($H2411&lt;TODAY(),"Overdue",IF($H2411&lt;=TODAY()+30,"Due within 1 Month",IF($H2411&lt;=TODAY()+60,"Due within 2 Months","OK"))))))</f>
        <v>No Data</v>
      </c>
      <c r="K2411" s="13"/>
    </row>
    <row r="2412" customFormat="false" ht="15" hidden="false" customHeight="false" outlineLevel="0" collapsed="false">
      <c r="A2412" s="9" t="str">
        <f aca="false">Vessels!B26</f>
        <v>Vessel 22</v>
      </c>
      <c r="B2412" s="9" t="s">
        <v>88</v>
      </c>
      <c r="C2412" s="7" t="s">
        <v>95</v>
      </c>
      <c r="D2412" s="9" t="s">
        <v>45</v>
      </c>
      <c r="E2412" s="9" t="s">
        <v>92</v>
      </c>
      <c r="F2412" s="5" t="n">
        <v>120</v>
      </c>
      <c r="G2412" s="10"/>
      <c r="H2412" s="11" t="str">
        <f aca="false">IFERROR(IF($D2412="Manual Review","",IF($G2412="","",IF($D2412="Direct Expiry",$G2412,EDATE($G2412,$F2412)))),"Check Date")</f>
        <v/>
      </c>
      <c r="I2412" s="12" t="str">
        <f aca="true">IF($H2412="","",IF(ISNUMBER($H2412),$H2412-TODAY(),""))</f>
        <v/>
      </c>
      <c r="J2412" s="4" t="str">
        <f aca="true">IF($D2412="Manual Review","Manual Review",IF($G2412="","No Data",IF(NOT(ISNUMBER($H2412)),"N/A",IF($H2412&lt;TODAY(),"Overdue",IF($H2412&lt;=TODAY()+30,"Due within 1 Month",IF($H2412&lt;=TODAY()+60,"Due within 2 Months","OK"))))))</f>
        <v>No Data</v>
      </c>
      <c r="K2412" s="13"/>
    </row>
    <row r="2413" customFormat="false" ht="15" hidden="false" customHeight="false" outlineLevel="0" collapsed="false">
      <c r="A2413" s="9" t="str">
        <f aca="false">Vessels!B26</f>
        <v>Vessel 22</v>
      </c>
      <c r="B2413" s="9" t="s">
        <v>88</v>
      </c>
      <c r="C2413" s="7" t="s">
        <v>96</v>
      </c>
      <c r="D2413" s="9" t="s">
        <v>45</v>
      </c>
      <c r="E2413" s="9" t="s">
        <v>44</v>
      </c>
      <c r="F2413" s="5" t="n">
        <v>12</v>
      </c>
      <c r="G2413" s="10"/>
      <c r="H2413" s="11" t="str">
        <f aca="false">IFERROR(IF($D2413="Manual Review","",IF($G2413="","",IF($D2413="Direct Expiry",$G2413,EDATE($G2413,$F2413)))),"Check Date")</f>
        <v/>
      </c>
      <c r="I2413" s="12" t="str">
        <f aca="true">IF($H2413="","",IF(ISNUMBER($H2413),$H2413-TODAY(),""))</f>
        <v/>
      </c>
      <c r="J2413" s="4" t="str">
        <f aca="true">IF($D2413="Manual Review","Manual Review",IF($G2413="","No Data",IF(NOT(ISNUMBER($H2413)),"N/A",IF($H2413&lt;TODAY(),"Overdue",IF($H2413&lt;=TODAY()+30,"Due within 1 Month",IF($H2413&lt;=TODAY()+60,"Due within 2 Months","OK"))))))</f>
        <v>No Data</v>
      </c>
      <c r="K2413" s="13"/>
    </row>
    <row r="2414" customFormat="false" ht="15" hidden="false" customHeight="false" outlineLevel="0" collapsed="false">
      <c r="A2414" s="9" t="str">
        <f aca="false">Vessels!B26</f>
        <v>Vessel 22</v>
      </c>
      <c r="B2414" s="9" t="s">
        <v>88</v>
      </c>
      <c r="C2414" s="7" t="s">
        <v>96</v>
      </c>
      <c r="D2414" s="9" t="s">
        <v>45</v>
      </c>
      <c r="E2414" s="9" t="s">
        <v>97</v>
      </c>
      <c r="F2414" s="5" t="n">
        <v>120</v>
      </c>
      <c r="G2414" s="10"/>
      <c r="H2414" s="11" t="str">
        <f aca="false">IFERROR(IF($D2414="Manual Review","",IF($G2414="","",IF($D2414="Direct Expiry",$G2414,EDATE($G2414,$F2414)))),"Check Date")</f>
        <v/>
      </c>
      <c r="I2414" s="12" t="str">
        <f aca="true">IF($H2414="","",IF(ISNUMBER($H2414),$H2414-TODAY(),""))</f>
        <v/>
      </c>
      <c r="J2414" s="4" t="str">
        <f aca="true">IF($D2414="Manual Review","Manual Review",IF($G2414="","No Data",IF(NOT(ISNUMBER($H2414)),"N/A",IF($H2414&lt;TODAY(),"Overdue",IF($H2414&lt;=TODAY()+30,"Due within 1 Month",IF($H2414&lt;=TODAY()+60,"Due within 2 Months","OK"))))))</f>
        <v>No Data</v>
      </c>
      <c r="K2414" s="13"/>
    </row>
    <row r="2415" customFormat="false" ht="15" hidden="false" customHeight="false" outlineLevel="0" collapsed="false">
      <c r="A2415" s="9" t="str">
        <f aca="false">Vessels!B26</f>
        <v>Vessel 22</v>
      </c>
      <c r="B2415" s="9" t="s">
        <v>88</v>
      </c>
      <c r="C2415" s="7" t="s">
        <v>98</v>
      </c>
      <c r="D2415" s="9" t="s">
        <v>45</v>
      </c>
      <c r="E2415" s="9" t="s">
        <v>44</v>
      </c>
      <c r="F2415" s="5" t="n">
        <v>12</v>
      </c>
      <c r="G2415" s="10"/>
      <c r="H2415" s="11" t="str">
        <f aca="false">IFERROR(IF($D2415="Manual Review","",IF($G2415="","",IF($D2415="Direct Expiry",$G2415,EDATE($G2415,$F2415)))),"Check Date")</f>
        <v/>
      </c>
      <c r="I2415" s="12" t="str">
        <f aca="true">IF($H2415="","",IF(ISNUMBER($H2415),$H2415-TODAY(),""))</f>
        <v/>
      </c>
      <c r="J2415" s="4" t="str">
        <f aca="true">IF($D2415="Manual Review","Manual Review",IF($G2415="","No Data",IF(NOT(ISNUMBER($H2415)),"N/A",IF($H2415&lt;TODAY(),"Overdue",IF($H2415&lt;=TODAY()+30,"Due within 1 Month",IF($H2415&lt;=TODAY()+60,"Due within 2 Months","OK"))))))</f>
        <v>No Data</v>
      </c>
      <c r="K2415" s="13"/>
    </row>
    <row r="2416" customFormat="false" ht="15" hidden="false" customHeight="false" outlineLevel="0" collapsed="false">
      <c r="A2416" s="9" t="str">
        <f aca="false">Vessels!B26</f>
        <v>Vessel 22</v>
      </c>
      <c r="B2416" s="9" t="s">
        <v>88</v>
      </c>
      <c r="C2416" s="7" t="s">
        <v>98</v>
      </c>
      <c r="D2416" s="9" t="s">
        <v>45</v>
      </c>
      <c r="E2416" s="9" t="s">
        <v>99</v>
      </c>
      <c r="F2416" s="5" t="n">
        <v>60</v>
      </c>
      <c r="G2416" s="10"/>
      <c r="H2416" s="11" t="str">
        <f aca="false">IFERROR(IF($D2416="Manual Review","",IF($G2416="","",IF($D2416="Direct Expiry",$G2416,EDATE($G2416,$F2416)))),"Check Date")</f>
        <v/>
      </c>
      <c r="I2416" s="12" t="str">
        <f aca="true">IF($H2416="","",IF(ISNUMBER($H2416),$H2416-TODAY(),""))</f>
        <v/>
      </c>
      <c r="J2416" s="4" t="str">
        <f aca="true">IF($D2416="Manual Review","Manual Review",IF($G2416="","No Data",IF(NOT(ISNUMBER($H2416)),"N/A",IF($H2416&lt;TODAY(),"Overdue",IF($H2416&lt;=TODAY()+30,"Due within 1 Month",IF($H2416&lt;=TODAY()+60,"Due within 2 Months","OK"))))))</f>
        <v>No Data</v>
      </c>
      <c r="K2416" s="13"/>
    </row>
    <row r="2417" customFormat="false" ht="15" hidden="false" customHeight="false" outlineLevel="0" collapsed="false">
      <c r="A2417" s="9" t="str">
        <f aca="false">Vessels!B26</f>
        <v>Vessel 22</v>
      </c>
      <c r="B2417" s="9" t="s">
        <v>88</v>
      </c>
      <c r="C2417" s="7" t="s">
        <v>100</v>
      </c>
      <c r="D2417" s="9" t="s">
        <v>45</v>
      </c>
      <c r="E2417" s="9" t="s">
        <v>44</v>
      </c>
      <c r="F2417" s="5" t="n">
        <v>12</v>
      </c>
      <c r="G2417" s="10"/>
      <c r="H2417" s="11" t="str">
        <f aca="false">IFERROR(IF($D2417="Manual Review","",IF($G2417="","",IF($D2417="Direct Expiry",$G2417,EDATE($G2417,$F2417)))),"Check Date")</f>
        <v/>
      </c>
      <c r="I2417" s="12" t="str">
        <f aca="true">IF($H2417="","",IF(ISNUMBER($H2417),$H2417-TODAY(),""))</f>
        <v/>
      </c>
      <c r="J2417" s="4" t="str">
        <f aca="true">IF($D2417="Manual Review","Manual Review",IF($G2417="","No Data",IF(NOT(ISNUMBER($H2417)),"N/A",IF($H2417&lt;TODAY(),"Overdue",IF($H2417&lt;=TODAY()+30,"Due within 1 Month",IF($H2417&lt;=TODAY()+60,"Due within 2 Months","OK"))))))</f>
        <v>No Data</v>
      </c>
      <c r="K2417" s="13"/>
    </row>
    <row r="2418" customFormat="false" ht="15" hidden="false" customHeight="false" outlineLevel="0" collapsed="false">
      <c r="A2418" s="9" t="str">
        <f aca="false">Vessels!B26</f>
        <v>Vessel 22</v>
      </c>
      <c r="B2418" s="9" t="s">
        <v>88</v>
      </c>
      <c r="C2418" s="7" t="s">
        <v>100</v>
      </c>
      <c r="D2418" s="9" t="s">
        <v>45</v>
      </c>
      <c r="E2418" s="9" t="s">
        <v>99</v>
      </c>
      <c r="F2418" s="5" t="n">
        <v>60</v>
      </c>
      <c r="G2418" s="10"/>
      <c r="H2418" s="11" t="str">
        <f aca="false">IFERROR(IF($D2418="Manual Review","",IF($G2418="","",IF($D2418="Direct Expiry",$G2418,EDATE($G2418,$F2418)))),"Check Date")</f>
        <v/>
      </c>
      <c r="I2418" s="12" t="str">
        <f aca="true">IF($H2418="","",IF(ISNUMBER($H2418),$H2418-TODAY(),""))</f>
        <v/>
      </c>
      <c r="J2418" s="4" t="str">
        <f aca="true">IF($D2418="Manual Review","Manual Review",IF($G2418="","No Data",IF(NOT(ISNUMBER($H2418)),"N/A",IF($H2418&lt;TODAY(),"Overdue",IF($H2418&lt;=TODAY()+30,"Due within 1 Month",IF($H2418&lt;=TODAY()+60,"Due within 2 Months","OK"))))))</f>
        <v>No Data</v>
      </c>
      <c r="K2418" s="13"/>
    </row>
    <row r="2419" customFormat="false" ht="15" hidden="false" customHeight="false" outlineLevel="0" collapsed="false">
      <c r="A2419" s="9" t="str">
        <f aca="false">Vessels!B26</f>
        <v>Vessel 22</v>
      </c>
      <c r="B2419" s="9" t="s">
        <v>88</v>
      </c>
      <c r="C2419" s="7" t="s">
        <v>101</v>
      </c>
      <c r="D2419" s="9" t="s">
        <v>45</v>
      </c>
      <c r="E2419" s="9" t="s">
        <v>44</v>
      </c>
      <c r="F2419" s="5" t="n">
        <v>12</v>
      </c>
      <c r="G2419" s="10"/>
      <c r="H2419" s="11" t="str">
        <f aca="false">IFERROR(IF($D2419="Manual Review","",IF($G2419="","",IF($D2419="Direct Expiry",$G2419,EDATE($G2419,$F2419)))),"Check Date")</f>
        <v/>
      </c>
      <c r="I2419" s="12" t="str">
        <f aca="true">IF($H2419="","",IF(ISNUMBER($H2419),$H2419-TODAY(),""))</f>
        <v/>
      </c>
      <c r="J2419" s="4" t="str">
        <f aca="true">IF($D2419="Manual Review","Manual Review",IF($G2419="","No Data",IF(NOT(ISNUMBER($H2419)),"N/A",IF($H2419&lt;TODAY(),"Overdue",IF($H2419&lt;=TODAY()+30,"Due within 1 Month",IF($H2419&lt;=TODAY()+60,"Due within 2 Months","OK"))))))</f>
        <v>No Data</v>
      </c>
      <c r="K2419" s="13"/>
    </row>
    <row r="2420" customFormat="false" ht="23.85" hidden="false" customHeight="false" outlineLevel="0" collapsed="false">
      <c r="A2420" s="9" t="str">
        <f aca="false">Vessels!B26</f>
        <v>Vessel 22</v>
      </c>
      <c r="B2420" s="9" t="s">
        <v>88</v>
      </c>
      <c r="C2420" s="7" t="s">
        <v>102</v>
      </c>
      <c r="D2420" s="9" t="s">
        <v>45</v>
      </c>
      <c r="E2420" s="9" t="s">
        <v>44</v>
      </c>
      <c r="F2420" s="5" t="n">
        <v>12</v>
      </c>
      <c r="G2420" s="10"/>
      <c r="H2420" s="11" t="str">
        <f aca="false">IFERROR(IF($D2420="Manual Review","",IF($G2420="","",IF($D2420="Direct Expiry",$G2420,EDATE($G2420,$F2420)))),"Check Date")</f>
        <v/>
      </c>
      <c r="I2420" s="12" t="str">
        <f aca="true">IF($H2420="","",IF(ISNUMBER($H2420),$H2420-TODAY(),""))</f>
        <v/>
      </c>
      <c r="J2420" s="4" t="str">
        <f aca="true">IF($D2420="Manual Review","Manual Review",IF($G2420="","No Data",IF(NOT(ISNUMBER($H2420)),"N/A",IF($H2420&lt;TODAY(),"Overdue",IF($H2420&lt;=TODAY()+30,"Due within 1 Month",IF($H2420&lt;=TODAY()+60,"Due within 2 Months","OK"))))))</f>
        <v>No Data</v>
      </c>
      <c r="K2420" s="13"/>
    </row>
    <row r="2421" customFormat="false" ht="23.85" hidden="false" customHeight="false" outlineLevel="0" collapsed="false">
      <c r="A2421" s="9" t="str">
        <f aca="false">Vessels!B26</f>
        <v>Vessel 22</v>
      </c>
      <c r="B2421" s="9" t="s">
        <v>88</v>
      </c>
      <c r="C2421" s="7" t="s">
        <v>102</v>
      </c>
      <c r="D2421" s="9" t="s">
        <v>45</v>
      </c>
      <c r="E2421" s="9" t="s">
        <v>97</v>
      </c>
      <c r="F2421" s="5" t="n">
        <v>120</v>
      </c>
      <c r="G2421" s="10"/>
      <c r="H2421" s="11" t="str">
        <f aca="false">IFERROR(IF($D2421="Manual Review","",IF($G2421="","",IF($D2421="Direct Expiry",$G2421,EDATE($G2421,$F2421)))),"Check Date")</f>
        <v/>
      </c>
      <c r="I2421" s="12" t="str">
        <f aca="true">IF($H2421="","",IF(ISNUMBER($H2421),$H2421-TODAY(),""))</f>
        <v/>
      </c>
      <c r="J2421" s="4" t="str">
        <f aca="true">IF($D2421="Manual Review","Manual Review",IF($G2421="","No Data",IF(NOT(ISNUMBER($H2421)),"N/A",IF($H2421&lt;TODAY(),"Overdue",IF($H2421&lt;=TODAY()+30,"Due within 1 Month",IF($H2421&lt;=TODAY()+60,"Due within 2 Months","OK"))))))</f>
        <v>No Data</v>
      </c>
      <c r="K2421" s="13"/>
    </row>
    <row r="2422" customFormat="false" ht="15" hidden="false" customHeight="false" outlineLevel="0" collapsed="false">
      <c r="A2422" s="9" t="str">
        <f aca="false">Vessels!B26</f>
        <v>Vessel 22</v>
      </c>
      <c r="B2422" s="9" t="s">
        <v>88</v>
      </c>
      <c r="C2422" s="7" t="s">
        <v>103</v>
      </c>
      <c r="D2422" s="9" t="s">
        <v>45</v>
      </c>
      <c r="E2422" s="9" t="s">
        <v>44</v>
      </c>
      <c r="F2422" s="5" t="n">
        <v>12</v>
      </c>
      <c r="G2422" s="10"/>
      <c r="H2422" s="11" t="str">
        <f aca="false">IFERROR(IF($D2422="Manual Review","",IF($G2422="","",IF($D2422="Direct Expiry",$G2422,EDATE($G2422,$F2422)))),"Check Date")</f>
        <v/>
      </c>
      <c r="I2422" s="12" t="str">
        <f aca="true">IF($H2422="","",IF(ISNUMBER($H2422),$H2422-TODAY(),""))</f>
        <v/>
      </c>
      <c r="J2422" s="4" t="str">
        <f aca="true">IF($D2422="Manual Review","Manual Review",IF($G2422="","No Data",IF(NOT(ISNUMBER($H2422)),"N/A",IF($H2422&lt;TODAY(),"Overdue",IF($H2422&lt;=TODAY()+30,"Due within 1 Month",IF($H2422&lt;=TODAY()+60,"Due within 2 Months","OK"))))))</f>
        <v>No Data</v>
      </c>
      <c r="K2422" s="13"/>
    </row>
    <row r="2423" customFormat="false" ht="15" hidden="false" customHeight="false" outlineLevel="0" collapsed="false">
      <c r="A2423" s="9" t="str">
        <f aca="false">Vessels!B26</f>
        <v>Vessel 22</v>
      </c>
      <c r="B2423" s="9" t="s">
        <v>88</v>
      </c>
      <c r="C2423" s="7" t="s">
        <v>103</v>
      </c>
      <c r="D2423" s="9" t="s">
        <v>45</v>
      </c>
      <c r="E2423" s="9" t="s">
        <v>97</v>
      </c>
      <c r="F2423" s="5" t="n">
        <v>120</v>
      </c>
      <c r="G2423" s="10"/>
      <c r="H2423" s="11" t="str">
        <f aca="false">IFERROR(IF($D2423="Manual Review","",IF($G2423="","",IF($D2423="Direct Expiry",$G2423,EDATE($G2423,$F2423)))),"Check Date")</f>
        <v/>
      </c>
      <c r="I2423" s="12" t="str">
        <f aca="true">IF($H2423="","",IF(ISNUMBER($H2423),$H2423-TODAY(),""))</f>
        <v/>
      </c>
      <c r="J2423" s="4" t="str">
        <f aca="true">IF($D2423="Manual Review","Manual Review",IF($G2423="","No Data",IF(NOT(ISNUMBER($H2423)),"N/A",IF($H2423&lt;TODAY(),"Overdue",IF($H2423&lt;=TODAY()+30,"Due within 1 Month",IF($H2423&lt;=TODAY()+60,"Due within 2 Months","OK"))))))</f>
        <v>No Data</v>
      </c>
      <c r="K2423" s="13"/>
    </row>
    <row r="2424" customFormat="false" ht="15" hidden="false" customHeight="false" outlineLevel="0" collapsed="false">
      <c r="A2424" s="9" t="str">
        <f aca="false">Vessels!B26</f>
        <v>Vessel 22</v>
      </c>
      <c r="B2424" s="9" t="s">
        <v>88</v>
      </c>
      <c r="C2424" s="7" t="s">
        <v>104</v>
      </c>
      <c r="D2424" s="9" t="s">
        <v>45</v>
      </c>
      <c r="E2424" s="9" t="s">
        <v>44</v>
      </c>
      <c r="F2424" s="5" t="n">
        <v>12</v>
      </c>
      <c r="G2424" s="10"/>
      <c r="H2424" s="11" t="str">
        <f aca="false">IFERROR(IF($D2424="Manual Review","",IF($G2424="","",IF($D2424="Direct Expiry",$G2424,EDATE($G2424,$F2424)))),"Check Date")</f>
        <v/>
      </c>
      <c r="I2424" s="12" t="str">
        <f aca="true">IF($H2424="","",IF(ISNUMBER($H2424),$H2424-TODAY(),""))</f>
        <v/>
      </c>
      <c r="J2424" s="4" t="str">
        <f aca="true">IF($D2424="Manual Review","Manual Review",IF($G2424="","No Data",IF(NOT(ISNUMBER($H2424)),"N/A",IF($H2424&lt;TODAY(),"Overdue",IF($H2424&lt;=TODAY()+30,"Due within 1 Month",IF($H2424&lt;=TODAY()+60,"Due within 2 Months","OK"))))))</f>
        <v>No Data</v>
      </c>
      <c r="K2424" s="13"/>
    </row>
    <row r="2425" customFormat="false" ht="15" hidden="false" customHeight="false" outlineLevel="0" collapsed="false">
      <c r="A2425" s="9" t="str">
        <f aca="false">Vessels!B26</f>
        <v>Vessel 22</v>
      </c>
      <c r="B2425" s="9" t="s">
        <v>88</v>
      </c>
      <c r="C2425" s="7" t="s">
        <v>105</v>
      </c>
      <c r="D2425" s="9" t="s">
        <v>45</v>
      </c>
      <c r="E2425" s="9" t="s">
        <v>44</v>
      </c>
      <c r="F2425" s="5" t="n">
        <v>12</v>
      </c>
      <c r="G2425" s="10"/>
      <c r="H2425" s="11" t="str">
        <f aca="false">IFERROR(IF($D2425="Manual Review","",IF($G2425="","",IF($D2425="Direct Expiry",$G2425,EDATE($G2425,$F2425)))),"Check Date")</f>
        <v/>
      </c>
      <c r="I2425" s="12" t="str">
        <f aca="true">IF($H2425="","",IF(ISNUMBER($H2425),$H2425-TODAY(),""))</f>
        <v/>
      </c>
      <c r="J2425" s="4" t="str">
        <f aca="true">IF($D2425="Manual Review","Manual Review",IF($G2425="","No Data",IF(NOT(ISNUMBER($H2425)),"N/A",IF($H2425&lt;TODAY(),"Overdue",IF($H2425&lt;=TODAY()+30,"Due within 1 Month",IF($H2425&lt;=TODAY()+60,"Due within 2 Months","OK"))))))</f>
        <v>No Data</v>
      </c>
      <c r="K2425" s="13"/>
    </row>
    <row r="2426" customFormat="false" ht="15" hidden="false" customHeight="false" outlineLevel="0" collapsed="false">
      <c r="A2426" s="9" t="str">
        <f aca="false">Vessels!B26</f>
        <v>Vessel 22</v>
      </c>
      <c r="B2426" s="9" t="s">
        <v>88</v>
      </c>
      <c r="C2426" s="7" t="s">
        <v>106</v>
      </c>
      <c r="D2426" s="9" t="s">
        <v>45</v>
      </c>
      <c r="E2426" s="9" t="s">
        <v>44</v>
      </c>
      <c r="F2426" s="5" t="n">
        <v>12</v>
      </c>
      <c r="G2426" s="10"/>
      <c r="H2426" s="11" t="str">
        <f aca="false">IFERROR(IF($D2426="Manual Review","",IF($G2426="","",IF($D2426="Direct Expiry",$G2426,EDATE($G2426,$F2426)))),"Check Date")</f>
        <v/>
      </c>
      <c r="I2426" s="12" t="str">
        <f aca="true">IF($H2426="","",IF(ISNUMBER($H2426),$H2426-TODAY(),""))</f>
        <v/>
      </c>
      <c r="J2426" s="4" t="str">
        <f aca="true">IF($D2426="Manual Review","Manual Review",IF($G2426="","No Data",IF(NOT(ISNUMBER($H2426)),"N/A",IF($H2426&lt;TODAY(),"Overdue",IF($H2426&lt;=TODAY()+30,"Due within 1 Month",IF($H2426&lt;=TODAY()+60,"Due within 2 Months","OK"))))))</f>
        <v>No Data</v>
      </c>
      <c r="K2426" s="13"/>
    </row>
    <row r="2427" customFormat="false" ht="15" hidden="false" customHeight="false" outlineLevel="0" collapsed="false">
      <c r="A2427" s="9" t="str">
        <f aca="false">Vessels!B26</f>
        <v>Vessel 22</v>
      </c>
      <c r="B2427" s="9" t="s">
        <v>88</v>
      </c>
      <c r="C2427" s="7" t="s">
        <v>107</v>
      </c>
      <c r="D2427" s="9" t="s">
        <v>45</v>
      </c>
      <c r="E2427" s="9" t="s">
        <v>44</v>
      </c>
      <c r="F2427" s="5" t="n">
        <v>12</v>
      </c>
      <c r="G2427" s="10"/>
      <c r="H2427" s="11" t="str">
        <f aca="false">IFERROR(IF($D2427="Manual Review","",IF($G2427="","",IF($D2427="Direct Expiry",$G2427,EDATE($G2427,$F2427)))),"Check Date")</f>
        <v/>
      </c>
      <c r="I2427" s="12" t="str">
        <f aca="true">IF($H2427="","",IF(ISNUMBER($H2427),$H2427-TODAY(),""))</f>
        <v/>
      </c>
      <c r="J2427" s="4" t="str">
        <f aca="true">IF($D2427="Manual Review","Manual Review",IF($G2427="","No Data",IF(NOT(ISNUMBER($H2427)),"N/A",IF($H2427&lt;TODAY(),"Overdue",IF($H2427&lt;=TODAY()+30,"Due within 1 Month",IF($H2427&lt;=TODAY()+60,"Due within 2 Months","OK"))))))</f>
        <v>No Data</v>
      </c>
      <c r="K2427" s="13"/>
    </row>
    <row r="2428" customFormat="false" ht="15" hidden="false" customHeight="false" outlineLevel="0" collapsed="false">
      <c r="A2428" s="9" t="str">
        <f aca="false">Vessels!B26</f>
        <v>Vessel 22</v>
      </c>
      <c r="B2428" s="9" t="s">
        <v>88</v>
      </c>
      <c r="C2428" s="7" t="s">
        <v>108</v>
      </c>
      <c r="D2428" s="9" t="s">
        <v>45</v>
      </c>
      <c r="E2428" s="9" t="s">
        <v>109</v>
      </c>
      <c r="F2428" s="5" t="n">
        <v>12</v>
      </c>
      <c r="G2428" s="10"/>
      <c r="H2428" s="11" t="str">
        <f aca="false">IFERROR(IF($D2428="Manual Review","",IF($G2428="","",IF($D2428="Direct Expiry",$G2428,EDATE($G2428,$F2428)))),"Check Date")</f>
        <v/>
      </c>
      <c r="I2428" s="12" t="str">
        <f aca="true">IF($H2428="","",IF(ISNUMBER($H2428),$H2428-TODAY(),""))</f>
        <v/>
      </c>
      <c r="J2428" s="4" t="str">
        <f aca="true">IF($D2428="Manual Review","Manual Review",IF($G2428="","No Data",IF(NOT(ISNUMBER($H2428)),"N/A",IF($H2428&lt;TODAY(),"Overdue",IF($H2428&lt;=TODAY()+30,"Due within 1 Month",IF($H2428&lt;=TODAY()+60,"Due within 2 Months","OK"))))))</f>
        <v>No Data</v>
      </c>
      <c r="K2428" s="13"/>
    </row>
    <row r="2429" customFormat="false" ht="15" hidden="false" customHeight="false" outlineLevel="0" collapsed="false">
      <c r="A2429" s="9" t="str">
        <f aca="false">Vessels!B26</f>
        <v>Vessel 22</v>
      </c>
      <c r="B2429" s="9" t="s">
        <v>88</v>
      </c>
      <c r="C2429" s="7" t="s">
        <v>108</v>
      </c>
      <c r="D2429" s="9" t="s">
        <v>45</v>
      </c>
      <c r="E2429" s="9" t="s">
        <v>110</v>
      </c>
      <c r="F2429" s="5" t="n">
        <v>60</v>
      </c>
      <c r="G2429" s="10"/>
      <c r="H2429" s="11" t="str">
        <f aca="false">IFERROR(IF($D2429="Manual Review","",IF($G2429="","",IF($D2429="Direct Expiry",$G2429,EDATE($G2429,$F2429)))),"Check Date")</f>
        <v/>
      </c>
      <c r="I2429" s="12" t="str">
        <f aca="true">IF($H2429="","",IF(ISNUMBER($H2429),$H2429-TODAY(),""))</f>
        <v/>
      </c>
      <c r="J2429" s="4" t="str">
        <f aca="true">IF($D2429="Manual Review","Manual Review",IF($G2429="","No Data",IF(NOT(ISNUMBER($H2429)),"N/A",IF($H2429&lt;TODAY(),"Overdue",IF($H2429&lt;=TODAY()+30,"Due within 1 Month",IF($H2429&lt;=TODAY()+60,"Due within 2 Months","OK"))))))</f>
        <v>No Data</v>
      </c>
      <c r="K2429" s="13"/>
    </row>
    <row r="2430" customFormat="false" ht="15" hidden="false" customHeight="false" outlineLevel="0" collapsed="false">
      <c r="A2430" s="9" t="str">
        <f aca="false">Vessels!B26</f>
        <v>Vessel 22</v>
      </c>
      <c r="B2430" s="9" t="s">
        <v>88</v>
      </c>
      <c r="C2430" s="7" t="s">
        <v>111</v>
      </c>
      <c r="D2430" s="9" t="s">
        <v>45</v>
      </c>
      <c r="E2430" s="9" t="s">
        <v>44</v>
      </c>
      <c r="F2430" s="5" t="n">
        <v>12</v>
      </c>
      <c r="G2430" s="10"/>
      <c r="H2430" s="11" t="str">
        <f aca="false">IFERROR(IF($D2430="Manual Review","",IF($G2430="","",IF($D2430="Direct Expiry",$G2430,EDATE($G2430,$F2430)))),"Check Date")</f>
        <v/>
      </c>
      <c r="I2430" s="12" t="str">
        <f aca="true">IF($H2430="","",IF(ISNUMBER($H2430),$H2430-TODAY(),""))</f>
        <v/>
      </c>
      <c r="J2430" s="4" t="str">
        <f aca="true">IF($D2430="Manual Review","Manual Review",IF($G2430="","No Data",IF(NOT(ISNUMBER($H2430)),"N/A",IF($H2430&lt;TODAY(),"Overdue",IF($H2430&lt;=TODAY()+30,"Due within 1 Month",IF($H2430&lt;=TODAY()+60,"Due within 2 Months","OK"))))))</f>
        <v>No Data</v>
      </c>
      <c r="K2430" s="13"/>
    </row>
    <row r="2431" customFormat="false" ht="15" hidden="false" customHeight="false" outlineLevel="0" collapsed="false">
      <c r="A2431" s="9" t="str">
        <f aca="false">Vessels!B26</f>
        <v>Vessel 22</v>
      </c>
      <c r="B2431" s="9" t="s">
        <v>88</v>
      </c>
      <c r="C2431" s="7" t="s">
        <v>112</v>
      </c>
      <c r="D2431" s="9" t="s">
        <v>45</v>
      </c>
      <c r="E2431" s="9" t="s">
        <v>44</v>
      </c>
      <c r="F2431" s="5" t="n">
        <v>12</v>
      </c>
      <c r="G2431" s="10"/>
      <c r="H2431" s="11" t="str">
        <f aca="false">IFERROR(IF($D2431="Manual Review","",IF($G2431="","",IF($D2431="Direct Expiry",$G2431,EDATE($G2431,$F2431)))),"Check Date")</f>
        <v/>
      </c>
      <c r="I2431" s="12" t="str">
        <f aca="true">IF($H2431="","",IF(ISNUMBER($H2431),$H2431-TODAY(),""))</f>
        <v/>
      </c>
      <c r="J2431" s="4" t="str">
        <f aca="true">IF($D2431="Manual Review","Manual Review",IF($G2431="","No Data",IF(NOT(ISNUMBER($H2431)),"N/A",IF($H2431&lt;TODAY(),"Overdue",IF($H2431&lt;=TODAY()+30,"Due within 1 Month",IF($H2431&lt;=TODAY()+60,"Due within 2 Months","OK"))))))</f>
        <v>No Data</v>
      </c>
      <c r="K2431" s="13"/>
    </row>
    <row r="2432" customFormat="false" ht="15" hidden="false" customHeight="false" outlineLevel="0" collapsed="false">
      <c r="A2432" s="9" t="str">
        <f aca="false">Vessels!B26</f>
        <v>Vessel 22</v>
      </c>
      <c r="B2432" s="9" t="s">
        <v>88</v>
      </c>
      <c r="C2432" s="7" t="s">
        <v>113</v>
      </c>
      <c r="D2432" s="9" t="s">
        <v>115</v>
      </c>
      <c r="E2432" s="9" t="s">
        <v>114</v>
      </c>
      <c r="F2432" s="5"/>
      <c r="G2432" s="10"/>
      <c r="H2432" s="11" t="str">
        <f aca="false">IFERROR(IF($D2432="Manual Review","",IF($G2432="","",IF($D2432="Direct Expiry",$G2432,EDATE($G2432,$F2432)))),"Check Date")</f>
        <v/>
      </c>
      <c r="I2432" s="12" t="str">
        <f aca="true">IF($H2432="","",IF(ISNUMBER($H2432),$H2432-TODAY(),""))</f>
        <v/>
      </c>
      <c r="J2432" s="4" t="str">
        <f aca="true">IF($D2432="Manual Review","Manual Review",IF($G2432="","No Data",IF(NOT(ISNUMBER($H2432)),"N/A",IF($H2432&lt;TODAY(),"Overdue",IF($H2432&lt;=TODAY()+30,"Due within 1 Month",IF($H2432&lt;=TODAY()+60,"Due within 2 Months","OK"))))))</f>
        <v>Manual Review</v>
      </c>
      <c r="K2432" s="13"/>
    </row>
    <row r="2433" customFormat="false" ht="15" hidden="false" customHeight="false" outlineLevel="0" collapsed="false">
      <c r="A2433" s="9" t="str">
        <f aca="false">Vessels!B26</f>
        <v>Vessel 22</v>
      </c>
      <c r="B2433" s="9" t="s">
        <v>88</v>
      </c>
      <c r="C2433" s="7" t="s">
        <v>116</v>
      </c>
      <c r="D2433" s="9" t="s">
        <v>115</v>
      </c>
      <c r="E2433" s="9" t="s">
        <v>114</v>
      </c>
      <c r="F2433" s="5"/>
      <c r="G2433" s="10"/>
      <c r="H2433" s="11" t="str">
        <f aca="false">IFERROR(IF($D2433="Manual Review","",IF($G2433="","",IF($D2433="Direct Expiry",$G2433,EDATE($G2433,$F2433)))),"Check Date")</f>
        <v/>
      </c>
      <c r="I2433" s="12" t="str">
        <f aca="true">IF($H2433="","",IF(ISNUMBER($H2433),$H2433-TODAY(),""))</f>
        <v/>
      </c>
      <c r="J2433" s="4" t="str">
        <f aca="true">IF($D2433="Manual Review","Manual Review",IF($G2433="","No Data",IF(NOT(ISNUMBER($H2433)),"N/A",IF($H2433&lt;TODAY(),"Overdue",IF($H2433&lt;=TODAY()+30,"Due within 1 Month",IF($H2433&lt;=TODAY()+60,"Due within 2 Months","OK"))))))</f>
        <v>Manual Review</v>
      </c>
      <c r="K2433" s="13"/>
    </row>
    <row r="2434" customFormat="false" ht="15" hidden="false" customHeight="false" outlineLevel="0" collapsed="false">
      <c r="A2434" s="9" t="str">
        <f aca="false">Vessels!B26</f>
        <v>Vessel 22</v>
      </c>
      <c r="B2434" s="9" t="s">
        <v>117</v>
      </c>
      <c r="C2434" s="7" t="s">
        <v>118</v>
      </c>
      <c r="D2434" s="9" t="s">
        <v>59</v>
      </c>
      <c r="E2434" s="9" t="s">
        <v>119</v>
      </c>
      <c r="F2434" s="5"/>
      <c r="G2434" s="10"/>
      <c r="H2434" s="11" t="str">
        <f aca="false">IFERROR(IF($D2434="Manual Review","",IF($G2434="","",IF($D2434="Direct Expiry",$G2434,EDATE($G2434,$F2434)))),"Check Date")</f>
        <v/>
      </c>
      <c r="I2434" s="12" t="str">
        <f aca="true">IF($H2434="","",IF(ISNUMBER($H2434),$H2434-TODAY(),""))</f>
        <v/>
      </c>
      <c r="J2434" s="4" t="str">
        <f aca="true">IF($D2434="Manual Review","Manual Review",IF($G2434="","No Data",IF(NOT(ISNUMBER($H2434)),"N/A",IF($H2434&lt;TODAY(),"Overdue",IF($H2434&lt;=TODAY()+30,"Due within 1 Month",IF($H2434&lt;=TODAY()+60,"Due within 2 Months","OK"))))))</f>
        <v>No Data</v>
      </c>
      <c r="K2434" s="13"/>
    </row>
    <row r="2435" customFormat="false" ht="15" hidden="false" customHeight="false" outlineLevel="0" collapsed="false">
      <c r="A2435" s="9" t="str">
        <f aca="false">Vessels!B26</f>
        <v>Vessel 22</v>
      </c>
      <c r="B2435" s="9" t="s">
        <v>117</v>
      </c>
      <c r="C2435" s="7" t="s">
        <v>120</v>
      </c>
      <c r="D2435" s="9" t="s">
        <v>45</v>
      </c>
      <c r="E2435" s="9" t="s">
        <v>44</v>
      </c>
      <c r="F2435" s="5" t="n">
        <v>12</v>
      </c>
      <c r="G2435" s="10"/>
      <c r="H2435" s="11" t="str">
        <f aca="false">IFERROR(IF($D2435="Manual Review","",IF($G2435="","",IF($D2435="Direct Expiry",$G2435,EDATE($G2435,$F2435)))),"Check Date")</f>
        <v/>
      </c>
      <c r="I2435" s="12" t="str">
        <f aca="true">IF($H2435="","",IF(ISNUMBER($H2435),$H2435-TODAY(),""))</f>
        <v/>
      </c>
      <c r="J2435" s="4" t="str">
        <f aca="true">IF($D2435="Manual Review","Manual Review",IF($G2435="","No Data",IF(NOT(ISNUMBER($H2435)),"N/A",IF($H2435&lt;TODAY(),"Overdue",IF($H2435&lt;=TODAY()+30,"Due within 1 Month",IF($H2435&lt;=TODAY()+60,"Due within 2 Months","OK"))))))</f>
        <v>No Data</v>
      </c>
      <c r="K2435" s="13"/>
    </row>
    <row r="2436" customFormat="false" ht="15" hidden="false" customHeight="false" outlineLevel="0" collapsed="false">
      <c r="A2436" s="9" t="str">
        <f aca="false">Vessels!B26</f>
        <v>Vessel 22</v>
      </c>
      <c r="B2436" s="9" t="s">
        <v>117</v>
      </c>
      <c r="C2436" s="7" t="s">
        <v>121</v>
      </c>
      <c r="D2436" s="9" t="s">
        <v>45</v>
      </c>
      <c r="E2436" s="9" t="s">
        <v>44</v>
      </c>
      <c r="F2436" s="5" t="n">
        <v>12</v>
      </c>
      <c r="G2436" s="10"/>
      <c r="H2436" s="11" t="str">
        <f aca="false">IFERROR(IF($D2436="Manual Review","",IF($G2436="","",IF($D2436="Direct Expiry",$G2436,EDATE($G2436,$F2436)))),"Check Date")</f>
        <v/>
      </c>
      <c r="I2436" s="12" t="str">
        <f aca="true">IF($H2436="","",IF(ISNUMBER($H2436),$H2436-TODAY(),""))</f>
        <v/>
      </c>
      <c r="J2436" s="4" t="str">
        <f aca="true">IF($D2436="Manual Review","Manual Review",IF($G2436="","No Data",IF(NOT(ISNUMBER($H2436)),"N/A",IF($H2436&lt;TODAY(),"Overdue",IF($H2436&lt;=TODAY()+30,"Due within 1 Month",IF($H2436&lt;=TODAY()+60,"Due within 2 Months","OK"))))))</f>
        <v>No Data</v>
      </c>
      <c r="K2436" s="13"/>
    </row>
    <row r="2437" customFormat="false" ht="15" hidden="false" customHeight="false" outlineLevel="0" collapsed="false">
      <c r="A2437" s="9" t="str">
        <f aca="false">Vessels!B26</f>
        <v>Vessel 22</v>
      </c>
      <c r="B2437" s="9" t="s">
        <v>117</v>
      </c>
      <c r="C2437" s="7" t="s">
        <v>122</v>
      </c>
      <c r="D2437" s="9" t="s">
        <v>45</v>
      </c>
      <c r="E2437" s="9" t="s">
        <v>123</v>
      </c>
      <c r="F2437" s="5" t="n">
        <v>24</v>
      </c>
      <c r="G2437" s="10"/>
      <c r="H2437" s="11" t="str">
        <f aca="false">IFERROR(IF($D2437="Manual Review","",IF($G2437="","",IF($D2437="Direct Expiry",$G2437,EDATE($G2437,$F2437)))),"Check Date")</f>
        <v/>
      </c>
      <c r="I2437" s="12" t="str">
        <f aca="true">IF($H2437="","",IF(ISNUMBER($H2437),$H2437-TODAY(),""))</f>
        <v/>
      </c>
      <c r="J2437" s="4" t="str">
        <f aca="true">IF($D2437="Manual Review","Manual Review",IF($G2437="","No Data",IF(NOT(ISNUMBER($H2437)),"N/A",IF($H2437&lt;TODAY(),"Overdue",IF($H2437&lt;=TODAY()+30,"Due within 1 Month",IF($H2437&lt;=TODAY()+60,"Due within 2 Months","OK"))))))</f>
        <v>No Data</v>
      </c>
      <c r="K2437" s="13"/>
    </row>
    <row r="2438" customFormat="false" ht="15" hidden="false" customHeight="false" outlineLevel="0" collapsed="false">
      <c r="A2438" s="9" t="str">
        <f aca="false">Vessels!B26</f>
        <v>Vessel 22</v>
      </c>
      <c r="B2438" s="9" t="s">
        <v>117</v>
      </c>
      <c r="C2438" s="7" t="s">
        <v>124</v>
      </c>
      <c r="D2438" s="9" t="s">
        <v>59</v>
      </c>
      <c r="E2438" s="9" t="s">
        <v>58</v>
      </c>
      <c r="F2438" s="5"/>
      <c r="G2438" s="10"/>
      <c r="H2438" s="11" t="str">
        <f aca="false">IFERROR(IF($D2438="Manual Review","",IF($G2438="","",IF($D2438="Direct Expiry",$G2438,EDATE($G2438,$F2438)))),"Check Date")</f>
        <v/>
      </c>
      <c r="I2438" s="12" t="str">
        <f aca="true">IF($H2438="","",IF(ISNUMBER($H2438),$H2438-TODAY(),""))</f>
        <v/>
      </c>
      <c r="J2438" s="4" t="str">
        <f aca="true">IF($D2438="Manual Review","Manual Review",IF($G2438="","No Data",IF(NOT(ISNUMBER($H2438)),"N/A",IF($H2438&lt;TODAY(),"Overdue",IF($H2438&lt;=TODAY()+30,"Due within 1 Month",IF($H2438&lt;=TODAY()+60,"Due within 2 Months","OK"))))))</f>
        <v>No Data</v>
      </c>
      <c r="K2438" s="13"/>
    </row>
    <row r="2439" customFormat="false" ht="15" hidden="false" customHeight="false" outlineLevel="0" collapsed="false">
      <c r="A2439" s="9" t="str">
        <f aca="false">Vessels!B26</f>
        <v>Vessel 22</v>
      </c>
      <c r="B2439" s="9" t="s">
        <v>117</v>
      </c>
      <c r="C2439" s="7" t="s">
        <v>125</v>
      </c>
      <c r="D2439" s="9" t="s">
        <v>59</v>
      </c>
      <c r="E2439" s="9" t="s">
        <v>58</v>
      </c>
      <c r="F2439" s="5"/>
      <c r="G2439" s="10"/>
      <c r="H2439" s="11" t="str">
        <f aca="false">IFERROR(IF($D2439="Manual Review","",IF($G2439="","",IF($D2439="Direct Expiry",$G2439,EDATE($G2439,$F2439)))),"Check Date")</f>
        <v/>
      </c>
      <c r="I2439" s="12" t="str">
        <f aca="true">IF($H2439="","",IF(ISNUMBER($H2439),$H2439-TODAY(),""))</f>
        <v/>
      </c>
      <c r="J2439" s="4" t="str">
        <f aca="true">IF($D2439="Manual Review","Manual Review",IF($G2439="","No Data",IF(NOT(ISNUMBER($H2439)),"N/A",IF($H2439&lt;TODAY(),"Overdue",IF($H2439&lt;=TODAY()+30,"Due within 1 Month",IF($H2439&lt;=TODAY()+60,"Due within 2 Months","OK"))))))</f>
        <v>No Data</v>
      </c>
      <c r="K2439" s="13"/>
    </row>
    <row r="2440" customFormat="false" ht="15" hidden="false" customHeight="false" outlineLevel="0" collapsed="false">
      <c r="A2440" s="9" t="str">
        <f aca="false">Vessels!B26</f>
        <v>Vessel 22</v>
      </c>
      <c r="B2440" s="9" t="s">
        <v>117</v>
      </c>
      <c r="C2440" s="7" t="s">
        <v>126</v>
      </c>
      <c r="D2440" s="9" t="s">
        <v>45</v>
      </c>
      <c r="E2440" s="9" t="s">
        <v>44</v>
      </c>
      <c r="F2440" s="5" t="n">
        <v>12</v>
      </c>
      <c r="G2440" s="10"/>
      <c r="H2440" s="11" t="str">
        <f aca="false">IFERROR(IF($D2440="Manual Review","",IF($G2440="","",IF($D2440="Direct Expiry",$G2440,EDATE($G2440,$F2440)))),"Check Date")</f>
        <v/>
      </c>
      <c r="I2440" s="12" t="str">
        <f aca="true">IF($H2440="","",IF(ISNUMBER($H2440),$H2440-TODAY(),""))</f>
        <v/>
      </c>
      <c r="J2440" s="4" t="str">
        <f aca="true">IF($D2440="Manual Review","Manual Review",IF($G2440="","No Data",IF(NOT(ISNUMBER($H2440)),"N/A",IF($H2440&lt;TODAY(),"Overdue",IF($H2440&lt;=TODAY()+30,"Due within 1 Month",IF($H2440&lt;=TODAY()+60,"Due within 2 Months","OK"))))))</f>
        <v>No Data</v>
      </c>
      <c r="K2440" s="13"/>
    </row>
    <row r="2441" customFormat="false" ht="15" hidden="false" customHeight="false" outlineLevel="0" collapsed="false">
      <c r="A2441" s="9" t="str">
        <f aca="false">Vessels!B26</f>
        <v>Vessel 22</v>
      </c>
      <c r="B2441" s="9" t="s">
        <v>117</v>
      </c>
      <c r="C2441" s="7" t="s">
        <v>127</v>
      </c>
      <c r="D2441" s="9" t="s">
        <v>59</v>
      </c>
      <c r="E2441" s="9" t="s">
        <v>58</v>
      </c>
      <c r="F2441" s="5"/>
      <c r="G2441" s="10"/>
      <c r="H2441" s="11" t="str">
        <f aca="false">IFERROR(IF($D2441="Manual Review","",IF($G2441="","",IF($D2441="Direct Expiry",$G2441,EDATE($G2441,$F2441)))),"Check Date")</f>
        <v/>
      </c>
      <c r="I2441" s="12" t="str">
        <f aca="true">IF($H2441="","",IF(ISNUMBER($H2441),$H2441-TODAY(),""))</f>
        <v/>
      </c>
      <c r="J2441" s="4" t="str">
        <f aca="true">IF($D2441="Manual Review","Manual Review",IF($G2441="","No Data",IF(NOT(ISNUMBER($H2441)),"N/A",IF($H2441&lt;TODAY(),"Overdue",IF($H2441&lt;=TODAY()+30,"Due within 1 Month",IF($H2441&lt;=TODAY()+60,"Due within 2 Months","OK"))))))</f>
        <v>No Data</v>
      </c>
      <c r="K2441" s="13"/>
    </row>
    <row r="2442" customFormat="false" ht="15" hidden="false" customHeight="false" outlineLevel="0" collapsed="false">
      <c r="A2442" s="9" t="str">
        <f aca="false">Vessels!B26</f>
        <v>Vessel 22</v>
      </c>
      <c r="B2442" s="9" t="s">
        <v>117</v>
      </c>
      <c r="C2442" s="7" t="s">
        <v>128</v>
      </c>
      <c r="D2442" s="9" t="s">
        <v>59</v>
      </c>
      <c r="E2442" s="9" t="s">
        <v>58</v>
      </c>
      <c r="F2442" s="5"/>
      <c r="G2442" s="10"/>
      <c r="H2442" s="11" t="str">
        <f aca="false">IFERROR(IF($D2442="Manual Review","",IF($G2442="","",IF($D2442="Direct Expiry",$G2442,EDATE($G2442,$F2442)))),"Check Date")</f>
        <v/>
      </c>
      <c r="I2442" s="12" t="str">
        <f aca="true">IF($H2442="","",IF(ISNUMBER($H2442),$H2442-TODAY(),""))</f>
        <v/>
      </c>
      <c r="J2442" s="4" t="str">
        <f aca="true">IF($D2442="Manual Review","Manual Review",IF($G2442="","No Data",IF(NOT(ISNUMBER($H2442)),"N/A",IF($H2442&lt;TODAY(),"Overdue",IF($H2442&lt;=TODAY()+30,"Due within 1 Month",IF($H2442&lt;=TODAY()+60,"Due within 2 Months","OK"))))))</f>
        <v>No Data</v>
      </c>
      <c r="K2442" s="13"/>
    </row>
    <row r="2443" customFormat="false" ht="15" hidden="false" customHeight="false" outlineLevel="0" collapsed="false">
      <c r="A2443" s="9" t="str">
        <f aca="false">Vessels!B26</f>
        <v>Vessel 22</v>
      </c>
      <c r="B2443" s="9" t="s">
        <v>117</v>
      </c>
      <c r="C2443" s="7" t="s">
        <v>129</v>
      </c>
      <c r="D2443" s="9" t="s">
        <v>59</v>
      </c>
      <c r="E2443" s="9" t="s">
        <v>58</v>
      </c>
      <c r="F2443" s="5"/>
      <c r="G2443" s="10"/>
      <c r="H2443" s="11" t="str">
        <f aca="false">IFERROR(IF($D2443="Manual Review","",IF($G2443="","",IF($D2443="Direct Expiry",$G2443,EDATE($G2443,$F2443)))),"Check Date")</f>
        <v/>
      </c>
      <c r="I2443" s="12" t="str">
        <f aca="true">IF($H2443="","",IF(ISNUMBER($H2443),$H2443-TODAY(),""))</f>
        <v/>
      </c>
      <c r="J2443" s="4" t="str">
        <f aca="true">IF($D2443="Manual Review","Manual Review",IF($G2443="","No Data",IF(NOT(ISNUMBER($H2443)),"N/A",IF($H2443&lt;TODAY(),"Overdue",IF($H2443&lt;=TODAY()+30,"Due within 1 Month",IF($H2443&lt;=TODAY()+60,"Due within 2 Months","OK"))))))</f>
        <v>No Data</v>
      </c>
      <c r="K2443" s="13"/>
    </row>
    <row r="2444" customFormat="false" ht="15" hidden="false" customHeight="false" outlineLevel="0" collapsed="false">
      <c r="A2444" s="9" t="str">
        <f aca="false">Vessels!B26</f>
        <v>Vessel 22</v>
      </c>
      <c r="B2444" s="9" t="s">
        <v>117</v>
      </c>
      <c r="C2444" s="7" t="s">
        <v>130</v>
      </c>
      <c r="D2444" s="9" t="s">
        <v>45</v>
      </c>
      <c r="E2444" s="9" t="s">
        <v>44</v>
      </c>
      <c r="F2444" s="5" t="n">
        <v>12</v>
      </c>
      <c r="G2444" s="10"/>
      <c r="H2444" s="11" t="str">
        <f aca="false">IFERROR(IF($D2444="Manual Review","",IF($G2444="","",IF($D2444="Direct Expiry",$G2444,EDATE($G2444,$F2444)))),"Check Date")</f>
        <v/>
      </c>
      <c r="I2444" s="12" t="str">
        <f aca="true">IF($H2444="","",IF(ISNUMBER($H2444),$H2444-TODAY(),""))</f>
        <v/>
      </c>
      <c r="J2444" s="4" t="str">
        <f aca="true">IF($D2444="Manual Review","Manual Review",IF($G2444="","No Data",IF(NOT(ISNUMBER($H2444)),"N/A",IF($H2444&lt;TODAY(),"Overdue",IF($H2444&lt;=TODAY()+30,"Due within 1 Month",IF($H2444&lt;=TODAY()+60,"Due within 2 Months","OK"))))))</f>
        <v>No Data</v>
      </c>
      <c r="K2444" s="13"/>
    </row>
    <row r="2445" customFormat="false" ht="15" hidden="false" customHeight="false" outlineLevel="0" collapsed="false">
      <c r="A2445" s="9" t="str">
        <f aca="false">Vessels!B26</f>
        <v>Vessel 22</v>
      </c>
      <c r="B2445" s="9" t="s">
        <v>117</v>
      </c>
      <c r="C2445" s="7" t="s">
        <v>131</v>
      </c>
      <c r="D2445" s="9" t="s">
        <v>45</v>
      </c>
      <c r="E2445" s="9" t="s">
        <v>44</v>
      </c>
      <c r="F2445" s="5" t="n">
        <v>12</v>
      </c>
      <c r="G2445" s="10"/>
      <c r="H2445" s="11" t="str">
        <f aca="false">IFERROR(IF($D2445="Manual Review","",IF($G2445="","",IF($D2445="Direct Expiry",$G2445,EDATE($G2445,$F2445)))),"Check Date")</f>
        <v/>
      </c>
      <c r="I2445" s="12" t="str">
        <f aca="true">IF($H2445="","",IF(ISNUMBER($H2445),$H2445-TODAY(),""))</f>
        <v/>
      </c>
      <c r="J2445" s="4" t="str">
        <f aca="true">IF($D2445="Manual Review","Manual Review",IF($G2445="","No Data",IF(NOT(ISNUMBER($H2445)),"N/A",IF($H2445&lt;TODAY(),"Overdue",IF($H2445&lt;=TODAY()+30,"Due within 1 Month",IF($H2445&lt;=TODAY()+60,"Due within 2 Months","OK"))))))</f>
        <v>No Data</v>
      </c>
      <c r="K2445" s="13"/>
    </row>
    <row r="2446" customFormat="false" ht="15" hidden="false" customHeight="false" outlineLevel="0" collapsed="false">
      <c r="A2446" s="9" t="str">
        <f aca="false">Vessels!B26</f>
        <v>Vessel 22</v>
      </c>
      <c r="B2446" s="9" t="s">
        <v>117</v>
      </c>
      <c r="C2446" s="7" t="s">
        <v>132</v>
      </c>
      <c r="D2446" s="9" t="s">
        <v>45</v>
      </c>
      <c r="E2446" s="9" t="s">
        <v>44</v>
      </c>
      <c r="F2446" s="5" t="n">
        <v>12</v>
      </c>
      <c r="G2446" s="10"/>
      <c r="H2446" s="11" t="str">
        <f aca="false">IFERROR(IF($D2446="Manual Review","",IF($G2446="","",IF($D2446="Direct Expiry",$G2446,EDATE($G2446,$F2446)))),"Check Date")</f>
        <v/>
      </c>
      <c r="I2446" s="12" t="str">
        <f aca="true">IF($H2446="","",IF(ISNUMBER($H2446),$H2446-TODAY(),""))</f>
        <v/>
      </c>
      <c r="J2446" s="4" t="str">
        <f aca="true">IF($D2446="Manual Review","Manual Review",IF($G2446="","No Data",IF(NOT(ISNUMBER($H2446)),"N/A",IF($H2446&lt;TODAY(),"Overdue",IF($H2446&lt;=TODAY()+30,"Due within 1 Month",IF($H2446&lt;=TODAY()+60,"Due within 2 Months","OK"))))))</f>
        <v>No Data</v>
      </c>
      <c r="K2446" s="13"/>
    </row>
    <row r="2447" customFormat="false" ht="15" hidden="false" customHeight="false" outlineLevel="0" collapsed="false">
      <c r="A2447" s="9" t="str">
        <f aca="false">Vessels!B26</f>
        <v>Vessel 22</v>
      </c>
      <c r="B2447" s="9" t="s">
        <v>117</v>
      </c>
      <c r="C2447" s="7" t="s">
        <v>133</v>
      </c>
      <c r="D2447" s="9" t="s">
        <v>45</v>
      </c>
      <c r="E2447" s="9" t="s">
        <v>44</v>
      </c>
      <c r="F2447" s="5" t="n">
        <v>12</v>
      </c>
      <c r="G2447" s="10"/>
      <c r="H2447" s="11" t="str">
        <f aca="false">IFERROR(IF($D2447="Manual Review","",IF($G2447="","",IF($D2447="Direct Expiry",$G2447,EDATE($G2447,$F2447)))),"Check Date")</f>
        <v/>
      </c>
      <c r="I2447" s="12" t="str">
        <f aca="true">IF($H2447="","",IF(ISNUMBER($H2447),$H2447-TODAY(),""))</f>
        <v/>
      </c>
      <c r="J2447" s="4" t="str">
        <f aca="true">IF($D2447="Manual Review","Manual Review",IF($G2447="","No Data",IF(NOT(ISNUMBER($H2447)),"N/A",IF($H2447&lt;TODAY(),"Overdue",IF($H2447&lt;=TODAY()+30,"Due within 1 Month",IF($H2447&lt;=TODAY()+60,"Due within 2 Months","OK"))))))</f>
        <v>No Data</v>
      </c>
      <c r="K2447" s="13"/>
    </row>
    <row r="2448" customFormat="false" ht="15" hidden="false" customHeight="false" outlineLevel="0" collapsed="false">
      <c r="A2448" s="9" t="str">
        <f aca="false">Vessels!B26</f>
        <v>Vessel 22</v>
      </c>
      <c r="B2448" s="9" t="s">
        <v>117</v>
      </c>
      <c r="C2448" s="7" t="s">
        <v>134</v>
      </c>
      <c r="D2448" s="9" t="s">
        <v>45</v>
      </c>
      <c r="E2448" s="9" t="s">
        <v>44</v>
      </c>
      <c r="F2448" s="5" t="n">
        <v>12</v>
      </c>
      <c r="G2448" s="10"/>
      <c r="H2448" s="11" t="str">
        <f aca="false">IFERROR(IF($D2448="Manual Review","",IF($G2448="","",IF($D2448="Direct Expiry",$G2448,EDATE($G2448,$F2448)))),"Check Date")</f>
        <v/>
      </c>
      <c r="I2448" s="12" t="str">
        <f aca="true">IF($H2448="","",IF(ISNUMBER($H2448),$H2448-TODAY(),""))</f>
        <v/>
      </c>
      <c r="J2448" s="4" t="str">
        <f aca="true">IF($D2448="Manual Review","Manual Review",IF($G2448="","No Data",IF(NOT(ISNUMBER($H2448)),"N/A",IF($H2448&lt;TODAY(),"Overdue",IF($H2448&lt;=TODAY()+30,"Due within 1 Month",IF($H2448&lt;=TODAY()+60,"Due within 2 Months","OK"))))))</f>
        <v>No Data</v>
      </c>
      <c r="K2448" s="13"/>
    </row>
    <row r="2449" customFormat="false" ht="15" hidden="false" customHeight="false" outlineLevel="0" collapsed="false">
      <c r="A2449" s="9" t="str">
        <f aca="false">Vessels!B26</f>
        <v>Vessel 22</v>
      </c>
      <c r="B2449" s="9" t="s">
        <v>117</v>
      </c>
      <c r="C2449" s="7" t="s">
        <v>135</v>
      </c>
      <c r="D2449" s="9" t="s">
        <v>45</v>
      </c>
      <c r="E2449" s="9" t="s">
        <v>44</v>
      </c>
      <c r="F2449" s="5" t="n">
        <v>12</v>
      </c>
      <c r="G2449" s="10"/>
      <c r="H2449" s="11" t="str">
        <f aca="false">IFERROR(IF($D2449="Manual Review","",IF($G2449="","",IF($D2449="Direct Expiry",$G2449,EDATE($G2449,$F2449)))),"Check Date")</f>
        <v/>
      </c>
      <c r="I2449" s="12" t="str">
        <f aca="true">IF($H2449="","",IF(ISNUMBER($H2449),$H2449-TODAY(),""))</f>
        <v/>
      </c>
      <c r="J2449" s="4" t="str">
        <f aca="true">IF($D2449="Manual Review","Manual Review",IF($G2449="","No Data",IF(NOT(ISNUMBER($H2449)),"N/A",IF($H2449&lt;TODAY(),"Overdue",IF($H2449&lt;=TODAY()+30,"Due within 1 Month",IF($H2449&lt;=TODAY()+60,"Due within 2 Months","OK"))))))</f>
        <v>No Data</v>
      </c>
      <c r="K2449" s="13"/>
    </row>
    <row r="2450" customFormat="false" ht="15" hidden="false" customHeight="false" outlineLevel="0" collapsed="false">
      <c r="A2450" s="9" t="str">
        <f aca="false">Vessels!B26</f>
        <v>Vessel 22</v>
      </c>
      <c r="B2450" s="9" t="s">
        <v>136</v>
      </c>
      <c r="C2450" s="7" t="s">
        <v>137</v>
      </c>
      <c r="D2450" s="9" t="s">
        <v>45</v>
      </c>
      <c r="E2450" s="9" t="s">
        <v>44</v>
      </c>
      <c r="F2450" s="5" t="n">
        <v>12</v>
      </c>
      <c r="G2450" s="10"/>
      <c r="H2450" s="11" t="str">
        <f aca="false">IFERROR(IF($D2450="Manual Review","",IF($G2450="","",IF($D2450="Direct Expiry",$G2450,EDATE($G2450,$F2450)))),"Check Date")</f>
        <v/>
      </c>
      <c r="I2450" s="12" t="str">
        <f aca="true">IF($H2450="","",IF(ISNUMBER($H2450),$H2450-TODAY(),""))</f>
        <v/>
      </c>
      <c r="J2450" s="4" t="str">
        <f aca="true">IF($D2450="Manual Review","Manual Review",IF($G2450="","No Data",IF(NOT(ISNUMBER($H2450)),"N/A",IF($H2450&lt;TODAY(),"Overdue",IF($H2450&lt;=TODAY()+30,"Due within 1 Month",IF($H2450&lt;=TODAY()+60,"Due within 2 Months","OK"))))))</f>
        <v>No Data</v>
      </c>
      <c r="K2450" s="13"/>
    </row>
    <row r="2451" customFormat="false" ht="15" hidden="false" customHeight="false" outlineLevel="0" collapsed="false">
      <c r="A2451" s="9" t="str">
        <f aca="false">Vessels!B26</f>
        <v>Vessel 22</v>
      </c>
      <c r="B2451" s="9" t="s">
        <v>136</v>
      </c>
      <c r="C2451" s="7" t="s">
        <v>138</v>
      </c>
      <c r="D2451" s="9" t="s">
        <v>45</v>
      </c>
      <c r="E2451" s="9" t="s">
        <v>44</v>
      </c>
      <c r="F2451" s="5" t="n">
        <v>12</v>
      </c>
      <c r="G2451" s="10"/>
      <c r="H2451" s="11" t="str">
        <f aca="false">IFERROR(IF($D2451="Manual Review","",IF($G2451="","",IF($D2451="Direct Expiry",$G2451,EDATE($G2451,$F2451)))),"Check Date")</f>
        <v/>
      </c>
      <c r="I2451" s="12" t="str">
        <f aca="true">IF($H2451="","",IF(ISNUMBER($H2451),$H2451-TODAY(),""))</f>
        <v/>
      </c>
      <c r="J2451" s="4" t="str">
        <f aca="true">IF($D2451="Manual Review","Manual Review",IF($G2451="","No Data",IF(NOT(ISNUMBER($H2451)),"N/A",IF($H2451&lt;TODAY(),"Overdue",IF($H2451&lt;=TODAY()+30,"Due within 1 Month",IF($H2451&lt;=TODAY()+60,"Due within 2 Months","OK"))))))</f>
        <v>No Data</v>
      </c>
      <c r="K2451" s="13"/>
    </row>
    <row r="2452" customFormat="false" ht="15" hidden="false" customHeight="false" outlineLevel="0" collapsed="false">
      <c r="A2452" s="9" t="str">
        <f aca="false">Vessels!B26</f>
        <v>Vessel 22</v>
      </c>
      <c r="B2452" s="9" t="s">
        <v>136</v>
      </c>
      <c r="C2452" s="7" t="s">
        <v>139</v>
      </c>
      <c r="D2452" s="9" t="s">
        <v>45</v>
      </c>
      <c r="E2452" s="9" t="s">
        <v>140</v>
      </c>
      <c r="F2452" s="5" t="n">
        <v>12</v>
      </c>
      <c r="G2452" s="10"/>
      <c r="H2452" s="11" t="str">
        <f aca="false">IFERROR(IF($D2452="Manual Review","",IF($G2452="","",IF($D2452="Direct Expiry",$G2452,EDATE($G2452,$F2452)))),"Check Date")</f>
        <v/>
      </c>
      <c r="I2452" s="12" t="str">
        <f aca="true">IF($H2452="","",IF(ISNUMBER($H2452),$H2452-TODAY(),""))</f>
        <v/>
      </c>
      <c r="J2452" s="4" t="str">
        <f aca="true">IF($D2452="Manual Review","Manual Review",IF($G2452="","No Data",IF(NOT(ISNUMBER($H2452)),"N/A",IF($H2452&lt;TODAY(),"Overdue",IF($H2452&lt;=TODAY()+30,"Due within 1 Month",IF($H2452&lt;=TODAY()+60,"Due within 2 Months","OK"))))))</f>
        <v>No Data</v>
      </c>
      <c r="K2452" s="13"/>
    </row>
    <row r="2453" customFormat="false" ht="15" hidden="false" customHeight="false" outlineLevel="0" collapsed="false">
      <c r="A2453" s="9" t="str">
        <f aca="false">Vessels!B26</f>
        <v>Vessel 22</v>
      </c>
      <c r="B2453" s="9" t="s">
        <v>136</v>
      </c>
      <c r="C2453" s="7" t="s">
        <v>141</v>
      </c>
      <c r="D2453" s="9" t="s">
        <v>45</v>
      </c>
      <c r="E2453" s="9" t="s">
        <v>44</v>
      </c>
      <c r="F2453" s="5" t="n">
        <v>12</v>
      </c>
      <c r="G2453" s="10"/>
      <c r="H2453" s="11" t="str">
        <f aca="false">IFERROR(IF($D2453="Manual Review","",IF($G2453="","",IF($D2453="Direct Expiry",$G2453,EDATE($G2453,$F2453)))),"Check Date")</f>
        <v/>
      </c>
      <c r="I2453" s="12" t="str">
        <f aca="true">IF($H2453="","",IF(ISNUMBER($H2453),$H2453-TODAY(),""))</f>
        <v/>
      </c>
      <c r="J2453" s="4" t="str">
        <f aca="true">IF($D2453="Manual Review","Manual Review",IF($G2453="","No Data",IF(NOT(ISNUMBER($H2453)),"N/A",IF($H2453&lt;TODAY(),"Overdue",IF($H2453&lt;=TODAY()+30,"Due within 1 Month",IF($H2453&lt;=TODAY()+60,"Due within 2 Months","OK"))))))</f>
        <v>No Data</v>
      </c>
      <c r="K2453" s="13"/>
    </row>
    <row r="2454" customFormat="false" ht="15" hidden="false" customHeight="false" outlineLevel="0" collapsed="false">
      <c r="A2454" s="9" t="str">
        <f aca="false">Vessels!B26</f>
        <v>Vessel 22</v>
      </c>
      <c r="B2454" s="9" t="s">
        <v>136</v>
      </c>
      <c r="C2454" s="7" t="s">
        <v>142</v>
      </c>
      <c r="D2454" s="9" t="s">
        <v>115</v>
      </c>
      <c r="E2454" s="9" t="s">
        <v>143</v>
      </c>
      <c r="F2454" s="5"/>
      <c r="G2454" s="10"/>
      <c r="H2454" s="11" t="str">
        <f aca="false">IFERROR(IF($D2454="Manual Review","",IF($G2454="","",IF($D2454="Direct Expiry",$G2454,EDATE($G2454,$F2454)))),"Check Date")</f>
        <v/>
      </c>
      <c r="I2454" s="12" t="str">
        <f aca="true">IF($H2454="","",IF(ISNUMBER($H2454),$H2454-TODAY(),""))</f>
        <v/>
      </c>
      <c r="J2454" s="4" t="str">
        <f aca="true">IF($D2454="Manual Review","Manual Review",IF($G2454="","No Data",IF(NOT(ISNUMBER($H2454)),"N/A",IF($H2454&lt;TODAY(),"Overdue",IF($H2454&lt;=TODAY()+30,"Due within 1 Month",IF($H2454&lt;=TODAY()+60,"Due within 2 Months","OK"))))))</f>
        <v>Manual Review</v>
      </c>
      <c r="K2454" s="13"/>
    </row>
    <row r="2455" customFormat="false" ht="15" hidden="false" customHeight="false" outlineLevel="0" collapsed="false">
      <c r="A2455" s="9" t="str">
        <f aca="false">Vessels!B26</f>
        <v>Vessel 22</v>
      </c>
      <c r="B2455" s="9" t="s">
        <v>136</v>
      </c>
      <c r="C2455" s="7" t="s">
        <v>144</v>
      </c>
      <c r="D2455" s="9" t="s">
        <v>45</v>
      </c>
      <c r="E2455" s="9" t="s">
        <v>44</v>
      </c>
      <c r="F2455" s="5" t="n">
        <v>12</v>
      </c>
      <c r="G2455" s="10"/>
      <c r="H2455" s="11" t="str">
        <f aca="false">IFERROR(IF($D2455="Manual Review","",IF($G2455="","",IF($D2455="Direct Expiry",$G2455,EDATE($G2455,$F2455)))),"Check Date")</f>
        <v/>
      </c>
      <c r="I2455" s="12" t="str">
        <f aca="true">IF($H2455="","",IF(ISNUMBER($H2455),$H2455-TODAY(),""))</f>
        <v/>
      </c>
      <c r="J2455" s="4" t="str">
        <f aca="true">IF($D2455="Manual Review","Manual Review",IF($G2455="","No Data",IF(NOT(ISNUMBER($H2455)),"N/A",IF($H2455&lt;TODAY(),"Overdue",IF($H2455&lt;=TODAY()+30,"Due within 1 Month",IF($H2455&lt;=TODAY()+60,"Due within 2 Months","OK"))))))</f>
        <v>No Data</v>
      </c>
      <c r="K2455" s="13"/>
    </row>
    <row r="2456" customFormat="false" ht="15" hidden="false" customHeight="false" outlineLevel="0" collapsed="false">
      <c r="A2456" s="9" t="str">
        <f aca="false">Vessels!B26</f>
        <v>Vessel 22</v>
      </c>
      <c r="B2456" s="9" t="s">
        <v>136</v>
      </c>
      <c r="C2456" s="7" t="s">
        <v>145</v>
      </c>
      <c r="D2456" s="9" t="s">
        <v>45</v>
      </c>
      <c r="E2456" s="9" t="s">
        <v>44</v>
      </c>
      <c r="F2456" s="5" t="n">
        <v>12</v>
      </c>
      <c r="G2456" s="10"/>
      <c r="H2456" s="11" t="str">
        <f aca="false">IFERROR(IF($D2456="Manual Review","",IF($G2456="","",IF($D2456="Direct Expiry",$G2456,EDATE($G2456,$F2456)))),"Check Date")</f>
        <v/>
      </c>
      <c r="I2456" s="12" t="str">
        <f aca="true">IF($H2456="","",IF(ISNUMBER($H2456),$H2456-TODAY(),""))</f>
        <v/>
      </c>
      <c r="J2456" s="4" t="str">
        <f aca="true">IF($D2456="Manual Review","Manual Review",IF($G2456="","No Data",IF(NOT(ISNUMBER($H2456)),"N/A",IF($H2456&lt;TODAY(),"Overdue",IF($H2456&lt;=TODAY()+30,"Due within 1 Month",IF($H2456&lt;=TODAY()+60,"Due within 2 Months","OK"))))))</f>
        <v>No Data</v>
      </c>
      <c r="K2456" s="13"/>
    </row>
    <row r="2457" customFormat="false" ht="15" hidden="false" customHeight="false" outlineLevel="0" collapsed="false">
      <c r="A2457" s="9" t="str">
        <f aca="false">Vessels!B26</f>
        <v>Vessel 22</v>
      </c>
      <c r="B2457" s="9" t="s">
        <v>136</v>
      </c>
      <c r="C2457" s="7" t="s">
        <v>146</v>
      </c>
      <c r="D2457" s="9" t="s">
        <v>45</v>
      </c>
      <c r="E2457" s="9" t="s">
        <v>44</v>
      </c>
      <c r="F2457" s="5" t="n">
        <v>12</v>
      </c>
      <c r="G2457" s="10"/>
      <c r="H2457" s="11" t="str">
        <f aca="false">IFERROR(IF($D2457="Manual Review","",IF($G2457="","",IF($D2457="Direct Expiry",$G2457,EDATE($G2457,$F2457)))),"Check Date")</f>
        <v/>
      </c>
      <c r="I2457" s="12" t="str">
        <f aca="true">IF($H2457="","",IF(ISNUMBER($H2457),$H2457-TODAY(),""))</f>
        <v/>
      </c>
      <c r="J2457" s="4" t="str">
        <f aca="true">IF($D2457="Manual Review","Manual Review",IF($G2457="","No Data",IF(NOT(ISNUMBER($H2457)),"N/A",IF($H2457&lt;TODAY(),"Overdue",IF($H2457&lt;=TODAY()+30,"Due within 1 Month",IF($H2457&lt;=TODAY()+60,"Due within 2 Months","OK"))))))</f>
        <v>No Data</v>
      </c>
      <c r="K2457" s="13"/>
    </row>
    <row r="2458" customFormat="false" ht="15" hidden="false" customHeight="false" outlineLevel="0" collapsed="false">
      <c r="A2458" s="9" t="str">
        <f aca="false">Vessels!B26</f>
        <v>Vessel 22</v>
      </c>
      <c r="B2458" s="9" t="s">
        <v>136</v>
      </c>
      <c r="C2458" s="7" t="s">
        <v>147</v>
      </c>
      <c r="D2458" s="9" t="s">
        <v>45</v>
      </c>
      <c r="E2458" s="9" t="s">
        <v>44</v>
      </c>
      <c r="F2458" s="5" t="n">
        <v>12</v>
      </c>
      <c r="G2458" s="10"/>
      <c r="H2458" s="11" t="str">
        <f aca="false">IFERROR(IF($D2458="Manual Review","",IF($G2458="","",IF($D2458="Direct Expiry",$G2458,EDATE($G2458,$F2458)))),"Check Date")</f>
        <v/>
      </c>
      <c r="I2458" s="12" t="str">
        <f aca="true">IF($H2458="","",IF(ISNUMBER($H2458),$H2458-TODAY(),""))</f>
        <v/>
      </c>
      <c r="J2458" s="4" t="str">
        <f aca="true">IF($D2458="Manual Review","Manual Review",IF($G2458="","No Data",IF(NOT(ISNUMBER($H2458)),"N/A",IF($H2458&lt;TODAY(),"Overdue",IF($H2458&lt;=TODAY()+30,"Due within 1 Month",IF($H2458&lt;=TODAY()+60,"Due within 2 Months","OK"))))))</f>
        <v>No Data</v>
      </c>
      <c r="K2458" s="13"/>
    </row>
    <row r="2459" customFormat="false" ht="15" hidden="false" customHeight="false" outlineLevel="0" collapsed="false">
      <c r="A2459" s="9" t="str">
        <f aca="false">Vessels!B26</f>
        <v>Vessel 22</v>
      </c>
      <c r="B2459" s="9" t="s">
        <v>136</v>
      </c>
      <c r="C2459" s="7" t="s">
        <v>148</v>
      </c>
      <c r="D2459" s="9" t="s">
        <v>45</v>
      </c>
      <c r="E2459" s="9" t="s">
        <v>44</v>
      </c>
      <c r="F2459" s="5" t="n">
        <v>12</v>
      </c>
      <c r="G2459" s="10"/>
      <c r="H2459" s="11" t="str">
        <f aca="false">IFERROR(IF($D2459="Manual Review","",IF($G2459="","",IF($D2459="Direct Expiry",$G2459,EDATE($G2459,$F2459)))),"Check Date")</f>
        <v/>
      </c>
      <c r="I2459" s="12" t="str">
        <f aca="true">IF($H2459="","",IF(ISNUMBER($H2459),$H2459-TODAY(),""))</f>
        <v/>
      </c>
      <c r="J2459" s="4" t="str">
        <f aca="true">IF($D2459="Manual Review","Manual Review",IF($G2459="","No Data",IF(NOT(ISNUMBER($H2459)),"N/A",IF($H2459&lt;TODAY(),"Overdue",IF($H2459&lt;=TODAY()+30,"Due within 1 Month",IF($H2459&lt;=TODAY()+60,"Due within 2 Months","OK"))))))</f>
        <v>No Data</v>
      </c>
      <c r="K2459" s="13"/>
    </row>
    <row r="2460" customFormat="false" ht="15" hidden="false" customHeight="false" outlineLevel="0" collapsed="false">
      <c r="A2460" s="9" t="str">
        <f aca="false">Vessels!B26</f>
        <v>Vessel 22</v>
      </c>
      <c r="B2460" s="9" t="s">
        <v>136</v>
      </c>
      <c r="C2460" s="7" t="s">
        <v>149</v>
      </c>
      <c r="D2460" s="9" t="s">
        <v>45</v>
      </c>
      <c r="E2460" s="9" t="s">
        <v>44</v>
      </c>
      <c r="F2460" s="5" t="n">
        <v>12</v>
      </c>
      <c r="G2460" s="10"/>
      <c r="H2460" s="11" t="str">
        <f aca="false">IFERROR(IF($D2460="Manual Review","",IF($G2460="","",IF($D2460="Direct Expiry",$G2460,EDATE($G2460,$F2460)))),"Check Date")</f>
        <v/>
      </c>
      <c r="I2460" s="12" t="str">
        <f aca="true">IF($H2460="","",IF(ISNUMBER($H2460),$H2460-TODAY(),""))</f>
        <v/>
      </c>
      <c r="J2460" s="4" t="str">
        <f aca="true">IF($D2460="Manual Review","Manual Review",IF($G2460="","No Data",IF(NOT(ISNUMBER($H2460)),"N/A",IF($H2460&lt;TODAY(),"Overdue",IF($H2460&lt;=TODAY()+30,"Due within 1 Month",IF($H2460&lt;=TODAY()+60,"Due within 2 Months","OK"))))))</f>
        <v>No Data</v>
      </c>
      <c r="K2460" s="13"/>
    </row>
    <row r="2461" customFormat="false" ht="15" hidden="false" customHeight="false" outlineLevel="0" collapsed="false">
      <c r="A2461" s="9" t="str">
        <f aca="false">Vessels!B26</f>
        <v>Vessel 22</v>
      </c>
      <c r="B2461" s="9" t="s">
        <v>136</v>
      </c>
      <c r="C2461" s="7" t="s">
        <v>150</v>
      </c>
      <c r="D2461" s="9" t="s">
        <v>45</v>
      </c>
      <c r="E2461" s="9" t="s">
        <v>44</v>
      </c>
      <c r="F2461" s="5" t="n">
        <v>12</v>
      </c>
      <c r="G2461" s="10"/>
      <c r="H2461" s="11" t="str">
        <f aca="false">IFERROR(IF($D2461="Manual Review","",IF($G2461="","",IF($D2461="Direct Expiry",$G2461,EDATE($G2461,$F2461)))),"Check Date")</f>
        <v/>
      </c>
      <c r="I2461" s="12" t="str">
        <f aca="true">IF($H2461="","",IF(ISNUMBER($H2461),$H2461-TODAY(),""))</f>
        <v/>
      </c>
      <c r="J2461" s="4" t="str">
        <f aca="true">IF($D2461="Manual Review","Manual Review",IF($G2461="","No Data",IF(NOT(ISNUMBER($H2461)),"N/A",IF($H2461&lt;TODAY(),"Overdue",IF($H2461&lt;=TODAY()+30,"Due within 1 Month",IF($H2461&lt;=TODAY()+60,"Due within 2 Months","OK"))))))</f>
        <v>No Data</v>
      </c>
      <c r="K2461" s="13"/>
    </row>
    <row r="2462" customFormat="false" ht="15" hidden="false" customHeight="false" outlineLevel="0" collapsed="false">
      <c r="A2462" s="9" t="str">
        <f aca="false">Vessels!B26</f>
        <v>Vessel 22</v>
      </c>
      <c r="B2462" s="9" t="s">
        <v>136</v>
      </c>
      <c r="C2462" s="7" t="s">
        <v>151</v>
      </c>
      <c r="D2462" s="9" t="s">
        <v>45</v>
      </c>
      <c r="E2462" s="9" t="s">
        <v>44</v>
      </c>
      <c r="F2462" s="5" t="n">
        <v>12</v>
      </c>
      <c r="G2462" s="10"/>
      <c r="H2462" s="11" t="str">
        <f aca="false">IFERROR(IF($D2462="Manual Review","",IF($G2462="","",IF($D2462="Direct Expiry",$G2462,EDATE($G2462,$F2462)))),"Check Date")</f>
        <v/>
      </c>
      <c r="I2462" s="12" t="str">
        <f aca="true">IF($H2462="","",IF(ISNUMBER($H2462),$H2462-TODAY(),""))</f>
        <v/>
      </c>
      <c r="J2462" s="4" t="str">
        <f aca="true">IF($D2462="Manual Review","Manual Review",IF($G2462="","No Data",IF(NOT(ISNUMBER($H2462)),"N/A",IF($H2462&lt;TODAY(),"Overdue",IF($H2462&lt;=TODAY()+30,"Due within 1 Month",IF($H2462&lt;=TODAY()+60,"Due within 2 Months","OK"))))))</f>
        <v>No Data</v>
      </c>
      <c r="K2462" s="13"/>
    </row>
    <row r="2463" customFormat="false" ht="15" hidden="false" customHeight="false" outlineLevel="0" collapsed="false">
      <c r="A2463" s="9" t="str">
        <f aca="false">Vessels!B26</f>
        <v>Vessel 22</v>
      </c>
      <c r="B2463" s="9" t="s">
        <v>136</v>
      </c>
      <c r="C2463" s="7" t="s">
        <v>152</v>
      </c>
      <c r="D2463" s="9" t="s">
        <v>45</v>
      </c>
      <c r="E2463" s="9" t="s">
        <v>44</v>
      </c>
      <c r="F2463" s="5" t="n">
        <v>12</v>
      </c>
      <c r="G2463" s="10"/>
      <c r="H2463" s="11" t="str">
        <f aca="false">IFERROR(IF($D2463="Manual Review","",IF($G2463="","",IF($D2463="Direct Expiry",$G2463,EDATE($G2463,$F2463)))),"Check Date")</f>
        <v/>
      </c>
      <c r="I2463" s="12" t="str">
        <f aca="true">IF($H2463="","",IF(ISNUMBER($H2463),$H2463-TODAY(),""))</f>
        <v/>
      </c>
      <c r="J2463" s="4" t="str">
        <f aca="true">IF($D2463="Manual Review","Manual Review",IF($G2463="","No Data",IF(NOT(ISNUMBER($H2463)),"N/A",IF($H2463&lt;TODAY(),"Overdue",IF($H2463&lt;=TODAY()+30,"Due within 1 Month",IF($H2463&lt;=TODAY()+60,"Due within 2 Months","OK"))))))</f>
        <v>No Data</v>
      </c>
      <c r="K2463" s="13"/>
    </row>
    <row r="2464" customFormat="false" ht="15" hidden="false" customHeight="false" outlineLevel="0" collapsed="false">
      <c r="A2464" s="9" t="str">
        <f aca="false">Vessels!B26</f>
        <v>Vessel 22</v>
      </c>
      <c r="B2464" s="9" t="s">
        <v>136</v>
      </c>
      <c r="C2464" s="7" t="s">
        <v>153</v>
      </c>
      <c r="D2464" s="9" t="s">
        <v>45</v>
      </c>
      <c r="E2464" s="9" t="s">
        <v>44</v>
      </c>
      <c r="F2464" s="5" t="n">
        <v>12</v>
      </c>
      <c r="G2464" s="10"/>
      <c r="H2464" s="11" t="str">
        <f aca="false">IFERROR(IF($D2464="Manual Review","",IF($G2464="","",IF($D2464="Direct Expiry",$G2464,EDATE($G2464,$F2464)))),"Check Date")</f>
        <v/>
      </c>
      <c r="I2464" s="12" t="str">
        <f aca="true">IF($H2464="","",IF(ISNUMBER($H2464),$H2464-TODAY(),""))</f>
        <v/>
      </c>
      <c r="J2464" s="4" t="str">
        <f aca="true">IF($D2464="Manual Review","Manual Review",IF($G2464="","No Data",IF(NOT(ISNUMBER($H2464)),"N/A",IF($H2464&lt;TODAY(),"Overdue",IF($H2464&lt;=TODAY()+30,"Due within 1 Month",IF($H2464&lt;=TODAY()+60,"Due within 2 Months","OK"))))))</f>
        <v>No Data</v>
      </c>
      <c r="K2464" s="13"/>
    </row>
    <row r="2465" customFormat="false" ht="15" hidden="false" customHeight="false" outlineLevel="0" collapsed="false">
      <c r="A2465" s="9" t="str">
        <f aca="false">Vessels!B26</f>
        <v>Vessel 22</v>
      </c>
      <c r="B2465" s="9" t="s">
        <v>136</v>
      </c>
      <c r="C2465" s="7" t="s">
        <v>154</v>
      </c>
      <c r="D2465" s="9" t="s">
        <v>45</v>
      </c>
      <c r="E2465" s="9" t="s">
        <v>44</v>
      </c>
      <c r="F2465" s="5" t="n">
        <v>12</v>
      </c>
      <c r="G2465" s="10"/>
      <c r="H2465" s="11" t="str">
        <f aca="false">IFERROR(IF($D2465="Manual Review","",IF($G2465="","",IF($D2465="Direct Expiry",$G2465,EDATE($G2465,$F2465)))),"Check Date")</f>
        <v/>
      </c>
      <c r="I2465" s="12" t="str">
        <f aca="true">IF($H2465="","",IF(ISNUMBER($H2465),$H2465-TODAY(),""))</f>
        <v/>
      </c>
      <c r="J2465" s="4" t="str">
        <f aca="true">IF($D2465="Manual Review","Manual Review",IF($G2465="","No Data",IF(NOT(ISNUMBER($H2465)),"N/A",IF($H2465&lt;TODAY(),"Overdue",IF($H2465&lt;=TODAY()+30,"Due within 1 Month",IF($H2465&lt;=TODAY()+60,"Due within 2 Months","OK"))))))</f>
        <v>No Data</v>
      </c>
      <c r="K2465" s="13"/>
    </row>
    <row r="2466" customFormat="false" ht="15" hidden="false" customHeight="false" outlineLevel="0" collapsed="false">
      <c r="A2466" s="9" t="str">
        <f aca="false">Vessels!B26</f>
        <v>Vessel 22</v>
      </c>
      <c r="B2466" s="9" t="s">
        <v>136</v>
      </c>
      <c r="C2466" s="7" t="s">
        <v>155</v>
      </c>
      <c r="D2466" s="9" t="s">
        <v>45</v>
      </c>
      <c r="E2466" s="9" t="s">
        <v>44</v>
      </c>
      <c r="F2466" s="5" t="n">
        <v>12</v>
      </c>
      <c r="G2466" s="10"/>
      <c r="H2466" s="11" t="str">
        <f aca="false">IFERROR(IF($D2466="Manual Review","",IF($G2466="","",IF($D2466="Direct Expiry",$G2466,EDATE($G2466,$F2466)))),"Check Date")</f>
        <v/>
      </c>
      <c r="I2466" s="12" t="str">
        <f aca="true">IF($H2466="","",IF(ISNUMBER($H2466),$H2466-TODAY(),""))</f>
        <v/>
      </c>
      <c r="J2466" s="4" t="str">
        <f aca="true">IF($D2466="Manual Review","Manual Review",IF($G2466="","No Data",IF(NOT(ISNUMBER($H2466)),"N/A",IF($H2466&lt;TODAY(),"Overdue",IF($H2466&lt;=TODAY()+30,"Due within 1 Month",IF($H2466&lt;=TODAY()+60,"Due within 2 Months","OK"))))))</f>
        <v>No Data</v>
      </c>
      <c r="K2466" s="13"/>
    </row>
    <row r="2467" customFormat="false" ht="15" hidden="false" customHeight="false" outlineLevel="0" collapsed="false">
      <c r="A2467" s="9" t="str">
        <f aca="false">Vessels!B26</f>
        <v>Vessel 22</v>
      </c>
      <c r="B2467" s="9" t="s">
        <v>136</v>
      </c>
      <c r="C2467" s="7" t="s">
        <v>156</v>
      </c>
      <c r="D2467" s="9" t="s">
        <v>45</v>
      </c>
      <c r="E2467" s="9" t="s">
        <v>44</v>
      </c>
      <c r="F2467" s="5" t="n">
        <v>12</v>
      </c>
      <c r="G2467" s="10"/>
      <c r="H2467" s="11" t="str">
        <f aca="false">IFERROR(IF($D2467="Manual Review","",IF($G2467="","",IF($D2467="Direct Expiry",$G2467,EDATE($G2467,$F2467)))),"Check Date")</f>
        <v/>
      </c>
      <c r="I2467" s="12" t="str">
        <f aca="true">IF($H2467="","",IF(ISNUMBER($H2467),$H2467-TODAY(),""))</f>
        <v/>
      </c>
      <c r="J2467" s="4" t="str">
        <f aca="true">IF($D2467="Manual Review","Manual Review",IF($G2467="","No Data",IF(NOT(ISNUMBER($H2467)),"N/A",IF($H2467&lt;TODAY(),"Overdue",IF($H2467&lt;=TODAY()+30,"Due within 1 Month",IF($H2467&lt;=TODAY()+60,"Due within 2 Months","OK"))))))</f>
        <v>No Data</v>
      </c>
      <c r="K2467" s="13"/>
    </row>
    <row r="2468" customFormat="false" ht="15" hidden="false" customHeight="false" outlineLevel="0" collapsed="false">
      <c r="A2468" s="9" t="str">
        <f aca="false">Vessels!B26</f>
        <v>Vessel 22</v>
      </c>
      <c r="B2468" s="9" t="s">
        <v>136</v>
      </c>
      <c r="C2468" s="7" t="s">
        <v>157</v>
      </c>
      <c r="D2468" s="9" t="s">
        <v>45</v>
      </c>
      <c r="E2468" s="9" t="s">
        <v>44</v>
      </c>
      <c r="F2468" s="5" t="n">
        <v>12</v>
      </c>
      <c r="G2468" s="10"/>
      <c r="H2468" s="11" t="str">
        <f aca="false">IFERROR(IF($D2468="Manual Review","",IF($G2468="","",IF($D2468="Direct Expiry",$G2468,EDATE($G2468,$F2468)))),"Check Date")</f>
        <v/>
      </c>
      <c r="I2468" s="12" t="str">
        <f aca="true">IF($H2468="","",IF(ISNUMBER($H2468),$H2468-TODAY(),""))</f>
        <v/>
      </c>
      <c r="J2468" s="4" t="str">
        <f aca="true">IF($D2468="Manual Review","Manual Review",IF($G2468="","No Data",IF(NOT(ISNUMBER($H2468)),"N/A",IF($H2468&lt;TODAY(),"Overdue",IF($H2468&lt;=TODAY()+30,"Due within 1 Month",IF($H2468&lt;=TODAY()+60,"Due within 2 Months","OK"))))))</f>
        <v>No Data</v>
      </c>
      <c r="K2468" s="13"/>
    </row>
    <row r="2469" customFormat="false" ht="15" hidden="false" customHeight="false" outlineLevel="0" collapsed="false">
      <c r="A2469" s="9" t="str">
        <f aca="false">Vessels!B27</f>
        <v>Vessel 23</v>
      </c>
      <c r="B2469" s="9" t="s">
        <v>42</v>
      </c>
      <c r="C2469" s="7" t="s">
        <v>43</v>
      </c>
      <c r="D2469" s="9" t="s">
        <v>45</v>
      </c>
      <c r="E2469" s="9" t="s">
        <v>44</v>
      </c>
      <c r="F2469" s="5" t="n">
        <v>12</v>
      </c>
      <c r="G2469" s="10"/>
      <c r="H2469" s="11" t="str">
        <f aca="false">IFERROR(IF($D2469="Manual Review","",IF($G2469="","",IF($D2469="Direct Expiry",$G2469,EDATE($G2469,$F2469)))),"Check Date")</f>
        <v/>
      </c>
      <c r="I2469" s="12" t="str">
        <f aca="true">IF($H2469="","",IF(ISNUMBER($H2469),$H2469-TODAY(),""))</f>
        <v/>
      </c>
      <c r="J2469" s="4" t="str">
        <f aca="true">IF($D2469="Manual Review","Manual Review",IF($G2469="","No Data",IF(NOT(ISNUMBER($H2469)),"N/A",IF($H2469&lt;TODAY(),"Overdue",IF($H2469&lt;=TODAY()+30,"Due within 1 Month",IF($H2469&lt;=TODAY()+60,"Due within 2 Months","OK"))))))</f>
        <v>No Data</v>
      </c>
      <c r="K2469" s="13"/>
    </row>
    <row r="2470" customFormat="false" ht="15" hidden="false" customHeight="false" outlineLevel="0" collapsed="false">
      <c r="A2470" s="9" t="str">
        <f aca="false">Vessels!B27</f>
        <v>Vessel 23</v>
      </c>
      <c r="B2470" s="9" t="s">
        <v>42</v>
      </c>
      <c r="C2470" s="7" t="s">
        <v>43</v>
      </c>
      <c r="D2470" s="9" t="s">
        <v>45</v>
      </c>
      <c r="E2470" s="9" t="s">
        <v>46</v>
      </c>
      <c r="F2470" s="5" t="n">
        <v>60</v>
      </c>
      <c r="G2470" s="10"/>
      <c r="H2470" s="11" t="str">
        <f aca="false">IFERROR(IF($D2470="Manual Review","",IF($G2470="","",IF($D2470="Direct Expiry",$G2470,EDATE($G2470,$F2470)))),"Check Date")</f>
        <v/>
      </c>
      <c r="I2470" s="12" t="str">
        <f aca="true">IF($H2470="","",IF(ISNUMBER($H2470),$H2470-TODAY(),""))</f>
        <v/>
      </c>
      <c r="J2470" s="4" t="str">
        <f aca="true">IF($D2470="Manual Review","Manual Review",IF($G2470="","No Data",IF(NOT(ISNUMBER($H2470)),"N/A",IF($H2470&lt;TODAY(),"Overdue",IF($H2470&lt;=TODAY()+30,"Due within 1 Month",IF($H2470&lt;=TODAY()+60,"Due within 2 Months","OK"))))))</f>
        <v>No Data</v>
      </c>
      <c r="K2470" s="13"/>
    </row>
    <row r="2471" customFormat="false" ht="15" hidden="false" customHeight="false" outlineLevel="0" collapsed="false">
      <c r="A2471" s="9" t="str">
        <f aca="false">Vessels!B27</f>
        <v>Vessel 23</v>
      </c>
      <c r="B2471" s="9" t="s">
        <v>42</v>
      </c>
      <c r="C2471" s="7" t="s">
        <v>47</v>
      </c>
      <c r="D2471" s="9" t="s">
        <v>45</v>
      </c>
      <c r="E2471" s="9" t="s">
        <v>44</v>
      </c>
      <c r="F2471" s="5" t="n">
        <v>12</v>
      </c>
      <c r="G2471" s="10"/>
      <c r="H2471" s="11" t="str">
        <f aca="false">IFERROR(IF($D2471="Manual Review","",IF($G2471="","",IF($D2471="Direct Expiry",$G2471,EDATE($G2471,$F2471)))),"Check Date")</f>
        <v/>
      </c>
      <c r="I2471" s="12" t="str">
        <f aca="true">IF($H2471="","",IF(ISNUMBER($H2471),$H2471-TODAY(),""))</f>
        <v/>
      </c>
      <c r="J2471" s="4" t="str">
        <f aca="true">IF($D2471="Manual Review","Manual Review",IF($G2471="","No Data",IF(NOT(ISNUMBER($H2471)),"N/A",IF($H2471&lt;TODAY(),"Overdue",IF($H2471&lt;=TODAY()+30,"Due within 1 Month",IF($H2471&lt;=TODAY()+60,"Due within 2 Months","OK"))))))</f>
        <v>No Data</v>
      </c>
      <c r="K2471" s="13"/>
    </row>
    <row r="2472" customFormat="false" ht="15" hidden="false" customHeight="false" outlineLevel="0" collapsed="false">
      <c r="A2472" s="9" t="str">
        <f aca="false">Vessels!B27</f>
        <v>Vessel 23</v>
      </c>
      <c r="B2472" s="9" t="s">
        <v>42</v>
      </c>
      <c r="C2472" s="7" t="s">
        <v>47</v>
      </c>
      <c r="D2472" s="9" t="s">
        <v>45</v>
      </c>
      <c r="E2472" s="9" t="s">
        <v>46</v>
      </c>
      <c r="F2472" s="5" t="n">
        <v>60</v>
      </c>
      <c r="G2472" s="10"/>
      <c r="H2472" s="11" t="str">
        <f aca="false">IFERROR(IF($D2472="Manual Review","",IF($G2472="","",IF($D2472="Direct Expiry",$G2472,EDATE($G2472,$F2472)))),"Check Date")</f>
        <v/>
      </c>
      <c r="I2472" s="12" t="str">
        <f aca="true">IF($H2472="","",IF(ISNUMBER($H2472),$H2472-TODAY(),""))</f>
        <v/>
      </c>
      <c r="J2472" s="4" t="str">
        <f aca="true">IF($D2472="Manual Review","Manual Review",IF($G2472="","No Data",IF(NOT(ISNUMBER($H2472)),"N/A",IF($H2472&lt;TODAY(),"Overdue",IF($H2472&lt;=TODAY()+30,"Due within 1 Month",IF($H2472&lt;=TODAY()+60,"Due within 2 Months","OK"))))))</f>
        <v>No Data</v>
      </c>
      <c r="K2472" s="13"/>
    </row>
    <row r="2473" customFormat="false" ht="15" hidden="false" customHeight="false" outlineLevel="0" collapsed="false">
      <c r="A2473" s="9" t="str">
        <f aca="false">Vessels!B27</f>
        <v>Vessel 23</v>
      </c>
      <c r="B2473" s="9" t="s">
        <v>42</v>
      </c>
      <c r="C2473" s="7" t="s">
        <v>48</v>
      </c>
      <c r="D2473" s="9" t="s">
        <v>45</v>
      </c>
      <c r="E2473" s="9" t="s">
        <v>44</v>
      </c>
      <c r="F2473" s="5" t="n">
        <v>12</v>
      </c>
      <c r="G2473" s="10"/>
      <c r="H2473" s="11" t="str">
        <f aca="false">IFERROR(IF($D2473="Manual Review","",IF($G2473="","",IF($D2473="Direct Expiry",$G2473,EDATE($G2473,$F2473)))),"Check Date")</f>
        <v/>
      </c>
      <c r="I2473" s="12" t="str">
        <f aca="true">IF($H2473="","",IF(ISNUMBER($H2473),$H2473-TODAY(),""))</f>
        <v/>
      </c>
      <c r="J2473" s="4" t="str">
        <f aca="true">IF($D2473="Manual Review","Manual Review",IF($G2473="","No Data",IF(NOT(ISNUMBER($H2473)),"N/A",IF($H2473&lt;TODAY(),"Overdue",IF($H2473&lt;=TODAY()+30,"Due within 1 Month",IF($H2473&lt;=TODAY()+60,"Due within 2 Months","OK"))))))</f>
        <v>No Data</v>
      </c>
      <c r="K2473" s="13"/>
    </row>
    <row r="2474" customFormat="false" ht="15" hidden="false" customHeight="false" outlineLevel="0" collapsed="false">
      <c r="A2474" s="9" t="str">
        <f aca="false">Vessels!B27</f>
        <v>Vessel 23</v>
      </c>
      <c r="B2474" s="9" t="s">
        <v>42</v>
      </c>
      <c r="C2474" s="7" t="s">
        <v>48</v>
      </c>
      <c r="D2474" s="9" t="s">
        <v>45</v>
      </c>
      <c r="E2474" s="9" t="s">
        <v>49</v>
      </c>
      <c r="F2474" s="5" t="n">
        <v>60</v>
      </c>
      <c r="G2474" s="10"/>
      <c r="H2474" s="11" t="str">
        <f aca="false">IFERROR(IF($D2474="Manual Review","",IF($G2474="","",IF($D2474="Direct Expiry",$G2474,EDATE($G2474,$F2474)))),"Check Date")</f>
        <v/>
      </c>
      <c r="I2474" s="12" t="str">
        <f aca="true">IF($H2474="","",IF(ISNUMBER($H2474),$H2474-TODAY(),""))</f>
        <v/>
      </c>
      <c r="J2474" s="4" t="str">
        <f aca="true">IF($D2474="Manual Review","Manual Review",IF($G2474="","No Data",IF(NOT(ISNUMBER($H2474)),"N/A",IF($H2474&lt;TODAY(),"Overdue",IF($H2474&lt;=TODAY()+30,"Due within 1 Month",IF($H2474&lt;=TODAY()+60,"Due within 2 Months","OK"))))))</f>
        <v>No Data</v>
      </c>
      <c r="K2474" s="13"/>
    </row>
    <row r="2475" customFormat="false" ht="15" hidden="false" customHeight="false" outlineLevel="0" collapsed="false">
      <c r="A2475" s="9" t="str">
        <f aca="false">Vessels!B27</f>
        <v>Vessel 23</v>
      </c>
      <c r="B2475" s="9" t="s">
        <v>42</v>
      </c>
      <c r="C2475" s="7" t="s">
        <v>50</v>
      </c>
      <c r="D2475" s="9" t="s">
        <v>45</v>
      </c>
      <c r="E2475" s="9" t="s">
        <v>44</v>
      </c>
      <c r="F2475" s="5" t="n">
        <v>12</v>
      </c>
      <c r="G2475" s="10"/>
      <c r="H2475" s="11" t="str">
        <f aca="false">IFERROR(IF($D2475="Manual Review","",IF($G2475="","",IF($D2475="Direct Expiry",$G2475,EDATE($G2475,$F2475)))),"Check Date")</f>
        <v/>
      </c>
      <c r="I2475" s="12" t="str">
        <f aca="true">IF($H2475="","",IF(ISNUMBER($H2475),$H2475-TODAY(),""))</f>
        <v/>
      </c>
      <c r="J2475" s="4" t="str">
        <f aca="true">IF($D2475="Manual Review","Manual Review",IF($G2475="","No Data",IF(NOT(ISNUMBER($H2475)),"N/A",IF($H2475&lt;TODAY(),"Overdue",IF($H2475&lt;=TODAY()+30,"Due within 1 Month",IF($H2475&lt;=TODAY()+60,"Due within 2 Months","OK"))))))</f>
        <v>No Data</v>
      </c>
      <c r="K2475" s="13"/>
    </row>
    <row r="2476" customFormat="false" ht="15" hidden="false" customHeight="false" outlineLevel="0" collapsed="false">
      <c r="A2476" s="9" t="str">
        <f aca="false">Vessels!B27</f>
        <v>Vessel 23</v>
      </c>
      <c r="B2476" s="9" t="s">
        <v>42</v>
      </c>
      <c r="C2476" s="7" t="s">
        <v>50</v>
      </c>
      <c r="D2476" s="9" t="s">
        <v>45</v>
      </c>
      <c r="E2476" s="9" t="s">
        <v>49</v>
      </c>
      <c r="F2476" s="5" t="n">
        <v>60</v>
      </c>
      <c r="G2476" s="10"/>
      <c r="H2476" s="11" t="str">
        <f aca="false">IFERROR(IF($D2476="Manual Review","",IF($G2476="","",IF($D2476="Direct Expiry",$G2476,EDATE($G2476,$F2476)))),"Check Date")</f>
        <v/>
      </c>
      <c r="I2476" s="12" t="str">
        <f aca="true">IF($H2476="","",IF(ISNUMBER($H2476),$H2476-TODAY(),""))</f>
        <v/>
      </c>
      <c r="J2476" s="4" t="str">
        <f aca="true">IF($D2476="Manual Review","Manual Review",IF($G2476="","No Data",IF(NOT(ISNUMBER($H2476)),"N/A",IF($H2476&lt;TODAY(),"Overdue",IF($H2476&lt;=TODAY()+30,"Due within 1 Month",IF($H2476&lt;=TODAY()+60,"Due within 2 Months","OK"))))))</f>
        <v>No Data</v>
      </c>
      <c r="K2476" s="13"/>
    </row>
    <row r="2477" customFormat="false" ht="15" hidden="false" customHeight="false" outlineLevel="0" collapsed="false">
      <c r="A2477" s="9" t="str">
        <f aca="false">Vessels!B27</f>
        <v>Vessel 23</v>
      </c>
      <c r="B2477" s="9" t="s">
        <v>42</v>
      </c>
      <c r="C2477" s="7" t="s">
        <v>51</v>
      </c>
      <c r="D2477" s="9" t="s">
        <v>45</v>
      </c>
      <c r="E2477" s="9" t="s">
        <v>46</v>
      </c>
      <c r="F2477" s="5" t="n">
        <v>60</v>
      </c>
      <c r="G2477" s="10"/>
      <c r="H2477" s="11" t="str">
        <f aca="false">IFERROR(IF($D2477="Manual Review","",IF($G2477="","",IF($D2477="Direct Expiry",$G2477,EDATE($G2477,$F2477)))),"Check Date")</f>
        <v/>
      </c>
      <c r="I2477" s="12" t="str">
        <f aca="true">IF($H2477="","",IF(ISNUMBER($H2477),$H2477-TODAY(),""))</f>
        <v/>
      </c>
      <c r="J2477" s="4" t="str">
        <f aca="true">IF($D2477="Manual Review","Manual Review",IF($G2477="","No Data",IF(NOT(ISNUMBER($H2477)),"N/A",IF($H2477&lt;TODAY(),"Overdue",IF($H2477&lt;=TODAY()+30,"Due within 1 Month",IF($H2477&lt;=TODAY()+60,"Due within 2 Months","OK"))))))</f>
        <v>No Data</v>
      </c>
      <c r="K2477" s="13"/>
    </row>
    <row r="2478" customFormat="false" ht="15" hidden="false" customHeight="false" outlineLevel="0" collapsed="false">
      <c r="A2478" s="9" t="str">
        <f aca="false">Vessels!B27</f>
        <v>Vessel 23</v>
      </c>
      <c r="B2478" s="9" t="s">
        <v>42</v>
      </c>
      <c r="C2478" s="7" t="s">
        <v>52</v>
      </c>
      <c r="D2478" s="9" t="s">
        <v>45</v>
      </c>
      <c r="E2478" s="9" t="s">
        <v>46</v>
      </c>
      <c r="F2478" s="5" t="n">
        <v>60</v>
      </c>
      <c r="G2478" s="10"/>
      <c r="H2478" s="11" t="str">
        <f aca="false">IFERROR(IF($D2478="Manual Review","",IF($G2478="","",IF($D2478="Direct Expiry",$G2478,EDATE($G2478,$F2478)))),"Check Date")</f>
        <v/>
      </c>
      <c r="I2478" s="12" t="str">
        <f aca="true">IF($H2478="","",IF(ISNUMBER($H2478),$H2478-TODAY(),""))</f>
        <v/>
      </c>
      <c r="J2478" s="4" t="str">
        <f aca="true">IF($D2478="Manual Review","Manual Review",IF($G2478="","No Data",IF(NOT(ISNUMBER($H2478)),"N/A",IF($H2478&lt;TODAY(),"Overdue",IF($H2478&lt;=TODAY()+30,"Due within 1 Month",IF($H2478&lt;=TODAY()+60,"Due within 2 Months","OK"))))))</f>
        <v>No Data</v>
      </c>
      <c r="K2478" s="13"/>
    </row>
    <row r="2479" customFormat="false" ht="15" hidden="false" customHeight="false" outlineLevel="0" collapsed="false">
      <c r="A2479" s="9" t="str">
        <f aca="false">Vessels!B27</f>
        <v>Vessel 23</v>
      </c>
      <c r="B2479" s="9" t="s">
        <v>42</v>
      </c>
      <c r="C2479" s="7" t="s">
        <v>53</v>
      </c>
      <c r="D2479" s="9" t="s">
        <v>45</v>
      </c>
      <c r="E2479" s="9" t="s">
        <v>46</v>
      </c>
      <c r="F2479" s="5" t="n">
        <v>60</v>
      </c>
      <c r="G2479" s="10"/>
      <c r="H2479" s="11" t="str">
        <f aca="false">IFERROR(IF($D2479="Manual Review","",IF($G2479="","",IF($D2479="Direct Expiry",$G2479,EDATE($G2479,$F2479)))),"Check Date")</f>
        <v/>
      </c>
      <c r="I2479" s="12" t="str">
        <f aca="true">IF($H2479="","",IF(ISNUMBER($H2479),$H2479-TODAY(),""))</f>
        <v/>
      </c>
      <c r="J2479" s="4" t="str">
        <f aca="true">IF($D2479="Manual Review","Manual Review",IF($G2479="","No Data",IF(NOT(ISNUMBER($H2479)),"N/A",IF($H2479&lt;TODAY(),"Overdue",IF($H2479&lt;=TODAY()+30,"Due within 1 Month",IF($H2479&lt;=TODAY()+60,"Due within 2 Months","OK"))))))</f>
        <v>No Data</v>
      </c>
      <c r="K2479" s="13"/>
    </row>
    <row r="2480" customFormat="false" ht="15" hidden="false" customHeight="false" outlineLevel="0" collapsed="false">
      <c r="A2480" s="9" t="str">
        <f aca="false">Vessels!B27</f>
        <v>Vessel 23</v>
      </c>
      <c r="B2480" s="9" t="s">
        <v>42</v>
      </c>
      <c r="C2480" s="7" t="s">
        <v>54</v>
      </c>
      <c r="D2480" s="9" t="s">
        <v>45</v>
      </c>
      <c r="E2480" s="9" t="s">
        <v>46</v>
      </c>
      <c r="F2480" s="5" t="n">
        <v>60</v>
      </c>
      <c r="G2480" s="10"/>
      <c r="H2480" s="11" t="str">
        <f aca="false">IFERROR(IF($D2480="Manual Review","",IF($G2480="","",IF($D2480="Direct Expiry",$G2480,EDATE($G2480,$F2480)))),"Check Date")</f>
        <v/>
      </c>
      <c r="I2480" s="12" t="str">
        <f aca="true">IF($H2480="","",IF(ISNUMBER($H2480),$H2480-TODAY(),""))</f>
        <v/>
      </c>
      <c r="J2480" s="4" t="str">
        <f aca="true">IF($D2480="Manual Review","Manual Review",IF($G2480="","No Data",IF(NOT(ISNUMBER($H2480)),"N/A",IF($H2480&lt;TODAY(),"Overdue",IF($H2480&lt;=TODAY()+30,"Due within 1 Month",IF($H2480&lt;=TODAY()+60,"Due within 2 Months","OK"))))))</f>
        <v>No Data</v>
      </c>
      <c r="K2480" s="13"/>
    </row>
    <row r="2481" customFormat="false" ht="15" hidden="false" customHeight="false" outlineLevel="0" collapsed="false">
      <c r="A2481" s="9" t="str">
        <f aca="false">Vessels!B27</f>
        <v>Vessel 23</v>
      </c>
      <c r="B2481" s="9" t="s">
        <v>42</v>
      </c>
      <c r="C2481" s="7" t="s">
        <v>55</v>
      </c>
      <c r="D2481" s="9" t="s">
        <v>45</v>
      </c>
      <c r="E2481" s="9" t="s">
        <v>46</v>
      </c>
      <c r="F2481" s="5" t="n">
        <v>60</v>
      </c>
      <c r="G2481" s="10"/>
      <c r="H2481" s="11" t="str">
        <f aca="false">IFERROR(IF($D2481="Manual Review","",IF($G2481="","",IF($D2481="Direct Expiry",$G2481,EDATE($G2481,$F2481)))),"Check Date")</f>
        <v/>
      </c>
      <c r="I2481" s="12" t="str">
        <f aca="true">IF($H2481="","",IF(ISNUMBER($H2481),$H2481-TODAY(),""))</f>
        <v/>
      </c>
      <c r="J2481" s="4" t="str">
        <f aca="true">IF($D2481="Manual Review","Manual Review",IF($G2481="","No Data",IF(NOT(ISNUMBER($H2481)),"N/A",IF($H2481&lt;TODAY(),"Overdue",IF($H2481&lt;=TODAY()+30,"Due within 1 Month",IF($H2481&lt;=TODAY()+60,"Due within 2 Months","OK"))))))</f>
        <v>No Data</v>
      </c>
      <c r="K2481" s="13"/>
    </row>
    <row r="2482" customFormat="false" ht="15" hidden="false" customHeight="false" outlineLevel="0" collapsed="false">
      <c r="A2482" s="9" t="str">
        <f aca="false">Vessels!B27</f>
        <v>Vessel 23</v>
      </c>
      <c r="B2482" s="9" t="s">
        <v>42</v>
      </c>
      <c r="C2482" s="7" t="s">
        <v>56</v>
      </c>
      <c r="D2482" s="9" t="s">
        <v>45</v>
      </c>
      <c r="E2482" s="9" t="s">
        <v>46</v>
      </c>
      <c r="F2482" s="5" t="n">
        <v>60</v>
      </c>
      <c r="G2482" s="10"/>
      <c r="H2482" s="11" t="str">
        <f aca="false">IFERROR(IF($D2482="Manual Review","",IF($G2482="","",IF($D2482="Direct Expiry",$G2482,EDATE($G2482,$F2482)))),"Check Date")</f>
        <v/>
      </c>
      <c r="I2482" s="12" t="str">
        <f aca="true">IF($H2482="","",IF(ISNUMBER($H2482),$H2482-TODAY(),""))</f>
        <v/>
      </c>
      <c r="J2482" s="4" t="str">
        <f aca="true">IF($D2482="Manual Review","Manual Review",IF($G2482="","No Data",IF(NOT(ISNUMBER($H2482)),"N/A",IF($H2482&lt;TODAY(),"Overdue",IF($H2482&lt;=TODAY()+30,"Due within 1 Month",IF($H2482&lt;=TODAY()+60,"Due within 2 Months","OK"))))))</f>
        <v>No Data</v>
      </c>
      <c r="K2482" s="13"/>
    </row>
    <row r="2483" customFormat="false" ht="15" hidden="false" customHeight="false" outlineLevel="0" collapsed="false">
      <c r="A2483" s="9" t="str">
        <f aca="false">Vessels!B27</f>
        <v>Vessel 23</v>
      </c>
      <c r="B2483" s="9" t="s">
        <v>42</v>
      </c>
      <c r="C2483" s="7" t="s">
        <v>57</v>
      </c>
      <c r="D2483" s="9" t="s">
        <v>59</v>
      </c>
      <c r="E2483" s="9" t="s">
        <v>58</v>
      </c>
      <c r="F2483" s="5"/>
      <c r="G2483" s="10"/>
      <c r="H2483" s="11" t="str">
        <f aca="false">IFERROR(IF($D2483="Manual Review","",IF($G2483="","",IF($D2483="Direct Expiry",$G2483,EDATE($G2483,$F2483)))),"Check Date")</f>
        <v/>
      </c>
      <c r="I2483" s="12" t="str">
        <f aca="true">IF($H2483="","",IF(ISNUMBER($H2483),$H2483-TODAY(),""))</f>
        <v/>
      </c>
      <c r="J2483" s="4" t="str">
        <f aca="true">IF($D2483="Manual Review","Manual Review",IF($G2483="","No Data",IF(NOT(ISNUMBER($H2483)),"N/A",IF($H2483&lt;TODAY(),"Overdue",IF($H2483&lt;=TODAY()+30,"Due within 1 Month",IF($H2483&lt;=TODAY()+60,"Due within 2 Months","OK"))))))</f>
        <v>No Data</v>
      </c>
      <c r="K2483" s="13"/>
    </row>
    <row r="2484" customFormat="false" ht="15" hidden="false" customHeight="false" outlineLevel="0" collapsed="false">
      <c r="A2484" s="9" t="str">
        <f aca="false">Vessels!B27</f>
        <v>Vessel 23</v>
      </c>
      <c r="B2484" s="9" t="s">
        <v>42</v>
      </c>
      <c r="C2484" s="7" t="s">
        <v>60</v>
      </c>
      <c r="D2484" s="9" t="s">
        <v>45</v>
      </c>
      <c r="E2484" s="9" t="s">
        <v>44</v>
      </c>
      <c r="F2484" s="5" t="n">
        <v>12</v>
      </c>
      <c r="G2484" s="10"/>
      <c r="H2484" s="11" t="str">
        <f aca="false">IFERROR(IF($D2484="Manual Review","",IF($G2484="","",IF($D2484="Direct Expiry",$G2484,EDATE($G2484,$F2484)))),"Check Date")</f>
        <v/>
      </c>
      <c r="I2484" s="12" t="str">
        <f aca="true">IF($H2484="","",IF(ISNUMBER($H2484),$H2484-TODAY(),""))</f>
        <v/>
      </c>
      <c r="J2484" s="4" t="str">
        <f aca="true">IF($D2484="Manual Review","Manual Review",IF($G2484="","No Data",IF(NOT(ISNUMBER($H2484)),"N/A",IF($H2484&lt;TODAY(),"Overdue",IF($H2484&lt;=TODAY()+30,"Due within 1 Month",IF($H2484&lt;=TODAY()+60,"Due within 2 Months","OK"))))))</f>
        <v>No Data</v>
      </c>
      <c r="K2484" s="13"/>
    </row>
    <row r="2485" customFormat="false" ht="15" hidden="false" customHeight="false" outlineLevel="0" collapsed="false">
      <c r="A2485" s="9" t="str">
        <f aca="false">Vessels!B27</f>
        <v>Vessel 23</v>
      </c>
      <c r="B2485" s="9" t="s">
        <v>42</v>
      </c>
      <c r="C2485" s="7" t="s">
        <v>60</v>
      </c>
      <c r="D2485" s="9" t="s">
        <v>45</v>
      </c>
      <c r="E2485" s="9" t="s">
        <v>46</v>
      </c>
      <c r="F2485" s="5" t="n">
        <v>60</v>
      </c>
      <c r="G2485" s="10"/>
      <c r="H2485" s="11" t="str">
        <f aca="false">IFERROR(IF($D2485="Manual Review","",IF($G2485="","",IF($D2485="Direct Expiry",$G2485,EDATE($G2485,$F2485)))),"Check Date")</f>
        <v/>
      </c>
      <c r="I2485" s="12" t="str">
        <f aca="true">IF($H2485="","",IF(ISNUMBER($H2485),$H2485-TODAY(),""))</f>
        <v/>
      </c>
      <c r="J2485" s="4" t="str">
        <f aca="true">IF($D2485="Manual Review","Manual Review",IF($G2485="","No Data",IF(NOT(ISNUMBER($H2485)),"N/A",IF($H2485&lt;TODAY(),"Overdue",IF($H2485&lt;=TODAY()+30,"Due within 1 Month",IF($H2485&lt;=TODAY()+60,"Due within 2 Months","OK"))))))</f>
        <v>No Data</v>
      </c>
      <c r="K2485" s="13"/>
    </row>
    <row r="2486" customFormat="false" ht="15" hidden="false" customHeight="false" outlineLevel="0" collapsed="false">
      <c r="A2486" s="9" t="str">
        <f aca="false">Vessels!B27</f>
        <v>Vessel 23</v>
      </c>
      <c r="B2486" s="9" t="s">
        <v>42</v>
      </c>
      <c r="C2486" s="7" t="s">
        <v>61</v>
      </c>
      <c r="D2486" s="9" t="s">
        <v>45</v>
      </c>
      <c r="E2486" s="9" t="s">
        <v>44</v>
      </c>
      <c r="F2486" s="5" t="n">
        <v>12</v>
      </c>
      <c r="G2486" s="10"/>
      <c r="H2486" s="11" t="str">
        <f aca="false">IFERROR(IF($D2486="Manual Review","",IF($G2486="","",IF($D2486="Direct Expiry",$G2486,EDATE($G2486,$F2486)))),"Check Date")</f>
        <v/>
      </c>
      <c r="I2486" s="12" t="str">
        <f aca="true">IF($H2486="","",IF(ISNUMBER($H2486),$H2486-TODAY(),""))</f>
        <v/>
      </c>
      <c r="J2486" s="4" t="str">
        <f aca="true">IF($D2486="Manual Review","Manual Review",IF($G2486="","No Data",IF(NOT(ISNUMBER($H2486)),"N/A",IF($H2486&lt;TODAY(),"Overdue",IF($H2486&lt;=TODAY()+30,"Due within 1 Month",IF($H2486&lt;=TODAY()+60,"Due within 2 Months","OK"))))))</f>
        <v>No Data</v>
      </c>
      <c r="K2486" s="13"/>
    </row>
    <row r="2487" customFormat="false" ht="15" hidden="false" customHeight="false" outlineLevel="0" collapsed="false">
      <c r="A2487" s="9" t="str">
        <f aca="false">Vessels!B27</f>
        <v>Vessel 23</v>
      </c>
      <c r="B2487" s="9" t="s">
        <v>42</v>
      </c>
      <c r="C2487" s="7" t="s">
        <v>61</v>
      </c>
      <c r="D2487" s="9" t="s">
        <v>45</v>
      </c>
      <c r="E2487" s="9" t="s">
        <v>46</v>
      </c>
      <c r="F2487" s="5" t="n">
        <v>60</v>
      </c>
      <c r="G2487" s="10"/>
      <c r="H2487" s="11" t="str">
        <f aca="false">IFERROR(IF($D2487="Manual Review","",IF($G2487="","",IF($D2487="Direct Expiry",$G2487,EDATE($G2487,$F2487)))),"Check Date")</f>
        <v/>
      </c>
      <c r="I2487" s="12" t="str">
        <f aca="true">IF($H2487="","",IF(ISNUMBER($H2487),$H2487-TODAY(),""))</f>
        <v/>
      </c>
      <c r="J2487" s="4" t="str">
        <f aca="true">IF($D2487="Manual Review","Manual Review",IF($G2487="","No Data",IF(NOT(ISNUMBER($H2487)),"N/A",IF($H2487&lt;TODAY(),"Overdue",IF($H2487&lt;=TODAY()+30,"Due within 1 Month",IF($H2487&lt;=TODAY()+60,"Due within 2 Months","OK"))))))</f>
        <v>No Data</v>
      </c>
      <c r="K2487" s="13"/>
    </row>
    <row r="2488" customFormat="false" ht="15" hidden="false" customHeight="false" outlineLevel="0" collapsed="false">
      <c r="A2488" s="9" t="str">
        <f aca="false">Vessels!B27</f>
        <v>Vessel 23</v>
      </c>
      <c r="B2488" s="9" t="s">
        <v>42</v>
      </c>
      <c r="C2488" s="7" t="s">
        <v>62</v>
      </c>
      <c r="D2488" s="9" t="s">
        <v>45</v>
      </c>
      <c r="E2488" s="9" t="s">
        <v>44</v>
      </c>
      <c r="F2488" s="5" t="n">
        <v>12</v>
      </c>
      <c r="G2488" s="10"/>
      <c r="H2488" s="11" t="str">
        <f aca="false">IFERROR(IF($D2488="Manual Review","",IF($G2488="","",IF($D2488="Direct Expiry",$G2488,EDATE($G2488,$F2488)))),"Check Date")</f>
        <v/>
      </c>
      <c r="I2488" s="12" t="str">
        <f aca="true">IF($H2488="","",IF(ISNUMBER($H2488),$H2488-TODAY(),""))</f>
        <v/>
      </c>
      <c r="J2488" s="4" t="str">
        <f aca="true">IF($D2488="Manual Review","Manual Review",IF($G2488="","No Data",IF(NOT(ISNUMBER($H2488)),"N/A",IF($H2488&lt;TODAY(),"Overdue",IF($H2488&lt;=TODAY()+30,"Due within 1 Month",IF($H2488&lt;=TODAY()+60,"Due within 2 Months","OK"))))))</f>
        <v>No Data</v>
      </c>
      <c r="K2488" s="13"/>
    </row>
    <row r="2489" customFormat="false" ht="15" hidden="false" customHeight="false" outlineLevel="0" collapsed="false">
      <c r="A2489" s="9" t="str">
        <f aca="false">Vessels!B27</f>
        <v>Vessel 23</v>
      </c>
      <c r="B2489" s="9" t="s">
        <v>42</v>
      </c>
      <c r="C2489" s="7" t="s">
        <v>62</v>
      </c>
      <c r="D2489" s="9" t="s">
        <v>45</v>
      </c>
      <c r="E2489" s="9" t="s">
        <v>49</v>
      </c>
      <c r="F2489" s="5" t="n">
        <v>60</v>
      </c>
      <c r="G2489" s="10"/>
      <c r="H2489" s="11" t="str">
        <f aca="false">IFERROR(IF($D2489="Manual Review","",IF($G2489="","",IF($D2489="Direct Expiry",$G2489,EDATE($G2489,$F2489)))),"Check Date")</f>
        <v/>
      </c>
      <c r="I2489" s="12" t="str">
        <f aca="true">IF($H2489="","",IF(ISNUMBER($H2489),$H2489-TODAY(),""))</f>
        <v/>
      </c>
      <c r="J2489" s="4" t="str">
        <f aca="true">IF($D2489="Manual Review","Manual Review",IF($G2489="","No Data",IF(NOT(ISNUMBER($H2489)),"N/A",IF($H2489&lt;TODAY(),"Overdue",IF($H2489&lt;=TODAY()+30,"Due within 1 Month",IF($H2489&lt;=TODAY()+60,"Due within 2 Months","OK"))))))</f>
        <v>No Data</v>
      </c>
      <c r="K2489" s="13"/>
    </row>
    <row r="2490" customFormat="false" ht="15" hidden="false" customHeight="false" outlineLevel="0" collapsed="false">
      <c r="A2490" s="9" t="str">
        <f aca="false">Vessels!B27</f>
        <v>Vessel 23</v>
      </c>
      <c r="B2490" s="9" t="s">
        <v>42</v>
      </c>
      <c r="C2490" s="7" t="s">
        <v>63</v>
      </c>
      <c r="D2490" s="9" t="s">
        <v>45</v>
      </c>
      <c r="E2490" s="9" t="s">
        <v>44</v>
      </c>
      <c r="F2490" s="5" t="n">
        <v>12</v>
      </c>
      <c r="G2490" s="10"/>
      <c r="H2490" s="11" t="str">
        <f aca="false">IFERROR(IF($D2490="Manual Review","",IF($G2490="","",IF($D2490="Direct Expiry",$G2490,EDATE($G2490,$F2490)))),"Check Date")</f>
        <v/>
      </c>
      <c r="I2490" s="12" t="str">
        <f aca="true">IF($H2490="","",IF(ISNUMBER($H2490),$H2490-TODAY(),""))</f>
        <v/>
      </c>
      <c r="J2490" s="4" t="str">
        <f aca="true">IF($D2490="Manual Review","Manual Review",IF($G2490="","No Data",IF(NOT(ISNUMBER($H2490)),"N/A",IF($H2490&lt;TODAY(),"Overdue",IF($H2490&lt;=TODAY()+30,"Due within 1 Month",IF($H2490&lt;=TODAY()+60,"Due within 2 Months","OK"))))))</f>
        <v>No Data</v>
      </c>
      <c r="K2490" s="13"/>
    </row>
    <row r="2491" customFormat="false" ht="15" hidden="false" customHeight="false" outlineLevel="0" collapsed="false">
      <c r="A2491" s="9" t="str">
        <f aca="false">Vessels!B27</f>
        <v>Vessel 23</v>
      </c>
      <c r="B2491" s="9" t="s">
        <v>42</v>
      </c>
      <c r="C2491" s="7" t="s">
        <v>63</v>
      </c>
      <c r="D2491" s="9" t="s">
        <v>45</v>
      </c>
      <c r="E2491" s="9" t="s">
        <v>49</v>
      </c>
      <c r="F2491" s="5" t="n">
        <v>60</v>
      </c>
      <c r="G2491" s="10"/>
      <c r="H2491" s="11" t="str">
        <f aca="false">IFERROR(IF($D2491="Manual Review","",IF($G2491="","",IF($D2491="Direct Expiry",$G2491,EDATE($G2491,$F2491)))),"Check Date")</f>
        <v/>
      </c>
      <c r="I2491" s="12" t="str">
        <f aca="true">IF($H2491="","",IF(ISNUMBER($H2491),$H2491-TODAY(),""))</f>
        <v/>
      </c>
      <c r="J2491" s="4" t="str">
        <f aca="true">IF($D2491="Manual Review","Manual Review",IF($G2491="","No Data",IF(NOT(ISNUMBER($H2491)),"N/A",IF($H2491&lt;TODAY(),"Overdue",IF($H2491&lt;=TODAY()+30,"Due within 1 Month",IF($H2491&lt;=TODAY()+60,"Due within 2 Months","OK"))))))</f>
        <v>No Data</v>
      </c>
      <c r="K2491" s="13"/>
    </row>
    <row r="2492" customFormat="false" ht="15" hidden="false" customHeight="false" outlineLevel="0" collapsed="false">
      <c r="A2492" s="9" t="str">
        <f aca="false">Vessels!B27</f>
        <v>Vessel 23</v>
      </c>
      <c r="B2492" s="9" t="s">
        <v>42</v>
      </c>
      <c r="C2492" s="7" t="s">
        <v>64</v>
      </c>
      <c r="D2492" s="9" t="s">
        <v>45</v>
      </c>
      <c r="E2492" s="9" t="s">
        <v>46</v>
      </c>
      <c r="F2492" s="5" t="n">
        <v>60</v>
      </c>
      <c r="G2492" s="10"/>
      <c r="H2492" s="11" t="str">
        <f aca="false">IFERROR(IF($D2492="Manual Review","",IF($G2492="","",IF($D2492="Direct Expiry",$G2492,EDATE($G2492,$F2492)))),"Check Date")</f>
        <v/>
      </c>
      <c r="I2492" s="12" t="str">
        <f aca="true">IF($H2492="","",IF(ISNUMBER($H2492),$H2492-TODAY(),""))</f>
        <v/>
      </c>
      <c r="J2492" s="4" t="str">
        <f aca="true">IF($D2492="Manual Review","Manual Review",IF($G2492="","No Data",IF(NOT(ISNUMBER($H2492)),"N/A",IF($H2492&lt;TODAY(),"Overdue",IF($H2492&lt;=TODAY()+30,"Due within 1 Month",IF($H2492&lt;=TODAY()+60,"Due within 2 Months","OK"))))))</f>
        <v>No Data</v>
      </c>
      <c r="K2492" s="13"/>
    </row>
    <row r="2493" customFormat="false" ht="15" hidden="false" customHeight="false" outlineLevel="0" collapsed="false">
      <c r="A2493" s="9" t="str">
        <f aca="false">Vessels!B27</f>
        <v>Vessel 23</v>
      </c>
      <c r="B2493" s="9" t="s">
        <v>42</v>
      </c>
      <c r="C2493" s="7" t="s">
        <v>65</v>
      </c>
      <c r="D2493" s="9" t="s">
        <v>45</v>
      </c>
      <c r="E2493" s="9" t="s">
        <v>46</v>
      </c>
      <c r="F2493" s="5" t="n">
        <v>60</v>
      </c>
      <c r="G2493" s="10"/>
      <c r="H2493" s="11" t="str">
        <f aca="false">IFERROR(IF($D2493="Manual Review","",IF($G2493="","",IF($D2493="Direct Expiry",$G2493,EDATE($G2493,$F2493)))),"Check Date")</f>
        <v/>
      </c>
      <c r="I2493" s="12" t="str">
        <f aca="true">IF($H2493="","",IF(ISNUMBER($H2493),$H2493-TODAY(),""))</f>
        <v/>
      </c>
      <c r="J2493" s="4" t="str">
        <f aca="true">IF($D2493="Manual Review","Manual Review",IF($G2493="","No Data",IF(NOT(ISNUMBER($H2493)),"N/A",IF($H2493&lt;TODAY(),"Overdue",IF($H2493&lt;=TODAY()+30,"Due within 1 Month",IF($H2493&lt;=TODAY()+60,"Due within 2 Months","OK"))))))</f>
        <v>No Data</v>
      </c>
      <c r="K2493" s="13"/>
    </row>
    <row r="2494" customFormat="false" ht="15" hidden="false" customHeight="false" outlineLevel="0" collapsed="false">
      <c r="A2494" s="9" t="str">
        <f aca="false">Vessels!B27</f>
        <v>Vessel 23</v>
      </c>
      <c r="B2494" s="9" t="s">
        <v>42</v>
      </c>
      <c r="C2494" s="7" t="s">
        <v>66</v>
      </c>
      <c r="D2494" s="9" t="s">
        <v>45</v>
      </c>
      <c r="E2494" s="9" t="s">
        <v>46</v>
      </c>
      <c r="F2494" s="5" t="n">
        <v>60</v>
      </c>
      <c r="G2494" s="10"/>
      <c r="H2494" s="11" t="str">
        <f aca="false">IFERROR(IF($D2494="Manual Review","",IF($G2494="","",IF($D2494="Direct Expiry",$G2494,EDATE($G2494,$F2494)))),"Check Date")</f>
        <v/>
      </c>
      <c r="I2494" s="12" t="str">
        <f aca="true">IF($H2494="","",IF(ISNUMBER($H2494),$H2494-TODAY(),""))</f>
        <v/>
      </c>
      <c r="J2494" s="4" t="str">
        <f aca="true">IF($D2494="Manual Review","Manual Review",IF($G2494="","No Data",IF(NOT(ISNUMBER($H2494)),"N/A",IF($H2494&lt;TODAY(),"Overdue",IF($H2494&lt;=TODAY()+30,"Due within 1 Month",IF($H2494&lt;=TODAY()+60,"Due within 2 Months","OK"))))))</f>
        <v>No Data</v>
      </c>
      <c r="K2494" s="13"/>
    </row>
    <row r="2495" customFormat="false" ht="15" hidden="false" customHeight="false" outlineLevel="0" collapsed="false">
      <c r="A2495" s="9" t="str">
        <f aca="false">Vessels!B27</f>
        <v>Vessel 23</v>
      </c>
      <c r="B2495" s="9" t="s">
        <v>42</v>
      </c>
      <c r="C2495" s="7" t="s">
        <v>67</v>
      </c>
      <c r="D2495" s="9" t="s">
        <v>45</v>
      </c>
      <c r="E2495" s="9" t="s">
        <v>46</v>
      </c>
      <c r="F2495" s="5" t="n">
        <v>60</v>
      </c>
      <c r="G2495" s="10"/>
      <c r="H2495" s="11" t="str">
        <f aca="false">IFERROR(IF($D2495="Manual Review","",IF($G2495="","",IF($D2495="Direct Expiry",$G2495,EDATE($G2495,$F2495)))),"Check Date")</f>
        <v/>
      </c>
      <c r="I2495" s="12" t="str">
        <f aca="true">IF($H2495="","",IF(ISNUMBER($H2495),$H2495-TODAY(),""))</f>
        <v/>
      </c>
      <c r="J2495" s="4" t="str">
        <f aca="true">IF($D2495="Manual Review","Manual Review",IF($G2495="","No Data",IF(NOT(ISNUMBER($H2495)),"N/A",IF($H2495&lt;TODAY(),"Overdue",IF($H2495&lt;=TODAY()+30,"Due within 1 Month",IF($H2495&lt;=TODAY()+60,"Due within 2 Months","OK"))))))</f>
        <v>No Data</v>
      </c>
      <c r="K2495" s="13"/>
    </row>
    <row r="2496" customFormat="false" ht="15" hidden="false" customHeight="false" outlineLevel="0" collapsed="false">
      <c r="A2496" s="9" t="str">
        <f aca="false">Vessels!B27</f>
        <v>Vessel 23</v>
      </c>
      <c r="B2496" s="9" t="s">
        <v>42</v>
      </c>
      <c r="C2496" s="7" t="s">
        <v>68</v>
      </c>
      <c r="D2496" s="9" t="s">
        <v>45</v>
      </c>
      <c r="E2496" s="9" t="s">
        <v>46</v>
      </c>
      <c r="F2496" s="5" t="n">
        <v>60</v>
      </c>
      <c r="G2496" s="10"/>
      <c r="H2496" s="11" t="str">
        <f aca="false">IFERROR(IF($D2496="Manual Review","",IF($G2496="","",IF($D2496="Direct Expiry",$G2496,EDATE($G2496,$F2496)))),"Check Date")</f>
        <v/>
      </c>
      <c r="I2496" s="12" t="str">
        <f aca="true">IF($H2496="","",IF(ISNUMBER($H2496),$H2496-TODAY(),""))</f>
        <v/>
      </c>
      <c r="J2496" s="4" t="str">
        <f aca="true">IF($D2496="Manual Review","Manual Review",IF($G2496="","No Data",IF(NOT(ISNUMBER($H2496)),"N/A",IF($H2496&lt;TODAY(),"Overdue",IF($H2496&lt;=TODAY()+30,"Due within 1 Month",IF($H2496&lt;=TODAY()+60,"Due within 2 Months","OK"))))))</f>
        <v>No Data</v>
      </c>
      <c r="K2496" s="13"/>
    </row>
    <row r="2497" customFormat="false" ht="15" hidden="false" customHeight="false" outlineLevel="0" collapsed="false">
      <c r="A2497" s="9" t="str">
        <f aca="false">Vessels!B27</f>
        <v>Vessel 23</v>
      </c>
      <c r="B2497" s="9" t="s">
        <v>42</v>
      </c>
      <c r="C2497" s="7" t="s">
        <v>69</v>
      </c>
      <c r="D2497" s="9" t="s">
        <v>45</v>
      </c>
      <c r="E2497" s="9" t="s">
        <v>46</v>
      </c>
      <c r="F2497" s="5" t="n">
        <v>60</v>
      </c>
      <c r="G2497" s="10"/>
      <c r="H2497" s="11" t="str">
        <f aca="false">IFERROR(IF($D2497="Manual Review","",IF($G2497="","",IF($D2497="Direct Expiry",$G2497,EDATE($G2497,$F2497)))),"Check Date")</f>
        <v/>
      </c>
      <c r="I2497" s="12" t="str">
        <f aca="true">IF($H2497="","",IF(ISNUMBER($H2497),$H2497-TODAY(),""))</f>
        <v/>
      </c>
      <c r="J2497" s="4" t="str">
        <f aca="true">IF($D2497="Manual Review","Manual Review",IF($G2497="","No Data",IF(NOT(ISNUMBER($H2497)),"N/A",IF($H2497&lt;TODAY(),"Overdue",IF($H2497&lt;=TODAY()+30,"Due within 1 Month",IF($H2497&lt;=TODAY()+60,"Due within 2 Months","OK"))))))</f>
        <v>No Data</v>
      </c>
      <c r="K2497" s="13"/>
    </row>
    <row r="2498" customFormat="false" ht="15" hidden="false" customHeight="false" outlineLevel="0" collapsed="false">
      <c r="A2498" s="9" t="str">
        <f aca="false">Vessels!B27</f>
        <v>Vessel 23</v>
      </c>
      <c r="B2498" s="9" t="s">
        <v>42</v>
      </c>
      <c r="C2498" s="7" t="s">
        <v>70</v>
      </c>
      <c r="D2498" s="9" t="s">
        <v>59</v>
      </c>
      <c r="E2498" s="9" t="s">
        <v>58</v>
      </c>
      <c r="F2498" s="5"/>
      <c r="G2498" s="10"/>
      <c r="H2498" s="11" t="str">
        <f aca="false">IFERROR(IF($D2498="Manual Review","",IF($G2498="","",IF($D2498="Direct Expiry",$G2498,EDATE($G2498,$F2498)))),"Check Date")</f>
        <v/>
      </c>
      <c r="I2498" s="12" t="str">
        <f aca="true">IF($H2498="","",IF(ISNUMBER($H2498),$H2498-TODAY(),""))</f>
        <v/>
      </c>
      <c r="J2498" s="4" t="str">
        <f aca="true">IF($D2498="Manual Review","Manual Review",IF($G2498="","No Data",IF(NOT(ISNUMBER($H2498)),"N/A",IF($H2498&lt;TODAY(),"Overdue",IF($H2498&lt;=TODAY()+30,"Due within 1 Month",IF($H2498&lt;=TODAY()+60,"Due within 2 Months","OK"))))))</f>
        <v>No Data</v>
      </c>
      <c r="K2498" s="13"/>
    </row>
    <row r="2499" customFormat="false" ht="15" hidden="false" customHeight="false" outlineLevel="0" collapsed="false">
      <c r="A2499" s="9" t="str">
        <f aca="false">Vessels!B27</f>
        <v>Vessel 23</v>
      </c>
      <c r="B2499" s="9" t="s">
        <v>42</v>
      </c>
      <c r="C2499" s="7" t="s">
        <v>71</v>
      </c>
      <c r="D2499" s="9" t="s">
        <v>45</v>
      </c>
      <c r="E2499" s="9" t="s">
        <v>44</v>
      </c>
      <c r="F2499" s="5" t="n">
        <v>12</v>
      </c>
      <c r="G2499" s="10"/>
      <c r="H2499" s="11" t="str">
        <f aca="false">IFERROR(IF($D2499="Manual Review","",IF($G2499="","",IF($D2499="Direct Expiry",$G2499,EDATE($G2499,$F2499)))),"Check Date")</f>
        <v/>
      </c>
      <c r="I2499" s="12" t="str">
        <f aca="true">IF($H2499="","",IF(ISNUMBER($H2499),$H2499-TODAY(),""))</f>
        <v/>
      </c>
      <c r="J2499" s="4" t="str">
        <f aca="true">IF($D2499="Manual Review","Manual Review",IF($G2499="","No Data",IF(NOT(ISNUMBER($H2499)),"N/A",IF($H2499&lt;TODAY(),"Overdue",IF($H2499&lt;=TODAY()+30,"Due within 1 Month",IF($H2499&lt;=TODAY()+60,"Due within 2 Months","OK"))))))</f>
        <v>No Data</v>
      </c>
      <c r="K2499" s="13"/>
    </row>
    <row r="2500" customFormat="false" ht="15" hidden="false" customHeight="false" outlineLevel="0" collapsed="false">
      <c r="A2500" s="9" t="str">
        <f aca="false">Vessels!B27</f>
        <v>Vessel 23</v>
      </c>
      <c r="B2500" s="9" t="s">
        <v>42</v>
      </c>
      <c r="C2500" s="7" t="s">
        <v>72</v>
      </c>
      <c r="D2500" s="9" t="s">
        <v>59</v>
      </c>
      <c r="E2500" s="9" t="s">
        <v>58</v>
      </c>
      <c r="F2500" s="5"/>
      <c r="G2500" s="10"/>
      <c r="H2500" s="11" t="str">
        <f aca="false">IFERROR(IF($D2500="Manual Review","",IF($G2500="","",IF($D2500="Direct Expiry",$G2500,EDATE($G2500,$F2500)))),"Check Date")</f>
        <v/>
      </c>
      <c r="I2500" s="12" t="str">
        <f aca="true">IF($H2500="","",IF(ISNUMBER($H2500),$H2500-TODAY(),""))</f>
        <v/>
      </c>
      <c r="J2500" s="4" t="str">
        <f aca="true">IF($D2500="Manual Review","Manual Review",IF($G2500="","No Data",IF(NOT(ISNUMBER($H2500)),"N/A",IF($H2500&lt;TODAY(),"Overdue",IF($H2500&lt;=TODAY()+30,"Due within 1 Month",IF($H2500&lt;=TODAY()+60,"Due within 2 Months","OK"))))))</f>
        <v>No Data</v>
      </c>
      <c r="K2500" s="13"/>
    </row>
    <row r="2501" customFormat="false" ht="15" hidden="false" customHeight="false" outlineLevel="0" collapsed="false">
      <c r="A2501" s="9" t="str">
        <f aca="false">Vessels!B27</f>
        <v>Vessel 23</v>
      </c>
      <c r="B2501" s="9" t="s">
        <v>42</v>
      </c>
      <c r="C2501" s="7" t="s">
        <v>73</v>
      </c>
      <c r="D2501" s="9" t="s">
        <v>45</v>
      </c>
      <c r="E2501" s="9" t="s">
        <v>44</v>
      </c>
      <c r="F2501" s="5" t="n">
        <v>12</v>
      </c>
      <c r="G2501" s="10"/>
      <c r="H2501" s="11" t="str">
        <f aca="false">IFERROR(IF($D2501="Manual Review","",IF($G2501="","",IF($D2501="Direct Expiry",$G2501,EDATE($G2501,$F2501)))),"Check Date")</f>
        <v/>
      </c>
      <c r="I2501" s="12" t="str">
        <f aca="true">IF($H2501="","",IF(ISNUMBER($H2501),$H2501-TODAY(),""))</f>
        <v/>
      </c>
      <c r="J2501" s="4" t="str">
        <f aca="true">IF($D2501="Manual Review","Manual Review",IF($G2501="","No Data",IF(NOT(ISNUMBER($H2501)),"N/A",IF($H2501&lt;TODAY(),"Overdue",IF($H2501&lt;=TODAY()+30,"Due within 1 Month",IF($H2501&lt;=TODAY()+60,"Due within 2 Months","OK"))))))</f>
        <v>No Data</v>
      </c>
      <c r="K2501" s="13"/>
    </row>
    <row r="2502" customFormat="false" ht="15" hidden="false" customHeight="false" outlineLevel="0" collapsed="false">
      <c r="A2502" s="9" t="str">
        <f aca="false">Vessels!B27</f>
        <v>Vessel 23</v>
      </c>
      <c r="B2502" s="9" t="s">
        <v>42</v>
      </c>
      <c r="C2502" s="7" t="s">
        <v>74</v>
      </c>
      <c r="D2502" s="9" t="s">
        <v>59</v>
      </c>
      <c r="E2502" s="9" t="s">
        <v>58</v>
      </c>
      <c r="F2502" s="5"/>
      <c r="G2502" s="10"/>
      <c r="H2502" s="11" t="str">
        <f aca="false">IFERROR(IF($D2502="Manual Review","",IF($G2502="","",IF($D2502="Direct Expiry",$G2502,EDATE($G2502,$F2502)))),"Check Date")</f>
        <v/>
      </c>
      <c r="I2502" s="12" t="str">
        <f aca="true">IF($H2502="","",IF(ISNUMBER($H2502),$H2502-TODAY(),""))</f>
        <v/>
      </c>
      <c r="J2502" s="4" t="str">
        <f aca="true">IF($D2502="Manual Review","Manual Review",IF($G2502="","No Data",IF(NOT(ISNUMBER($H2502)),"N/A",IF($H2502&lt;TODAY(),"Overdue",IF($H2502&lt;=TODAY()+30,"Due within 1 Month",IF($H2502&lt;=TODAY()+60,"Due within 2 Months","OK"))))))</f>
        <v>No Data</v>
      </c>
      <c r="K2502" s="13"/>
    </row>
    <row r="2503" customFormat="false" ht="15" hidden="false" customHeight="false" outlineLevel="0" collapsed="false">
      <c r="A2503" s="9" t="str">
        <f aca="false">Vessels!B27</f>
        <v>Vessel 23</v>
      </c>
      <c r="B2503" s="9" t="s">
        <v>42</v>
      </c>
      <c r="C2503" s="7" t="s">
        <v>75</v>
      </c>
      <c r="D2503" s="9" t="s">
        <v>45</v>
      </c>
      <c r="E2503" s="9" t="s">
        <v>44</v>
      </c>
      <c r="F2503" s="5" t="n">
        <v>12</v>
      </c>
      <c r="G2503" s="10"/>
      <c r="H2503" s="11" t="str">
        <f aca="false">IFERROR(IF($D2503="Manual Review","",IF($G2503="","",IF($D2503="Direct Expiry",$G2503,EDATE($G2503,$F2503)))),"Check Date")</f>
        <v/>
      </c>
      <c r="I2503" s="12" t="str">
        <f aca="true">IF($H2503="","",IF(ISNUMBER($H2503),$H2503-TODAY(),""))</f>
        <v/>
      </c>
      <c r="J2503" s="4" t="str">
        <f aca="true">IF($D2503="Manual Review","Manual Review",IF($G2503="","No Data",IF(NOT(ISNUMBER($H2503)),"N/A",IF($H2503&lt;TODAY(),"Overdue",IF($H2503&lt;=TODAY()+30,"Due within 1 Month",IF($H2503&lt;=TODAY()+60,"Due within 2 Months","OK"))))))</f>
        <v>No Data</v>
      </c>
      <c r="K2503" s="13"/>
    </row>
    <row r="2504" customFormat="false" ht="15" hidden="false" customHeight="false" outlineLevel="0" collapsed="false">
      <c r="A2504" s="9" t="str">
        <f aca="false">Vessels!B27</f>
        <v>Vessel 23</v>
      </c>
      <c r="B2504" s="9" t="s">
        <v>42</v>
      </c>
      <c r="C2504" s="7" t="s">
        <v>76</v>
      </c>
      <c r="D2504" s="9" t="s">
        <v>59</v>
      </c>
      <c r="E2504" s="9" t="s">
        <v>58</v>
      </c>
      <c r="F2504" s="5"/>
      <c r="G2504" s="10"/>
      <c r="H2504" s="11" t="str">
        <f aca="false">IFERROR(IF($D2504="Manual Review","",IF($G2504="","",IF($D2504="Direct Expiry",$G2504,EDATE($G2504,$F2504)))),"Check Date")</f>
        <v/>
      </c>
      <c r="I2504" s="12" t="str">
        <f aca="true">IF($H2504="","",IF(ISNUMBER($H2504),$H2504-TODAY(),""))</f>
        <v/>
      </c>
      <c r="J2504" s="4" t="str">
        <f aca="true">IF($D2504="Manual Review","Manual Review",IF($G2504="","No Data",IF(NOT(ISNUMBER($H2504)),"N/A",IF($H2504&lt;TODAY(),"Overdue",IF($H2504&lt;=TODAY()+30,"Due within 1 Month",IF($H2504&lt;=TODAY()+60,"Due within 2 Months","OK"))))))</f>
        <v>No Data</v>
      </c>
      <c r="K2504" s="13"/>
    </row>
    <row r="2505" customFormat="false" ht="15" hidden="false" customHeight="false" outlineLevel="0" collapsed="false">
      <c r="A2505" s="9" t="str">
        <f aca="false">Vessels!B27</f>
        <v>Vessel 23</v>
      </c>
      <c r="B2505" s="9" t="s">
        <v>42</v>
      </c>
      <c r="C2505" s="7" t="s">
        <v>77</v>
      </c>
      <c r="D2505" s="9" t="s">
        <v>59</v>
      </c>
      <c r="E2505" s="9" t="s">
        <v>58</v>
      </c>
      <c r="F2505" s="5"/>
      <c r="G2505" s="10"/>
      <c r="H2505" s="11" t="str">
        <f aca="false">IFERROR(IF($D2505="Manual Review","",IF($G2505="","",IF($D2505="Direct Expiry",$G2505,EDATE($G2505,$F2505)))),"Check Date")</f>
        <v/>
      </c>
      <c r="I2505" s="12" t="str">
        <f aca="true">IF($H2505="","",IF(ISNUMBER($H2505),$H2505-TODAY(),""))</f>
        <v/>
      </c>
      <c r="J2505" s="4" t="str">
        <f aca="true">IF($D2505="Manual Review","Manual Review",IF($G2505="","No Data",IF(NOT(ISNUMBER($H2505)),"N/A",IF($H2505&lt;TODAY(),"Overdue",IF($H2505&lt;=TODAY()+30,"Due within 1 Month",IF($H2505&lt;=TODAY()+60,"Due within 2 Months","OK"))))))</f>
        <v>No Data</v>
      </c>
      <c r="K2505" s="13"/>
    </row>
    <row r="2506" customFormat="false" ht="15" hidden="false" customHeight="false" outlineLevel="0" collapsed="false">
      <c r="A2506" s="9" t="str">
        <f aca="false">Vessels!B27</f>
        <v>Vessel 23</v>
      </c>
      <c r="B2506" s="9" t="s">
        <v>42</v>
      </c>
      <c r="C2506" s="7" t="s">
        <v>78</v>
      </c>
      <c r="D2506" s="9" t="s">
        <v>59</v>
      </c>
      <c r="E2506" s="9" t="s">
        <v>58</v>
      </c>
      <c r="F2506" s="5"/>
      <c r="G2506" s="10"/>
      <c r="H2506" s="11" t="str">
        <f aca="false">IFERROR(IF($D2506="Manual Review","",IF($G2506="","",IF($D2506="Direct Expiry",$G2506,EDATE($G2506,$F2506)))),"Check Date")</f>
        <v/>
      </c>
      <c r="I2506" s="12" t="str">
        <f aca="true">IF($H2506="","",IF(ISNUMBER($H2506),$H2506-TODAY(),""))</f>
        <v/>
      </c>
      <c r="J2506" s="4" t="str">
        <f aca="true">IF($D2506="Manual Review","Manual Review",IF($G2506="","No Data",IF(NOT(ISNUMBER($H2506)),"N/A",IF($H2506&lt;TODAY(),"Overdue",IF($H2506&lt;=TODAY()+30,"Due within 1 Month",IF($H2506&lt;=TODAY()+60,"Due within 2 Months","OK"))))))</f>
        <v>No Data</v>
      </c>
      <c r="K2506" s="13"/>
    </row>
    <row r="2507" customFormat="false" ht="15" hidden="false" customHeight="false" outlineLevel="0" collapsed="false">
      <c r="A2507" s="9" t="str">
        <f aca="false">Vessels!B27</f>
        <v>Vessel 23</v>
      </c>
      <c r="B2507" s="9" t="s">
        <v>42</v>
      </c>
      <c r="C2507" s="7" t="s">
        <v>79</v>
      </c>
      <c r="D2507" s="9" t="s">
        <v>45</v>
      </c>
      <c r="E2507" s="9" t="s">
        <v>44</v>
      </c>
      <c r="F2507" s="5" t="n">
        <v>12</v>
      </c>
      <c r="G2507" s="10"/>
      <c r="H2507" s="11" t="str">
        <f aca="false">IFERROR(IF($D2507="Manual Review","",IF($G2507="","",IF($D2507="Direct Expiry",$G2507,EDATE($G2507,$F2507)))),"Check Date")</f>
        <v/>
      </c>
      <c r="I2507" s="12" t="str">
        <f aca="true">IF($H2507="","",IF(ISNUMBER($H2507),$H2507-TODAY(),""))</f>
        <v/>
      </c>
      <c r="J2507" s="4" t="str">
        <f aca="true">IF($D2507="Manual Review","Manual Review",IF($G2507="","No Data",IF(NOT(ISNUMBER($H2507)),"N/A",IF($H2507&lt;TODAY(),"Overdue",IF($H2507&lt;=TODAY()+30,"Due within 1 Month",IF($H2507&lt;=TODAY()+60,"Due within 2 Months","OK"))))))</f>
        <v>No Data</v>
      </c>
      <c r="K2507" s="13"/>
    </row>
    <row r="2508" customFormat="false" ht="15" hidden="false" customHeight="false" outlineLevel="0" collapsed="false">
      <c r="A2508" s="9" t="str">
        <f aca="false">Vessels!B27</f>
        <v>Vessel 23</v>
      </c>
      <c r="B2508" s="9" t="s">
        <v>42</v>
      </c>
      <c r="C2508" s="7" t="s">
        <v>80</v>
      </c>
      <c r="D2508" s="9" t="s">
        <v>45</v>
      </c>
      <c r="E2508" s="9" t="s">
        <v>81</v>
      </c>
      <c r="F2508" s="5" t="n">
        <v>36</v>
      </c>
      <c r="G2508" s="10"/>
      <c r="H2508" s="11" t="str">
        <f aca="false">IFERROR(IF($D2508="Manual Review","",IF($G2508="","",IF($D2508="Direct Expiry",$G2508,EDATE($G2508,$F2508)))),"Check Date")</f>
        <v/>
      </c>
      <c r="I2508" s="12" t="str">
        <f aca="true">IF($H2508="","",IF(ISNUMBER($H2508),$H2508-TODAY(),""))</f>
        <v/>
      </c>
      <c r="J2508" s="4" t="str">
        <f aca="true">IF($D2508="Manual Review","Manual Review",IF($G2508="","No Data",IF(NOT(ISNUMBER($H2508)),"N/A",IF($H2508&lt;TODAY(),"Overdue",IF($H2508&lt;=TODAY()+30,"Due within 1 Month",IF($H2508&lt;=TODAY()+60,"Due within 2 Months","OK"))))))</f>
        <v>No Data</v>
      </c>
      <c r="K2508" s="13"/>
    </row>
    <row r="2509" customFormat="false" ht="15" hidden="false" customHeight="false" outlineLevel="0" collapsed="false">
      <c r="A2509" s="9" t="str">
        <f aca="false">Vessels!B27</f>
        <v>Vessel 23</v>
      </c>
      <c r="B2509" s="9" t="s">
        <v>42</v>
      </c>
      <c r="C2509" s="7" t="s">
        <v>80</v>
      </c>
      <c r="D2509" s="9" t="s">
        <v>45</v>
      </c>
      <c r="E2509" s="9" t="s">
        <v>82</v>
      </c>
      <c r="F2509" s="5" t="n">
        <v>24</v>
      </c>
      <c r="G2509" s="10"/>
      <c r="H2509" s="11" t="str">
        <f aca="false">IFERROR(IF($D2509="Manual Review","",IF($G2509="","",IF($D2509="Direct Expiry",$G2509,EDATE($G2509,$F2509)))),"Check Date")</f>
        <v/>
      </c>
      <c r="I2509" s="12" t="str">
        <f aca="true">IF($H2509="","",IF(ISNUMBER($H2509),$H2509-TODAY(),""))</f>
        <v/>
      </c>
      <c r="J2509" s="4" t="str">
        <f aca="true">IF($D2509="Manual Review","Manual Review",IF($G2509="","No Data",IF(NOT(ISNUMBER($H2509)),"N/A",IF($H2509&lt;TODAY(),"Overdue",IF($H2509&lt;=TODAY()+30,"Due within 1 Month",IF($H2509&lt;=TODAY()+60,"Due within 2 Months","OK"))))))</f>
        <v>No Data</v>
      </c>
      <c r="K2509" s="13"/>
    </row>
    <row r="2510" customFormat="false" ht="15" hidden="false" customHeight="false" outlineLevel="0" collapsed="false">
      <c r="A2510" s="9" t="str">
        <f aca="false">Vessels!B27</f>
        <v>Vessel 23</v>
      </c>
      <c r="B2510" s="9" t="s">
        <v>42</v>
      </c>
      <c r="C2510" s="7" t="s">
        <v>83</v>
      </c>
      <c r="D2510" s="9" t="s">
        <v>45</v>
      </c>
      <c r="E2510" s="9" t="s">
        <v>44</v>
      </c>
      <c r="F2510" s="5" t="n">
        <v>12</v>
      </c>
      <c r="G2510" s="10"/>
      <c r="H2510" s="11" t="str">
        <f aca="false">IFERROR(IF($D2510="Manual Review","",IF($G2510="","",IF($D2510="Direct Expiry",$G2510,EDATE($G2510,$F2510)))),"Check Date")</f>
        <v/>
      </c>
      <c r="I2510" s="12" t="str">
        <f aca="true">IF($H2510="","",IF(ISNUMBER($H2510),$H2510-TODAY(),""))</f>
        <v/>
      </c>
      <c r="J2510" s="4" t="str">
        <f aca="true">IF($D2510="Manual Review","Manual Review",IF($G2510="","No Data",IF(NOT(ISNUMBER($H2510)),"N/A",IF($H2510&lt;TODAY(),"Overdue",IF($H2510&lt;=TODAY()+30,"Due within 1 Month",IF($H2510&lt;=TODAY()+60,"Due within 2 Months","OK"))))))</f>
        <v>No Data</v>
      </c>
      <c r="K2510" s="13"/>
    </row>
    <row r="2511" customFormat="false" ht="15" hidden="false" customHeight="false" outlineLevel="0" collapsed="false">
      <c r="A2511" s="9" t="str">
        <f aca="false">Vessels!B27</f>
        <v>Vessel 23</v>
      </c>
      <c r="B2511" s="9" t="s">
        <v>42</v>
      </c>
      <c r="C2511" s="7" t="s">
        <v>83</v>
      </c>
      <c r="D2511" s="9" t="s">
        <v>45</v>
      </c>
      <c r="E2511" s="9" t="s">
        <v>84</v>
      </c>
      <c r="F2511" s="5" t="n">
        <v>60</v>
      </c>
      <c r="G2511" s="10"/>
      <c r="H2511" s="11" t="str">
        <f aca="false">IFERROR(IF($D2511="Manual Review","",IF($G2511="","",IF($D2511="Direct Expiry",$G2511,EDATE($G2511,$F2511)))),"Check Date")</f>
        <v/>
      </c>
      <c r="I2511" s="12" t="str">
        <f aca="true">IF($H2511="","",IF(ISNUMBER($H2511),$H2511-TODAY(),""))</f>
        <v/>
      </c>
      <c r="J2511" s="4" t="str">
        <f aca="true">IF($D2511="Manual Review","Manual Review",IF($G2511="","No Data",IF(NOT(ISNUMBER($H2511)),"N/A",IF($H2511&lt;TODAY(),"Overdue",IF($H2511&lt;=TODAY()+30,"Due within 1 Month",IF($H2511&lt;=TODAY()+60,"Due within 2 Months","OK"))))))</f>
        <v>No Data</v>
      </c>
      <c r="K2511" s="13"/>
    </row>
    <row r="2512" customFormat="false" ht="15" hidden="false" customHeight="false" outlineLevel="0" collapsed="false">
      <c r="A2512" s="9" t="str">
        <f aca="false">Vessels!B27</f>
        <v>Vessel 23</v>
      </c>
      <c r="B2512" s="9" t="s">
        <v>42</v>
      </c>
      <c r="C2512" s="7" t="s">
        <v>85</v>
      </c>
      <c r="D2512" s="9" t="s">
        <v>45</v>
      </c>
      <c r="E2512" s="9" t="s">
        <v>44</v>
      </c>
      <c r="F2512" s="5" t="n">
        <v>12</v>
      </c>
      <c r="G2512" s="10"/>
      <c r="H2512" s="11" t="str">
        <f aca="false">IFERROR(IF($D2512="Manual Review","",IF($G2512="","",IF($D2512="Direct Expiry",$G2512,EDATE($G2512,$F2512)))),"Check Date")</f>
        <v/>
      </c>
      <c r="I2512" s="12" t="str">
        <f aca="true">IF($H2512="","",IF(ISNUMBER($H2512),$H2512-TODAY(),""))</f>
        <v/>
      </c>
      <c r="J2512" s="4" t="str">
        <f aca="true">IF($D2512="Manual Review","Manual Review",IF($G2512="","No Data",IF(NOT(ISNUMBER($H2512)),"N/A",IF($H2512&lt;TODAY(),"Overdue",IF($H2512&lt;=TODAY()+30,"Due within 1 Month",IF($H2512&lt;=TODAY()+60,"Due within 2 Months","OK"))))))</f>
        <v>No Data</v>
      </c>
      <c r="K2512" s="13"/>
    </row>
    <row r="2513" customFormat="false" ht="15" hidden="false" customHeight="false" outlineLevel="0" collapsed="false">
      <c r="A2513" s="9" t="str">
        <f aca="false">Vessels!B27</f>
        <v>Vessel 23</v>
      </c>
      <c r="B2513" s="9" t="s">
        <v>42</v>
      </c>
      <c r="C2513" s="7" t="s">
        <v>85</v>
      </c>
      <c r="D2513" s="9" t="s">
        <v>45</v>
      </c>
      <c r="E2513" s="9" t="s">
        <v>84</v>
      </c>
      <c r="F2513" s="5" t="n">
        <v>60</v>
      </c>
      <c r="G2513" s="10"/>
      <c r="H2513" s="11" t="str">
        <f aca="false">IFERROR(IF($D2513="Manual Review","",IF($G2513="","",IF($D2513="Direct Expiry",$G2513,EDATE($G2513,$F2513)))),"Check Date")</f>
        <v/>
      </c>
      <c r="I2513" s="12" t="str">
        <f aca="true">IF($H2513="","",IF(ISNUMBER($H2513),$H2513-TODAY(),""))</f>
        <v/>
      </c>
      <c r="J2513" s="4" t="str">
        <f aca="true">IF($D2513="Manual Review","Manual Review",IF($G2513="","No Data",IF(NOT(ISNUMBER($H2513)),"N/A",IF($H2513&lt;TODAY(),"Overdue",IF($H2513&lt;=TODAY()+30,"Due within 1 Month",IF($H2513&lt;=TODAY()+60,"Due within 2 Months","OK"))))))</f>
        <v>No Data</v>
      </c>
      <c r="K2513" s="13"/>
    </row>
    <row r="2514" customFormat="false" ht="15" hidden="false" customHeight="false" outlineLevel="0" collapsed="false">
      <c r="A2514" s="9" t="str">
        <f aca="false">Vessels!B27</f>
        <v>Vessel 23</v>
      </c>
      <c r="B2514" s="9" t="s">
        <v>42</v>
      </c>
      <c r="C2514" s="7" t="s">
        <v>86</v>
      </c>
      <c r="D2514" s="9" t="s">
        <v>45</v>
      </c>
      <c r="E2514" s="9" t="s">
        <v>44</v>
      </c>
      <c r="F2514" s="5" t="n">
        <v>12</v>
      </c>
      <c r="G2514" s="10"/>
      <c r="H2514" s="11" t="str">
        <f aca="false">IFERROR(IF($D2514="Manual Review","",IF($G2514="","",IF($D2514="Direct Expiry",$G2514,EDATE($G2514,$F2514)))),"Check Date")</f>
        <v/>
      </c>
      <c r="I2514" s="12" t="str">
        <f aca="true">IF($H2514="","",IF(ISNUMBER($H2514),$H2514-TODAY(),""))</f>
        <v/>
      </c>
      <c r="J2514" s="4" t="str">
        <f aca="true">IF($D2514="Manual Review","Manual Review",IF($G2514="","No Data",IF(NOT(ISNUMBER($H2514)),"N/A",IF($H2514&lt;TODAY(),"Overdue",IF($H2514&lt;=TODAY()+30,"Due within 1 Month",IF($H2514&lt;=TODAY()+60,"Due within 2 Months","OK"))))))</f>
        <v>No Data</v>
      </c>
      <c r="K2514" s="13"/>
    </row>
    <row r="2515" customFormat="false" ht="15" hidden="false" customHeight="false" outlineLevel="0" collapsed="false">
      <c r="A2515" s="9" t="str">
        <f aca="false">Vessels!B27</f>
        <v>Vessel 23</v>
      </c>
      <c r="B2515" s="9" t="s">
        <v>42</v>
      </c>
      <c r="C2515" s="7" t="s">
        <v>87</v>
      </c>
      <c r="D2515" s="9" t="s">
        <v>45</v>
      </c>
      <c r="E2515" s="9" t="s">
        <v>44</v>
      </c>
      <c r="F2515" s="5" t="n">
        <v>12</v>
      </c>
      <c r="G2515" s="10"/>
      <c r="H2515" s="11" t="str">
        <f aca="false">IFERROR(IF($D2515="Manual Review","",IF($G2515="","",IF($D2515="Direct Expiry",$G2515,EDATE($G2515,$F2515)))),"Check Date")</f>
        <v/>
      </c>
      <c r="I2515" s="12" t="str">
        <f aca="true">IF($H2515="","",IF(ISNUMBER($H2515),$H2515-TODAY(),""))</f>
        <v/>
      </c>
      <c r="J2515" s="4" t="str">
        <f aca="true">IF($D2515="Manual Review","Manual Review",IF($G2515="","No Data",IF(NOT(ISNUMBER($H2515)),"N/A",IF($H2515&lt;TODAY(),"Overdue",IF($H2515&lt;=TODAY()+30,"Due within 1 Month",IF($H2515&lt;=TODAY()+60,"Due within 2 Months","OK"))))))</f>
        <v>No Data</v>
      </c>
      <c r="K2515" s="13"/>
    </row>
    <row r="2516" customFormat="false" ht="15" hidden="false" customHeight="false" outlineLevel="0" collapsed="false">
      <c r="A2516" s="9" t="str">
        <f aca="false">Vessels!B27</f>
        <v>Vessel 23</v>
      </c>
      <c r="B2516" s="9" t="s">
        <v>88</v>
      </c>
      <c r="C2516" s="7" t="s">
        <v>89</v>
      </c>
      <c r="D2516" s="9" t="s">
        <v>45</v>
      </c>
      <c r="E2516" s="9" t="s">
        <v>90</v>
      </c>
      <c r="F2516" s="5" t="n">
        <v>36</v>
      </c>
      <c r="G2516" s="10"/>
      <c r="H2516" s="11" t="str">
        <f aca="false">IFERROR(IF($D2516="Manual Review","",IF($G2516="","",IF($D2516="Direct Expiry",$G2516,EDATE($G2516,$F2516)))),"Check Date")</f>
        <v/>
      </c>
      <c r="I2516" s="12" t="str">
        <f aca="true">IF($H2516="","",IF(ISNUMBER($H2516),$H2516-TODAY(),""))</f>
        <v/>
      </c>
      <c r="J2516" s="4" t="str">
        <f aca="true">IF($D2516="Manual Review","Manual Review",IF($G2516="","No Data",IF(NOT(ISNUMBER($H2516)),"N/A",IF($H2516&lt;TODAY(),"Overdue",IF($H2516&lt;=TODAY()+30,"Due within 1 Month",IF($H2516&lt;=TODAY()+60,"Due within 2 Months","OK"))))))</f>
        <v>No Data</v>
      </c>
      <c r="K2516" s="13"/>
    </row>
    <row r="2517" customFormat="false" ht="15" hidden="false" customHeight="false" outlineLevel="0" collapsed="false">
      <c r="A2517" s="9" t="str">
        <f aca="false">Vessels!B27</f>
        <v>Vessel 23</v>
      </c>
      <c r="B2517" s="9" t="s">
        <v>88</v>
      </c>
      <c r="C2517" s="7" t="s">
        <v>91</v>
      </c>
      <c r="D2517" s="9" t="s">
        <v>45</v>
      </c>
      <c r="E2517" s="9" t="s">
        <v>44</v>
      </c>
      <c r="F2517" s="5" t="n">
        <v>12</v>
      </c>
      <c r="G2517" s="10"/>
      <c r="H2517" s="11" t="str">
        <f aca="false">IFERROR(IF($D2517="Manual Review","",IF($G2517="","",IF($D2517="Direct Expiry",$G2517,EDATE($G2517,$F2517)))),"Check Date")</f>
        <v/>
      </c>
      <c r="I2517" s="12" t="str">
        <f aca="true">IF($H2517="","",IF(ISNUMBER($H2517),$H2517-TODAY(),""))</f>
        <v/>
      </c>
      <c r="J2517" s="4" t="str">
        <f aca="true">IF($D2517="Manual Review","Manual Review",IF($G2517="","No Data",IF(NOT(ISNUMBER($H2517)),"N/A",IF($H2517&lt;TODAY(),"Overdue",IF($H2517&lt;=TODAY()+30,"Due within 1 Month",IF($H2517&lt;=TODAY()+60,"Due within 2 Months","OK"))))))</f>
        <v>No Data</v>
      </c>
      <c r="K2517" s="13"/>
    </row>
    <row r="2518" customFormat="false" ht="15" hidden="false" customHeight="false" outlineLevel="0" collapsed="false">
      <c r="A2518" s="9" t="str">
        <f aca="false">Vessels!B27</f>
        <v>Vessel 23</v>
      </c>
      <c r="B2518" s="9" t="s">
        <v>88</v>
      </c>
      <c r="C2518" s="7" t="s">
        <v>91</v>
      </c>
      <c r="D2518" s="9" t="s">
        <v>45</v>
      </c>
      <c r="E2518" s="9" t="s">
        <v>92</v>
      </c>
      <c r="F2518" s="5" t="n">
        <v>120</v>
      </c>
      <c r="G2518" s="10"/>
      <c r="H2518" s="11" t="str">
        <f aca="false">IFERROR(IF($D2518="Manual Review","",IF($G2518="","",IF($D2518="Direct Expiry",$G2518,EDATE($G2518,$F2518)))),"Check Date")</f>
        <v/>
      </c>
      <c r="I2518" s="12" t="str">
        <f aca="true">IF($H2518="","",IF(ISNUMBER($H2518),$H2518-TODAY(),""))</f>
        <v/>
      </c>
      <c r="J2518" s="4" t="str">
        <f aca="true">IF($D2518="Manual Review","Manual Review",IF($G2518="","No Data",IF(NOT(ISNUMBER($H2518)),"N/A",IF($H2518&lt;TODAY(),"Overdue",IF($H2518&lt;=TODAY()+30,"Due within 1 Month",IF($H2518&lt;=TODAY()+60,"Due within 2 Months","OK"))))))</f>
        <v>No Data</v>
      </c>
      <c r="K2518" s="13"/>
    </row>
    <row r="2519" customFormat="false" ht="15" hidden="false" customHeight="false" outlineLevel="0" collapsed="false">
      <c r="A2519" s="9" t="str">
        <f aca="false">Vessels!B27</f>
        <v>Vessel 23</v>
      </c>
      <c r="B2519" s="9" t="s">
        <v>88</v>
      </c>
      <c r="C2519" s="7" t="s">
        <v>93</v>
      </c>
      <c r="D2519" s="9" t="s">
        <v>45</v>
      </c>
      <c r="E2519" s="9" t="s">
        <v>44</v>
      </c>
      <c r="F2519" s="5" t="n">
        <v>12</v>
      </c>
      <c r="G2519" s="10"/>
      <c r="H2519" s="11" t="str">
        <f aca="false">IFERROR(IF($D2519="Manual Review","",IF($G2519="","",IF($D2519="Direct Expiry",$G2519,EDATE($G2519,$F2519)))),"Check Date")</f>
        <v/>
      </c>
      <c r="I2519" s="12" t="str">
        <f aca="true">IF($H2519="","",IF(ISNUMBER($H2519),$H2519-TODAY(),""))</f>
        <v/>
      </c>
      <c r="J2519" s="4" t="str">
        <f aca="true">IF($D2519="Manual Review","Manual Review",IF($G2519="","No Data",IF(NOT(ISNUMBER($H2519)),"N/A",IF($H2519&lt;TODAY(),"Overdue",IF($H2519&lt;=TODAY()+30,"Due within 1 Month",IF($H2519&lt;=TODAY()+60,"Due within 2 Months","OK"))))))</f>
        <v>No Data</v>
      </c>
      <c r="K2519" s="13"/>
    </row>
    <row r="2520" customFormat="false" ht="15" hidden="false" customHeight="false" outlineLevel="0" collapsed="false">
      <c r="A2520" s="9" t="str">
        <f aca="false">Vessels!B27</f>
        <v>Vessel 23</v>
      </c>
      <c r="B2520" s="9" t="s">
        <v>88</v>
      </c>
      <c r="C2520" s="7" t="s">
        <v>93</v>
      </c>
      <c r="D2520" s="9" t="s">
        <v>45</v>
      </c>
      <c r="E2520" s="9" t="s">
        <v>92</v>
      </c>
      <c r="F2520" s="5" t="n">
        <v>120</v>
      </c>
      <c r="G2520" s="10"/>
      <c r="H2520" s="11" t="str">
        <f aca="false">IFERROR(IF($D2520="Manual Review","",IF($G2520="","",IF($D2520="Direct Expiry",$G2520,EDATE($G2520,$F2520)))),"Check Date")</f>
        <v/>
      </c>
      <c r="I2520" s="12" t="str">
        <f aca="true">IF($H2520="","",IF(ISNUMBER($H2520),$H2520-TODAY(),""))</f>
        <v/>
      </c>
      <c r="J2520" s="4" t="str">
        <f aca="true">IF($D2520="Manual Review","Manual Review",IF($G2520="","No Data",IF(NOT(ISNUMBER($H2520)),"N/A",IF($H2520&lt;TODAY(),"Overdue",IF($H2520&lt;=TODAY()+30,"Due within 1 Month",IF($H2520&lt;=TODAY()+60,"Due within 2 Months","OK"))))))</f>
        <v>No Data</v>
      </c>
      <c r="K2520" s="13"/>
    </row>
    <row r="2521" customFormat="false" ht="15" hidden="false" customHeight="false" outlineLevel="0" collapsed="false">
      <c r="A2521" s="9" t="str">
        <f aca="false">Vessels!B27</f>
        <v>Vessel 23</v>
      </c>
      <c r="B2521" s="9" t="s">
        <v>88</v>
      </c>
      <c r="C2521" s="7" t="s">
        <v>94</v>
      </c>
      <c r="D2521" s="9" t="s">
        <v>45</v>
      </c>
      <c r="E2521" s="9" t="s">
        <v>44</v>
      </c>
      <c r="F2521" s="5" t="n">
        <v>12</v>
      </c>
      <c r="G2521" s="10"/>
      <c r="H2521" s="11" t="str">
        <f aca="false">IFERROR(IF($D2521="Manual Review","",IF($G2521="","",IF($D2521="Direct Expiry",$G2521,EDATE($G2521,$F2521)))),"Check Date")</f>
        <v/>
      </c>
      <c r="I2521" s="12" t="str">
        <f aca="true">IF($H2521="","",IF(ISNUMBER($H2521),$H2521-TODAY(),""))</f>
        <v/>
      </c>
      <c r="J2521" s="4" t="str">
        <f aca="true">IF($D2521="Manual Review","Manual Review",IF($G2521="","No Data",IF(NOT(ISNUMBER($H2521)),"N/A",IF($H2521&lt;TODAY(),"Overdue",IF($H2521&lt;=TODAY()+30,"Due within 1 Month",IF($H2521&lt;=TODAY()+60,"Due within 2 Months","OK"))))))</f>
        <v>No Data</v>
      </c>
      <c r="K2521" s="13"/>
    </row>
    <row r="2522" customFormat="false" ht="15" hidden="false" customHeight="false" outlineLevel="0" collapsed="false">
      <c r="A2522" s="9" t="str">
        <f aca="false">Vessels!B27</f>
        <v>Vessel 23</v>
      </c>
      <c r="B2522" s="9" t="s">
        <v>88</v>
      </c>
      <c r="C2522" s="7" t="s">
        <v>94</v>
      </c>
      <c r="D2522" s="9" t="s">
        <v>45</v>
      </c>
      <c r="E2522" s="9" t="s">
        <v>92</v>
      </c>
      <c r="F2522" s="5" t="n">
        <v>120</v>
      </c>
      <c r="G2522" s="10"/>
      <c r="H2522" s="11" t="str">
        <f aca="false">IFERROR(IF($D2522="Manual Review","",IF($G2522="","",IF($D2522="Direct Expiry",$G2522,EDATE($G2522,$F2522)))),"Check Date")</f>
        <v/>
      </c>
      <c r="I2522" s="12" t="str">
        <f aca="true">IF($H2522="","",IF(ISNUMBER($H2522),$H2522-TODAY(),""))</f>
        <v/>
      </c>
      <c r="J2522" s="4" t="str">
        <f aca="true">IF($D2522="Manual Review","Manual Review",IF($G2522="","No Data",IF(NOT(ISNUMBER($H2522)),"N/A",IF($H2522&lt;TODAY(),"Overdue",IF($H2522&lt;=TODAY()+30,"Due within 1 Month",IF($H2522&lt;=TODAY()+60,"Due within 2 Months","OK"))))))</f>
        <v>No Data</v>
      </c>
      <c r="K2522" s="13"/>
    </row>
    <row r="2523" customFormat="false" ht="15" hidden="false" customHeight="false" outlineLevel="0" collapsed="false">
      <c r="A2523" s="9" t="str">
        <f aca="false">Vessels!B27</f>
        <v>Vessel 23</v>
      </c>
      <c r="B2523" s="9" t="s">
        <v>88</v>
      </c>
      <c r="C2523" s="7" t="s">
        <v>95</v>
      </c>
      <c r="D2523" s="9" t="s">
        <v>45</v>
      </c>
      <c r="E2523" s="9" t="s">
        <v>44</v>
      </c>
      <c r="F2523" s="5" t="n">
        <v>12</v>
      </c>
      <c r="G2523" s="10"/>
      <c r="H2523" s="11" t="str">
        <f aca="false">IFERROR(IF($D2523="Manual Review","",IF($G2523="","",IF($D2523="Direct Expiry",$G2523,EDATE($G2523,$F2523)))),"Check Date")</f>
        <v/>
      </c>
      <c r="I2523" s="12" t="str">
        <f aca="true">IF($H2523="","",IF(ISNUMBER($H2523),$H2523-TODAY(),""))</f>
        <v/>
      </c>
      <c r="J2523" s="4" t="str">
        <f aca="true">IF($D2523="Manual Review","Manual Review",IF($G2523="","No Data",IF(NOT(ISNUMBER($H2523)),"N/A",IF($H2523&lt;TODAY(),"Overdue",IF($H2523&lt;=TODAY()+30,"Due within 1 Month",IF($H2523&lt;=TODAY()+60,"Due within 2 Months","OK"))))))</f>
        <v>No Data</v>
      </c>
      <c r="K2523" s="13"/>
    </row>
    <row r="2524" customFormat="false" ht="15" hidden="false" customHeight="false" outlineLevel="0" collapsed="false">
      <c r="A2524" s="9" t="str">
        <f aca="false">Vessels!B27</f>
        <v>Vessel 23</v>
      </c>
      <c r="B2524" s="9" t="s">
        <v>88</v>
      </c>
      <c r="C2524" s="7" t="s">
        <v>95</v>
      </c>
      <c r="D2524" s="9" t="s">
        <v>45</v>
      </c>
      <c r="E2524" s="9" t="s">
        <v>92</v>
      </c>
      <c r="F2524" s="5" t="n">
        <v>120</v>
      </c>
      <c r="G2524" s="10"/>
      <c r="H2524" s="11" t="str">
        <f aca="false">IFERROR(IF($D2524="Manual Review","",IF($G2524="","",IF($D2524="Direct Expiry",$G2524,EDATE($G2524,$F2524)))),"Check Date")</f>
        <v/>
      </c>
      <c r="I2524" s="12" t="str">
        <f aca="true">IF($H2524="","",IF(ISNUMBER($H2524),$H2524-TODAY(),""))</f>
        <v/>
      </c>
      <c r="J2524" s="4" t="str">
        <f aca="true">IF($D2524="Manual Review","Manual Review",IF($G2524="","No Data",IF(NOT(ISNUMBER($H2524)),"N/A",IF($H2524&lt;TODAY(),"Overdue",IF($H2524&lt;=TODAY()+30,"Due within 1 Month",IF($H2524&lt;=TODAY()+60,"Due within 2 Months","OK"))))))</f>
        <v>No Data</v>
      </c>
      <c r="K2524" s="13"/>
    </row>
    <row r="2525" customFormat="false" ht="15" hidden="false" customHeight="false" outlineLevel="0" collapsed="false">
      <c r="A2525" s="9" t="str">
        <f aca="false">Vessels!B27</f>
        <v>Vessel 23</v>
      </c>
      <c r="B2525" s="9" t="s">
        <v>88</v>
      </c>
      <c r="C2525" s="7" t="s">
        <v>96</v>
      </c>
      <c r="D2525" s="9" t="s">
        <v>45</v>
      </c>
      <c r="E2525" s="9" t="s">
        <v>44</v>
      </c>
      <c r="F2525" s="5" t="n">
        <v>12</v>
      </c>
      <c r="G2525" s="10"/>
      <c r="H2525" s="11" t="str">
        <f aca="false">IFERROR(IF($D2525="Manual Review","",IF($G2525="","",IF($D2525="Direct Expiry",$G2525,EDATE($G2525,$F2525)))),"Check Date")</f>
        <v/>
      </c>
      <c r="I2525" s="12" t="str">
        <f aca="true">IF($H2525="","",IF(ISNUMBER($H2525),$H2525-TODAY(),""))</f>
        <v/>
      </c>
      <c r="J2525" s="4" t="str">
        <f aca="true">IF($D2525="Manual Review","Manual Review",IF($G2525="","No Data",IF(NOT(ISNUMBER($H2525)),"N/A",IF($H2525&lt;TODAY(),"Overdue",IF($H2525&lt;=TODAY()+30,"Due within 1 Month",IF($H2525&lt;=TODAY()+60,"Due within 2 Months","OK"))))))</f>
        <v>No Data</v>
      </c>
      <c r="K2525" s="13"/>
    </row>
    <row r="2526" customFormat="false" ht="15" hidden="false" customHeight="false" outlineLevel="0" collapsed="false">
      <c r="A2526" s="9" t="str">
        <f aca="false">Vessels!B27</f>
        <v>Vessel 23</v>
      </c>
      <c r="B2526" s="9" t="s">
        <v>88</v>
      </c>
      <c r="C2526" s="7" t="s">
        <v>96</v>
      </c>
      <c r="D2526" s="9" t="s">
        <v>45</v>
      </c>
      <c r="E2526" s="9" t="s">
        <v>97</v>
      </c>
      <c r="F2526" s="5" t="n">
        <v>120</v>
      </c>
      <c r="G2526" s="10"/>
      <c r="H2526" s="11" t="str">
        <f aca="false">IFERROR(IF($D2526="Manual Review","",IF($G2526="","",IF($D2526="Direct Expiry",$G2526,EDATE($G2526,$F2526)))),"Check Date")</f>
        <v/>
      </c>
      <c r="I2526" s="12" t="str">
        <f aca="true">IF($H2526="","",IF(ISNUMBER($H2526),$H2526-TODAY(),""))</f>
        <v/>
      </c>
      <c r="J2526" s="4" t="str">
        <f aca="true">IF($D2526="Manual Review","Manual Review",IF($G2526="","No Data",IF(NOT(ISNUMBER($H2526)),"N/A",IF($H2526&lt;TODAY(),"Overdue",IF($H2526&lt;=TODAY()+30,"Due within 1 Month",IF($H2526&lt;=TODAY()+60,"Due within 2 Months","OK"))))))</f>
        <v>No Data</v>
      </c>
      <c r="K2526" s="13"/>
    </row>
    <row r="2527" customFormat="false" ht="15" hidden="false" customHeight="false" outlineLevel="0" collapsed="false">
      <c r="A2527" s="9" t="str">
        <f aca="false">Vessels!B27</f>
        <v>Vessel 23</v>
      </c>
      <c r="B2527" s="9" t="s">
        <v>88</v>
      </c>
      <c r="C2527" s="7" t="s">
        <v>98</v>
      </c>
      <c r="D2527" s="9" t="s">
        <v>45</v>
      </c>
      <c r="E2527" s="9" t="s">
        <v>44</v>
      </c>
      <c r="F2527" s="5" t="n">
        <v>12</v>
      </c>
      <c r="G2527" s="10"/>
      <c r="H2527" s="11" t="str">
        <f aca="false">IFERROR(IF($D2527="Manual Review","",IF($G2527="","",IF($D2527="Direct Expiry",$G2527,EDATE($G2527,$F2527)))),"Check Date")</f>
        <v/>
      </c>
      <c r="I2527" s="12" t="str">
        <f aca="true">IF($H2527="","",IF(ISNUMBER($H2527),$H2527-TODAY(),""))</f>
        <v/>
      </c>
      <c r="J2527" s="4" t="str">
        <f aca="true">IF($D2527="Manual Review","Manual Review",IF($G2527="","No Data",IF(NOT(ISNUMBER($H2527)),"N/A",IF($H2527&lt;TODAY(),"Overdue",IF($H2527&lt;=TODAY()+30,"Due within 1 Month",IF($H2527&lt;=TODAY()+60,"Due within 2 Months","OK"))))))</f>
        <v>No Data</v>
      </c>
      <c r="K2527" s="13"/>
    </row>
    <row r="2528" customFormat="false" ht="15" hidden="false" customHeight="false" outlineLevel="0" collapsed="false">
      <c r="A2528" s="9" t="str">
        <f aca="false">Vessels!B27</f>
        <v>Vessel 23</v>
      </c>
      <c r="B2528" s="9" t="s">
        <v>88</v>
      </c>
      <c r="C2528" s="7" t="s">
        <v>98</v>
      </c>
      <c r="D2528" s="9" t="s">
        <v>45</v>
      </c>
      <c r="E2528" s="9" t="s">
        <v>99</v>
      </c>
      <c r="F2528" s="5" t="n">
        <v>60</v>
      </c>
      <c r="G2528" s="10"/>
      <c r="H2528" s="11" t="str">
        <f aca="false">IFERROR(IF($D2528="Manual Review","",IF($G2528="","",IF($D2528="Direct Expiry",$G2528,EDATE($G2528,$F2528)))),"Check Date")</f>
        <v/>
      </c>
      <c r="I2528" s="12" t="str">
        <f aca="true">IF($H2528="","",IF(ISNUMBER($H2528),$H2528-TODAY(),""))</f>
        <v/>
      </c>
      <c r="J2528" s="4" t="str">
        <f aca="true">IF($D2528="Manual Review","Manual Review",IF($G2528="","No Data",IF(NOT(ISNUMBER($H2528)),"N/A",IF($H2528&lt;TODAY(),"Overdue",IF($H2528&lt;=TODAY()+30,"Due within 1 Month",IF($H2528&lt;=TODAY()+60,"Due within 2 Months","OK"))))))</f>
        <v>No Data</v>
      </c>
      <c r="K2528" s="13"/>
    </row>
    <row r="2529" customFormat="false" ht="15" hidden="false" customHeight="false" outlineLevel="0" collapsed="false">
      <c r="A2529" s="9" t="str">
        <f aca="false">Vessels!B27</f>
        <v>Vessel 23</v>
      </c>
      <c r="B2529" s="9" t="s">
        <v>88</v>
      </c>
      <c r="C2529" s="7" t="s">
        <v>100</v>
      </c>
      <c r="D2529" s="9" t="s">
        <v>45</v>
      </c>
      <c r="E2529" s="9" t="s">
        <v>44</v>
      </c>
      <c r="F2529" s="5" t="n">
        <v>12</v>
      </c>
      <c r="G2529" s="10"/>
      <c r="H2529" s="11" t="str">
        <f aca="false">IFERROR(IF($D2529="Manual Review","",IF($G2529="","",IF($D2529="Direct Expiry",$G2529,EDATE($G2529,$F2529)))),"Check Date")</f>
        <v/>
      </c>
      <c r="I2529" s="12" t="str">
        <f aca="true">IF($H2529="","",IF(ISNUMBER($H2529),$H2529-TODAY(),""))</f>
        <v/>
      </c>
      <c r="J2529" s="4" t="str">
        <f aca="true">IF($D2529="Manual Review","Manual Review",IF($G2529="","No Data",IF(NOT(ISNUMBER($H2529)),"N/A",IF($H2529&lt;TODAY(),"Overdue",IF($H2529&lt;=TODAY()+30,"Due within 1 Month",IF($H2529&lt;=TODAY()+60,"Due within 2 Months","OK"))))))</f>
        <v>No Data</v>
      </c>
      <c r="K2529" s="13"/>
    </row>
    <row r="2530" customFormat="false" ht="15" hidden="false" customHeight="false" outlineLevel="0" collapsed="false">
      <c r="A2530" s="9" t="str">
        <f aca="false">Vessels!B27</f>
        <v>Vessel 23</v>
      </c>
      <c r="B2530" s="9" t="s">
        <v>88</v>
      </c>
      <c r="C2530" s="7" t="s">
        <v>100</v>
      </c>
      <c r="D2530" s="9" t="s">
        <v>45</v>
      </c>
      <c r="E2530" s="9" t="s">
        <v>99</v>
      </c>
      <c r="F2530" s="5" t="n">
        <v>60</v>
      </c>
      <c r="G2530" s="10"/>
      <c r="H2530" s="11" t="str">
        <f aca="false">IFERROR(IF($D2530="Manual Review","",IF($G2530="","",IF($D2530="Direct Expiry",$G2530,EDATE($G2530,$F2530)))),"Check Date")</f>
        <v/>
      </c>
      <c r="I2530" s="12" t="str">
        <f aca="true">IF($H2530="","",IF(ISNUMBER($H2530),$H2530-TODAY(),""))</f>
        <v/>
      </c>
      <c r="J2530" s="4" t="str">
        <f aca="true">IF($D2530="Manual Review","Manual Review",IF($G2530="","No Data",IF(NOT(ISNUMBER($H2530)),"N/A",IF($H2530&lt;TODAY(),"Overdue",IF($H2530&lt;=TODAY()+30,"Due within 1 Month",IF($H2530&lt;=TODAY()+60,"Due within 2 Months","OK"))))))</f>
        <v>No Data</v>
      </c>
      <c r="K2530" s="13"/>
    </row>
    <row r="2531" customFormat="false" ht="15" hidden="false" customHeight="false" outlineLevel="0" collapsed="false">
      <c r="A2531" s="9" t="str">
        <f aca="false">Vessels!B27</f>
        <v>Vessel 23</v>
      </c>
      <c r="B2531" s="9" t="s">
        <v>88</v>
      </c>
      <c r="C2531" s="7" t="s">
        <v>101</v>
      </c>
      <c r="D2531" s="9" t="s">
        <v>45</v>
      </c>
      <c r="E2531" s="9" t="s">
        <v>44</v>
      </c>
      <c r="F2531" s="5" t="n">
        <v>12</v>
      </c>
      <c r="G2531" s="10"/>
      <c r="H2531" s="11" t="str">
        <f aca="false">IFERROR(IF($D2531="Manual Review","",IF($G2531="","",IF($D2531="Direct Expiry",$G2531,EDATE($G2531,$F2531)))),"Check Date")</f>
        <v/>
      </c>
      <c r="I2531" s="12" t="str">
        <f aca="true">IF($H2531="","",IF(ISNUMBER($H2531),$H2531-TODAY(),""))</f>
        <v/>
      </c>
      <c r="J2531" s="4" t="str">
        <f aca="true">IF($D2531="Manual Review","Manual Review",IF($G2531="","No Data",IF(NOT(ISNUMBER($H2531)),"N/A",IF($H2531&lt;TODAY(),"Overdue",IF($H2531&lt;=TODAY()+30,"Due within 1 Month",IF($H2531&lt;=TODAY()+60,"Due within 2 Months","OK"))))))</f>
        <v>No Data</v>
      </c>
      <c r="K2531" s="13"/>
    </row>
    <row r="2532" customFormat="false" ht="23.85" hidden="false" customHeight="false" outlineLevel="0" collapsed="false">
      <c r="A2532" s="9" t="str">
        <f aca="false">Vessels!B27</f>
        <v>Vessel 23</v>
      </c>
      <c r="B2532" s="9" t="s">
        <v>88</v>
      </c>
      <c r="C2532" s="7" t="s">
        <v>102</v>
      </c>
      <c r="D2532" s="9" t="s">
        <v>45</v>
      </c>
      <c r="E2532" s="9" t="s">
        <v>44</v>
      </c>
      <c r="F2532" s="5" t="n">
        <v>12</v>
      </c>
      <c r="G2532" s="10"/>
      <c r="H2532" s="11" t="str">
        <f aca="false">IFERROR(IF($D2532="Manual Review","",IF($G2532="","",IF($D2532="Direct Expiry",$G2532,EDATE($G2532,$F2532)))),"Check Date")</f>
        <v/>
      </c>
      <c r="I2532" s="12" t="str">
        <f aca="true">IF($H2532="","",IF(ISNUMBER($H2532),$H2532-TODAY(),""))</f>
        <v/>
      </c>
      <c r="J2532" s="4" t="str">
        <f aca="true">IF($D2532="Manual Review","Manual Review",IF($G2532="","No Data",IF(NOT(ISNUMBER($H2532)),"N/A",IF($H2532&lt;TODAY(),"Overdue",IF($H2532&lt;=TODAY()+30,"Due within 1 Month",IF($H2532&lt;=TODAY()+60,"Due within 2 Months","OK"))))))</f>
        <v>No Data</v>
      </c>
      <c r="K2532" s="13"/>
    </row>
    <row r="2533" customFormat="false" ht="23.85" hidden="false" customHeight="false" outlineLevel="0" collapsed="false">
      <c r="A2533" s="9" t="str">
        <f aca="false">Vessels!B27</f>
        <v>Vessel 23</v>
      </c>
      <c r="B2533" s="9" t="s">
        <v>88</v>
      </c>
      <c r="C2533" s="7" t="s">
        <v>102</v>
      </c>
      <c r="D2533" s="9" t="s">
        <v>45</v>
      </c>
      <c r="E2533" s="9" t="s">
        <v>97</v>
      </c>
      <c r="F2533" s="5" t="n">
        <v>120</v>
      </c>
      <c r="G2533" s="10"/>
      <c r="H2533" s="11" t="str">
        <f aca="false">IFERROR(IF($D2533="Manual Review","",IF($G2533="","",IF($D2533="Direct Expiry",$G2533,EDATE($G2533,$F2533)))),"Check Date")</f>
        <v/>
      </c>
      <c r="I2533" s="12" t="str">
        <f aca="true">IF($H2533="","",IF(ISNUMBER($H2533),$H2533-TODAY(),""))</f>
        <v/>
      </c>
      <c r="J2533" s="4" t="str">
        <f aca="true">IF($D2533="Manual Review","Manual Review",IF($G2533="","No Data",IF(NOT(ISNUMBER($H2533)),"N/A",IF($H2533&lt;TODAY(),"Overdue",IF($H2533&lt;=TODAY()+30,"Due within 1 Month",IF($H2533&lt;=TODAY()+60,"Due within 2 Months","OK"))))))</f>
        <v>No Data</v>
      </c>
      <c r="K2533" s="13"/>
    </row>
    <row r="2534" customFormat="false" ht="15" hidden="false" customHeight="false" outlineLevel="0" collapsed="false">
      <c r="A2534" s="9" t="str">
        <f aca="false">Vessels!B27</f>
        <v>Vessel 23</v>
      </c>
      <c r="B2534" s="9" t="s">
        <v>88</v>
      </c>
      <c r="C2534" s="7" t="s">
        <v>103</v>
      </c>
      <c r="D2534" s="9" t="s">
        <v>45</v>
      </c>
      <c r="E2534" s="9" t="s">
        <v>44</v>
      </c>
      <c r="F2534" s="5" t="n">
        <v>12</v>
      </c>
      <c r="G2534" s="10"/>
      <c r="H2534" s="11" t="str">
        <f aca="false">IFERROR(IF($D2534="Manual Review","",IF($G2534="","",IF($D2534="Direct Expiry",$G2534,EDATE($G2534,$F2534)))),"Check Date")</f>
        <v/>
      </c>
      <c r="I2534" s="12" t="str">
        <f aca="true">IF($H2534="","",IF(ISNUMBER($H2534),$H2534-TODAY(),""))</f>
        <v/>
      </c>
      <c r="J2534" s="4" t="str">
        <f aca="true">IF($D2534="Manual Review","Manual Review",IF($G2534="","No Data",IF(NOT(ISNUMBER($H2534)),"N/A",IF($H2534&lt;TODAY(),"Overdue",IF($H2534&lt;=TODAY()+30,"Due within 1 Month",IF($H2534&lt;=TODAY()+60,"Due within 2 Months","OK"))))))</f>
        <v>No Data</v>
      </c>
      <c r="K2534" s="13"/>
    </row>
    <row r="2535" customFormat="false" ht="15" hidden="false" customHeight="false" outlineLevel="0" collapsed="false">
      <c r="A2535" s="9" t="str">
        <f aca="false">Vessels!B27</f>
        <v>Vessel 23</v>
      </c>
      <c r="B2535" s="9" t="s">
        <v>88</v>
      </c>
      <c r="C2535" s="7" t="s">
        <v>103</v>
      </c>
      <c r="D2535" s="9" t="s">
        <v>45</v>
      </c>
      <c r="E2535" s="9" t="s">
        <v>97</v>
      </c>
      <c r="F2535" s="5" t="n">
        <v>120</v>
      </c>
      <c r="G2535" s="10"/>
      <c r="H2535" s="11" t="str">
        <f aca="false">IFERROR(IF($D2535="Manual Review","",IF($G2535="","",IF($D2535="Direct Expiry",$G2535,EDATE($G2535,$F2535)))),"Check Date")</f>
        <v/>
      </c>
      <c r="I2535" s="12" t="str">
        <f aca="true">IF($H2535="","",IF(ISNUMBER($H2535),$H2535-TODAY(),""))</f>
        <v/>
      </c>
      <c r="J2535" s="4" t="str">
        <f aca="true">IF($D2535="Manual Review","Manual Review",IF($G2535="","No Data",IF(NOT(ISNUMBER($H2535)),"N/A",IF($H2535&lt;TODAY(),"Overdue",IF($H2535&lt;=TODAY()+30,"Due within 1 Month",IF($H2535&lt;=TODAY()+60,"Due within 2 Months","OK"))))))</f>
        <v>No Data</v>
      </c>
      <c r="K2535" s="13"/>
    </row>
    <row r="2536" customFormat="false" ht="15" hidden="false" customHeight="false" outlineLevel="0" collapsed="false">
      <c r="A2536" s="9" t="str">
        <f aca="false">Vessels!B27</f>
        <v>Vessel 23</v>
      </c>
      <c r="B2536" s="9" t="s">
        <v>88</v>
      </c>
      <c r="C2536" s="7" t="s">
        <v>104</v>
      </c>
      <c r="D2536" s="9" t="s">
        <v>45</v>
      </c>
      <c r="E2536" s="9" t="s">
        <v>44</v>
      </c>
      <c r="F2536" s="5" t="n">
        <v>12</v>
      </c>
      <c r="G2536" s="10"/>
      <c r="H2536" s="11" t="str">
        <f aca="false">IFERROR(IF($D2536="Manual Review","",IF($G2536="","",IF($D2536="Direct Expiry",$G2536,EDATE($G2536,$F2536)))),"Check Date")</f>
        <v/>
      </c>
      <c r="I2536" s="12" t="str">
        <f aca="true">IF($H2536="","",IF(ISNUMBER($H2536),$H2536-TODAY(),""))</f>
        <v/>
      </c>
      <c r="J2536" s="4" t="str">
        <f aca="true">IF($D2536="Manual Review","Manual Review",IF($G2536="","No Data",IF(NOT(ISNUMBER($H2536)),"N/A",IF($H2536&lt;TODAY(),"Overdue",IF($H2536&lt;=TODAY()+30,"Due within 1 Month",IF($H2536&lt;=TODAY()+60,"Due within 2 Months","OK"))))))</f>
        <v>No Data</v>
      </c>
      <c r="K2536" s="13"/>
    </row>
    <row r="2537" customFormat="false" ht="15" hidden="false" customHeight="false" outlineLevel="0" collapsed="false">
      <c r="A2537" s="9" t="str">
        <f aca="false">Vessels!B27</f>
        <v>Vessel 23</v>
      </c>
      <c r="B2537" s="9" t="s">
        <v>88</v>
      </c>
      <c r="C2537" s="7" t="s">
        <v>105</v>
      </c>
      <c r="D2537" s="9" t="s">
        <v>45</v>
      </c>
      <c r="E2537" s="9" t="s">
        <v>44</v>
      </c>
      <c r="F2537" s="5" t="n">
        <v>12</v>
      </c>
      <c r="G2537" s="10"/>
      <c r="H2537" s="11" t="str">
        <f aca="false">IFERROR(IF($D2537="Manual Review","",IF($G2537="","",IF($D2537="Direct Expiry",$G2537,EDATE($G2537,$F2537)))),"Check Date")</f>
        <v/>
      </c>
      <c r="I2537" s="12" t="str">
        <f aca="true">IF($H2537="","",IF(ISNUMBER($H2537),$H2537-TODAY(),""))</f>
        <v/>
      </c>
      <c r="J2537" s="4" t="str">
        <f aca="true">IF($D2537="Manual Review","Manual Review",IF($G2537="","No Data",IF(NOT(ISNUMBER($H2537)),"N/A",IF($H2537&lt;TODAY(),"Overdue",IF($H2537&lt;=TODAY()+30,"Due within 1 Month",IF($H2537&lt;=TODAY()+60,"Due within 2 Months","OK"))))))</f>
        <v>No Data</v>
      </c>
      <c r="K2537" s="13"/>
    </row>
    <row r="2538" customFormat="false" ht="15" hidden="false" customHeight="false" outlineLevel="0" collapsed="false">
      <c r="A2538" s="9" t="str">
        <f aca="false">Vessels!B27</f>
        <v>Vessel 23</v>
      </c>
      <c r="B2538" s="9" t="s">
        <v>88</v>
      </c>
      <c r="C2538" s="7" t="s">
        <v>106</v>
      </c>
      <c r="D2538" s="9" t="s">
        <v>45</v>
      </c>
      <c r="E2538" s="9" t="s">
        <v>44</v>
      </c>
      <c r="F2538" s="5" t="n">
        <v>12</v>
      </c>
      <c r="G2538" s="10"/>
      <c r="H2538" s="11" t="str">
        <f aca="false">IFERROR(IF($D2538="Manual Review","",IF($G2538="","",IF($D2538="Direct Expiry",$G2538,EDATE($G2538,$F2538)))),"Check Date")</f>
        <v/>
      </c>
      <c r="I2538" s="12" t="str">
        <f aca="true">IF($H2538="","",IF(ISNUMBER($H2538),$H2538-TODAY(),""))</f>
        <v/>
      </c>
      <c r="J2538" s="4" t="str">
        <f aca="true">IF($D2538="Manual Review","Manual Review",IF($G2538="","No Data",IF(NOT(ISNUMBER($H2538)),"N/A",IF($H2538&lt;TODAY(),"Overdue",IF($H2538&lt;=TODAY()+30,"Due within 1 Month",IF($H2538&lt;=TODAY()+60,"Due within 2 Months","OK"))))))</f>
        <v>No Data</v>
      </c>
      <c r="K2538" s="13"/>
    </row>
    <row r="2539" customFormat="false" ht="15" hidden="false" customHeight="false" outlineLevel="0" collapsed="false">
      <c r="A2539" s="9" t="str">
        <f aca="false">Vessels!B27</f>
        <v>Vessel 23</v>
      </c>
      <c r="B2539" s="9" t="s">
        <v>88</v>
      </c>
      <c r="C2539" s="7" t="s">
        <v>107</v>
      </c>
      <c r="D2539" s="9" t="s">
        <v>45</v>
      </c>
      <c r="E2539" s="9" t="s">
        <v>44</v>
      </c>
      <c r="F2539" s="5" t="n">
        <v>12</v>
      </c>
      <c r="G2539" s="10"/>
      <c r="H2539" s="11" t="str">
        <f aca="false">IFERROR(IF($D2539="Manual Review","",IF($G2539="","",IF($D2539="Direct Expiry",$G2539,EDATE($G2539,$F2539)))),"Check Date")</f>
        <v/>
      </c>
      <c r="I2539" s="12" t="str">
        <f aca="true">IF($H2539="","",IF(ISNUMBER($H2539),$H2539-TODAY(),""))</f>
        <v/>
      </c>
      <c r="J2539" s="4" t="str">
        <f aca="true">IF($D2539="Manual Review","Manual Review",IF($G2539="","No Data",IF(NOT(ISNUMBER($H2539)),"N/A",IF($H2539&lt;TODAY(),"Overdue",IF($H2539&lt;=TODAY()+30,"Due within 1 Month",IF($H2539&lt;=TODAY()+60,"Due within 2 Months","OK"))))))</f>
        <v>No Data</v>
      </c>
      <c r="K2539" s="13"/>
    </row>
    <row r="2540" customFormat="false" ht="15" hidden="false" customHeight="false" outlineLevel="0" collapsed="false">
      <c r="A2540" s="9" t="str">
        <f aca="false">Vessels!B27</f>
        <v>Vessel 23</v>
      </c>
      <c r="B2540" s="9" t="s">
        <v>88</v>
      </c>
      <c r="C2540" s="7" t="s">
        <v>108</v>
      </c>
      <c r="D2540" s="9" t="s">
        <v>45</v>
      </c>
      <c r="E2540" s="9" t="s">
        <v>109</v>
      </c>
      <c r="F2540" s="5" t="n">
        <v>12</v>
      </c>
      <c r="G2540" s="10"/>
      <c r="H2540" s="11" t="str">
        <f aca="false">IFERROR(IF($D2540="Manual Review","",IF($G2540="","",IF($D2540="Direct Expiry",$G2540,EDATE($G2540,$F2540)))),"Check Date")</f>
        <v/>
      </c>
      <c r="I2540" s="12" t="str">
        <f aca="true">IF($H2540="","",IF(ISNUMBER($H2540),$H2540-TODAY(),""))</f>
        <v/>
      </c>
      <c r="J2540" s="4" t="str">
        <f aca="true">IF($D2540="Manual Review","Manual Review",IF($G2540="","No Data",IF(NOT(ISNUMBER($H2540)),"N/A",IF($H2540&lt;TODAY(),"Overdue",IF($H2540&lt;=TODAY()+30,"Due within 1 Month",IF($H2540&lt;=TODAY()+60,"Due within 2 Months","OK"))))))</f>
        <v>No Data</v>
      </c>
      <c r="K2540" s="13"/>
    </row>
    <row r="2541" customFormat="false" ht="15" hidden="false" customHeight="false" outlineLevel="0" collapsed="false">
      <c r="A2541" s="9" t="str">
        <f aca="false">Vessels!B27</f>
        <v>Vessel 23</v>
      </c>
      <c r="B2541" s="9" t="s">
        <v>88</v>
      </c>
      <c r="C2541" s="7" t="s">
        <v>108</v>
      </c>
      <c r="D2541" s="9" t="s">
        <v>45</v>
      </c>
      <c r="E2541" s="9" t="s">
        <v>110</v>
      </c>
      <c r="F2541" s="5" t="n">
        <v>60</v>
      </c>
      <c r="G2541" s="10"/>
      <c r="H2541" s="11" t="str">
        <f aca="false">IFERROR(IF($D2541="Manual Review","",IF($G2541="","",IF($D2541="Direct Expiry",$G2541,EDATE($G2541,$F2541)))),"Check Date")</f>
        <v/>
      </c>
      <c r="I2541" s="12" t="str">
        <f aca="true">IF($H2541="","",IF(ISNUMBER($H2541),$H2541-TODAY(),""))</f>
        <v/>
      </c>
      <c r="J2541" s="4" t="str">
        <f aca="true">IF($D2541="Manual Review","Manual Review",IF($G2541="","No Data",IF(NOT(ISNUMBER($H2541)),"N/A",IF($H2541&lt;TODAY(),"Overdue",IF($H2541&lt;=TODAY()+30,"Due within 1 Month",IF($H2541&lt;=TODAY()+60,"Due within 2 Months","OK"))))))</f>
        <v>No Data</v>
      </c>
      <c r="K2541" s="13"/>
    </row>
    <row r="2542" customFormat="false" ht="15" hidden="false" customHeight="false" outlineLevel="0" collapsed="false">
      <c r="A2542" s="9" t="str">
        <f aca="false">Vessels!B27</f>
        <v>Vessel 23</v>
      </c>
      <c r="B2542" s="9" t="s">
        <v>88</v>
      </c>
      <c r="C2542" s="7" t="s">
        <v>111</v>
      </c>
      <c r="D2542" s="9" t="s">
        <v>45</v>
      </c>
      <c r="E2542" s="9" t="s">
        <v>44</v>
      </c>
      <c r="F2542" s="5" t="n">
        <v>12</v>
      </c>
      <c r="G2542" s="10"/>
      <c r="H2542" s="11" t="str">
        <f aca="false">IFERROR(IF($D2542="Manual Review","",IF($G2542="","",IF($D2542="Direct Expiry",$G2542,EDATE($G2542,$F2542)))),"Check Date")</f>
        <v/>
      </c>
      <c r="I2542" s="12" t="str">
        <f aca="true">IF($H2542="","",IF(ISNUMBER($H2542),$H2542-TODAY(),""))</f>
        <v/>
      </c>
      <c r="J2542" s="4" t="str">
        <f aca="true">IF($D2542="Manual Review","Manual Review",IF($G2542="","No Data",IF(NOT(ISNUMBER($H2542)),"N/A",IF($H2542&lt;TODAY(),"Overdue",IF($H2542&lt;=TODAY()+30,"Due within 1 Month",IF($H2542&lt;=TODAY()+60,"Due within 2 Months","OK"))))))</f>
        <v>No Data</v>
      </c>
      <c r="K2542" s="13"/>
    </row>
    <row r="2543" customFormat="false" ht="15" hidden="false" customHeight="false" outlineLevel="0" collapsed="false">
      <c r="A2543" s="9" t="str">
        <f aca="false">Vessels!B27</f>
        <v>Vessel 23</v>
      </c>
      <c r="B2543" s="9" t="s">
        <v>88</v>
      </c>
      <c r="C2543" s="7" t="s">
        <v>112</v>
      </c>
      <c r="D2543" s="9" t="s">
        <v>45</v>
      </c>
      <c r="E2543" s="9" t="s">
        <v>44</v>
      </c>
      <c r="F2543" s="5" t="n">
        <v>12</v>
      </c>
      <c r="G2543" s="10"/>
      <c r="H2543" s="11" t="str">
        <f aca="false">IFERROR(IF($D2543="Manual Review","",IF($G2543="","",IF($D2543="Direct Expiry",$G2543,EDATE($G2543,$F2543)))),"Check Date")</f>
        <v/>
      </c>
      <c r="I2543" s="12" t="str">
        <f aca="true">IF($H2543="","",IF(ISNUMBER($H2543),$H2543-TODAY(),""))</f>
        <v/>
      </c>
      <c r="J2543" s="4" t="str">
        <f aca="true">IF($D2543="Manual Review","Manual Review",IF($G2543="","No Data",IF(NOT(ISNUMBER($H2543)),"N/A",IF($H2543&lt;TODAY(),"Overdue",IF($H2543&lt;=TODAY()+30,"Due within 1 Month",IF($H2543&lt;=TODAY()+60,"Due within 2 Months","OK"))))))</f>
        <v>No Data</v>
      </c>
      <c r="K2543" s="13"/>
    </row>
    <row r="2544" customFormat="false" ht="15" hidden="false" customHeight="false" outlineLevel="0" collapsed="false">
      <c r="A2544" s="9" t="str">
        <f aca="false">Vessels!B27</f>
        <v>Vessel 23</v>
      </c>
      <c r="B2544" s="9" t="s">
        <v>88</v>
      </c>
      <c r="C2544" s="7" t="s">
        <v>113</v>
      </c>
      <c r="D2544" s="9" t="s">
        <v>115</v>
      </c>
      <c r="E2544" s="9" t="s">
        <v>114</v>
      </c>
      <c r="F2544" s="5"/>
      <c r="G2544" s="10"/>
      <c r="H2544" s="11" t="str">
        <f aca="false">IFERROR(IF($D2544="Manual Review","",IF($G2544="","",IF($D2544="Direct Expiry",$G2544,EDATE($G2544,$F2544)))),"Check Date")</f>
        <v/>
      </c>
      <c r="I2544" s="12" t="str">
        <f aca="true">IF($H2544="","",IF(ISNUMBER($H2544),$H2544-TODAY(),""))</f>
        <v/>
      </c>
      <c r="J2544" s="4" t="str">
        <f aca="true">IF($D2544="Manual Review","Manual Review",IF($G2544="","No Data",IF(NOT(ISNUMBER($H2544)),"N/A",IF($H2544&lt;TODAY(),"Overdue",IF($H2544&lt;=TODAY()+30,"Due within 1 Month",IF($H2544&lt;=TODAY()+60,"Due within 2 Months","OK"))))))</f>
        <v>Manual Review</v>
      </c>
      <c r="K2544" s="13"/>
    </row>
    <row r="2545" customFormat="false" ht="15" hidden="false" customHeight="false" outlineLevel="0" collapsed="false">
      <c r="A2545" s="9" t="str">
        <f aca="false">Vessels!B27</f>
        <v>Vessel 23</v>
      </c>
      <c r="B2545" s="9" t="s">
        <v>88</v>
      </c>
      <c r="C2545" s="7" t="s">
        <v>116</v>
      </c>
      <c r="D2545" s="9" t="s">
        <v>115</v>
      </c>
      <c r="E2545" s="9" t="s">
        <v>114</v>
      </c>
      <c r="F2545" s="5"/>
      <c r="G2545" s="10"/>
      <c r="H2545" s="11" t="str">
        <f aca="false">IFERROR(IF($D2545="Manual Review","",IF($G2545="","",IF($D2545="Direct Expiry",$G2545,EDATE($G2545,$F2545)))),"Check Date")</f>
        <v/>
      </c>
      <c r="I2545" s="12" t="str">
        <f aca="true">IF($H2545="","",IF(ISNUMBER($H2545),$H2545-TODAY(),""))</f>
        <v/>
      </c>
      <c r="J2545" s="4" t="str">
        <f aca="true">IF($D2545="Manual Review","Manual Review",IF($G2545="","No Data",IF(NOT(ISNUMBER($H2545)),"N/A",IF($H2545&lt;TODAY(),"Overdue",IF($H2545&lt;=TODAY()+30,"Due within 1 Month",IF($H2545&lt;=TODAY()+60,"Due within 2 Months","OK"))))))</f>
        <v>Manual Review</v>
      </c>
      <c r="K2545" s="13"/>
    </row>
    <row r="2546" customFormat="false" ht="15" hidden="false" customHeight="false" outlineLevel="0" collapsed="false">
      <c r="A2546" s="9" t="str">
        <f aca="false">Vessels!B27</f>
        <v>Vessel 23</v>
      </c>
      <c r="B2546" s="9" t="s">
        <v>117</v>
      </c>
      <c r="C2546" s="7" t="s">
        <v>118</v>
      </c>
      <c r="D2546" s="9" t="s">
        <v>59</v>
      </c>
      <c r="E2546" s="9" t="s">
        <v>119</v>
      </c>
      <c r="F2546" s="5"/>
      <c r="G2546" s="10"/>
      <c r="H2546" s="11" t="str">
        <f aca="false">IFERROR(IF($D2546="Manual Review","",IF($G2546="","",IF($D2546="Direct Expiry",$G2546,EDATE($G2546,$F2546)))),"Check Date")</f>
        <v/>
      </c>
      <c r="I2546" s="12" t="str">
        <f aca="true">IF($H2546="","",IF(ISNUMBER($H2546),$H2546-TODAY(),""))</f>
        <v/>
      </c>
      <c r="J2546" s="4" t="str">
        <f aca="true">IF($D2546="Manual Review","Manual Review",IF($G2546="","No Data",IF(NOT(ISNUMBER($H2546)),"N/A",IF($H2546&lt;TODAY(),"Overdue",IF($H2546&lt;=TODAY()+30,"Due within 1 Month",IF($H2546&lt;=TODAY()+60,"Due within 2 Months","OK"))))))</f>
        <v>No Data</v>
      </c>
      <c r="K2546" s="13"/>
    </row>
    <row r="2547" customFormat="false" ht="15" hidden="false" customHeight="false" outlineLevel="0" collapsed="false">
      <c r="A2547" s="9" t="str">
        <f aca="false">Vessels!B27</f>
        <v>Vessel 23</v>
      </c>
      <c r="B2547" s="9" t="s">
        <v>117</v>
      </c>
      <c r="C2547" s="7" t="s">
        <v>120</v>
      </c>
      <c r="D2547" s="9" t="s">
        <v>45</v>
      </c>
      <c r="E2547" s="9" t="s">
        <v>44</v>
      </c>
      <c r="F2547" s="5" t="n">
        <v>12</v>
      </c>
      <c r="G2547" s="10"/>
      <c r="H2547" s="11" t="str">
        <f aca="false">IFERROR(IF($D2547="Manual Review","",IF($G2547="","",IF($D2547="Direct Expiry",$G2547,EDATE($G2547,$F2547)))),"Check Date")</f>
        <v/>
      </c>
      <c r="I2547" s="12" t="str">
        <f aca="true">IF($H2547="","",IF(ISNUMBER($H2547),$H2547-TODAY(),""))</f>
        <v/>
      </c>
      <c r="J2547" s="4" t="str">
        <f aca="true">IF($D2547="Manual Review","Manual Review",IF($G2547="","No Data",IF(NOT(ISNUMBER($H2547)),"N/A",IF($H2547&lt;TODAY(),"Overdue",IF($H2547&lt;=TODAY()+30,"Due within 1 Month",IF($H2547&lt;=TODAY()+60,"Due within 2 Months","OK"))))))</f>
        <v>No Data</v>
      </c>
      <c r="K2547" s="13"/>
    </row>
    <row r="2548" customFormat="false" ht="15" hidden="false" customHeight="false" outlineLevel="0" collapsed="false">
      <c r="A2548" s="9" t="str">
        <f aca="false">Vessels!B27</f>
        <v>Vessel 23</v>
      </c>
      <c r="B2548" s="9" t="s">
        <v>117</v>
      </c>
      <c r="C2548" s="7" t="s">
        <v>121</v>
      </c>
      <c r="D2548" s="9" t="s">
        <v>45</v>
      </c>
      <c r="E2548" s="9" t="s">
        <v>44</v>
      </c>
      <c r="F2548" s="5" t="n">
        <v>12</v>
      </c>
      <c r="G2548" s="10"/>
      <c r="H2548" s="11" t="str">
        <f aca="false">IFERROR(IF($D2548="Manual Review","",IF($G2548="","",IF($D2548="Direct Expiry",$G2548,EDATE($G2548,$F2548)))),"Check Date")</f>
        <v/>
      </c>
      <c r="I2548" s="12" t="str">
        <f aca="true">IF($H2548="","",IF(ISNUMBER($H2548),$H2548-TODAY(),""))</f>
        <v/>
      </c>
      <c r="J2548" s="4" t="str">
        <f aca="true">IF($D2548="Manual Review","Manual Review",IF($G2548="","No Data",IF(NOT(ISNUMBER($H2548)),"N/A",IF($H2548&lt;TODAY(),"Overdue",IF($H2548&lt;=TODAY()+30,"Due within 1 Month",IF($H2548&lt;=TODAY()+60,"Due within 2 Months","OK"))))))</f>
        <v>No Data</v>
      </c>
      <c r="K2548" s="13"/>
    </row>
    <row r="2549" customFormat="false" ht="15" hidden="false" customHeight="false" outlineLevel="0" collapsed="false">
      <c r="A2549" s="9" t="str">
        <f aca="false">Vessels!B27</f>
        <v>Vessel 23</v>
      </c>
      <c r="B2549" s="9" t="s">
        <v>117</v>
      </c>
      <c r="C2549" s="7" t="s">
        <v>122</v>
      </c>
      <c r="D2549" s="9" t="s">
        <v>45</v>
      </c>
      <c r="E2549" s="9" t="s">
        <v>123</v>
      </c>
      <c r="F2549" s="5" t="n">
        <v>24</v>
      </c>
      <c r="G2549" s="10"/>
      <c r="H2549" s="11" t="str">
        <f aca="false">IFERROR(IF($D2549="Manual Review","",IF($G2549="","",IF($D2549="Direct Expiry",$G2549,EDATE($G2549,$F2549)))),"Check Date")</f>
        <v/>
      </c>
      <c r="I2549" s="12" t="str">
        <f aca="true">IF($H2549="","",IF(ISNUMBER($H2549),$H2549-TODAY(),""))</f>
        <v/>
      </c>
      <c r="J2549" s="4" t="str">
        <f aca="true">IF($D2549="Manual Review","Manual Review",IF($G2549="","No Data",IF(NOT(ISNUMBER($H2549)),"N/A",IF($H2549&lt;TODAY(),"Overdue",IF($H2549&lt;=TODAY()+30,"Due within 1 Month",IF($H2549&lt;=TODAY()+60,"Due within 2 Months","OK"))))))</f>
        <v>No Data</v>
      </c>
      <c r="K2549" s="13"/>
    </row>
    <row r="2550" customFormat="false" ht="15" hidden="false" customHeight="false" outlineLevel="0" collapsed="false">
      <c r="A2550" s="9" t="str">
        <f aca="false">Vessels!B27</f>
        <v>Vessel 23</v>
      </c>
      <c r="B2550" s="9" t="s">
        <v>117</v>
      </c>
      <c r="C2550" s="7" t="s">
        <v>124</v>
      </c>
      <c r="D2550" s="9" t="s">
        <v>59</v>
      </c>
      <c r="E2550" s="9" t="s">
        <v>58</v>
      </c>
      <c r="F2550" s="5"/>
      <c r="G2550" s="10"/>
      <c r="H2550" s="11" t="str">
        <f aca="false">IFERROR(IF($D2550="Manual Review","",IF($G2550="","",IF($D2550="Direct Expiry",$G2550,EDATE($G2550,$F2550)))),"Check Date")</f>
        <v/>
      </c>
      <c r="I2550" s="12" t="str">
        <f aca="true">IF($H2550="","",IF(ISNUMBER($H2550),$H2550-TODAY(),""))</f>
        <v/>
      </c>
      <c r="J2550" s="4" t="str">
        <f aca="true">IF($D2550="Manual Review","Manual Review",IF($G2550="","No Data",IF(NOT(ISNUMBER($H2550)),"N/A",IF($H2550&lt;TODAY(),"Overdue",IF($H2550&lt;=TODAY()+30,"Due within 1 Month",IF($H2550&lt;=TODAY()+60,"Due within 2 Months","OK"))))))</f>
        <v>No Data</v>
      </c>
      <c r="K2550" s="13"/>
    </row>
    <row r="2551" customFormat="false" ht="15" hidden="false" customHeight="false" outlineLevel="0" collapsed="false">
      <c r="A2551" s="9" t="str">
        <f aca="false">Vessels!B27</f>
        <v>Vessel 23</v>
      </c>
      <c r="B2551" s="9" t="s">
        <v>117</v>
      </c>
      <c r="C2551" s="7" t="s">
        <v>125</v>
      </c>
      <c r="D2551" s="9" t="s">
        <v>59</v>
      </c>
      <c r="E2551" s="9" t="s">
        <v>58</v>
      </c>
      <c r="F2551" s="5"/>
      <c r="G2551" s="10"/>
      <c r="H2551" s="11" t="str">
        <f aca="false">IFERROR(IF($D2551="Manual Review","",IF($G2551="","",IF($D2551="Direct Expiry",$G2551,EDATE($G2551,$F2551)))),"Check Date")</f>
        <v/>
      </c>
      <c r="I2551" s="12" t="str">
        <f aca="true">IF($H2551="","",IF(ISNUMBER($H2551),$H2551-TODAY(),""))</f>
        <v/>
      </c>
      <c r="J2551" s="4" t="str">
        <f aca="true">IF($D2551="Manual Review","Manual Review",IF($G2551="","No Data",IF(NOT(ISNUMBER($H2551)),"N/A",IF($H2551&lt;TODAY(),"Overdue",IF($H2551&lt;=TODAY()+30,"Due within 1 Month",IF($H2551&lt;=TODAY()+60,"Due within 2 Months","OK"))))))</f>
        <v>No Data</v>
      </c>
      <c r="K2551" s="13"/>
    </row>
    <row r="2552" customFormat="false" ht="15" hidden="false" customHeight="false" outlineLevel="0" collapsed="false">
      <c r="A2552" s="9" t="str">
        <f aca="false">Vessels!B27</f>
        <v>Vessel 23</v>
      </c>
      <c r="B2552" s="9" t="s">
        <v>117</v>
      </c>
      <c r="C2552" s="7" t="s">
        <v>126</v>
      </c>
      <c r="D2552" s="9" t="s">
        <v>45</v>
      </c>
      <c r="E2552" s="9" t="s">
        <v>44</v>
      </c>
      <c r="F2552" s="5" t="n">
        <v>12</v>
      </c>
      <c r="G2552" s="10"/>
      <c r="H2552" s="11" t="str">
        <f aca="false">IFERROR(IF($D2552="Manual Review","",IF($G2552="","",IF($D2552="Direct Expiry",$G2552,EDATE($G2552,$F2552)))),"Check Date")</f>
        <v/>
      </c>
      <c r="I2552" s="12" t="str">
        <f aca="true">IF($H2552="","",IF(ISNUMBER($H2552),$H2552-TODAY(),""))</f>
        <v/>
      </c>
      <c r="J2552" s="4" t="str">
        <f aca="true">IF($D2552="Manual Review","Manual Review",IF($G2552="","No Data",IF(NOT(ISNUMBER($H2552)),"N/A",IF($H2552&lt;TODAY(),"Overdue",IF($H2552&lt;=TODAY()+30,"Due within 1 Month",IF($H2552&lt;=TODAY()+60,"Due within 2 Months","OK"))))))</f>
        <v>No Data</v>
      </c>
      <c r="K2552" s="13"/>
    </row>
    <row r="2553" customFormat="false" ht="15" hidden="false" customHeight="false" outlineLevel="0" collapsed="false">
      <c r="A2553" s="9" t="str">
        <f aca="false">Vessels!B27</f>
        <v>Vessel 23</v>
      </c>
      <c r="B2553" s="9" t="s">
        <v>117</v>
      </c>
      <c r="C2553" s="7" t="s">
        <v>127</v>
      </c>
      <c r="D2553" s="9" t="s">
        <v>59</v>
      </c>
      <c r="E2553" s="9" t="s">
        <v>58</v>
      </c>
      <c r="F2553" s="5"/>
      <c r="G2553" s="10"/>
      <c r="H2553" s="11" t="str">
        <f aca="false">IFERROR(IF($D2553="Manual Review","",IF($G2553="","",IF($D2553="Direct Expiry",$G2553,EDATE($G2553,$F2553)))),"Check Date")</f>
        <v/>
      </c>
      <c r="I2553" s="12" t="str">
        <f aca="true">IF($H2553="","",IF(ISNUMBER($H2553),$H2553-TODAY(),""))</f>
        <v/>
      </c>
      <c r="J2553" s="4" t="str">
        <f aca="true">IF($D2553="Manual Review","Manual Review",IF($G2553="","No Data",IF(NOT(ISNUMBER($H2553)),"N/A",IF($H2553&lt;TODAY(),"Overdue",IF($H2553&lt;=TODAY()+30,"Due within 1 Month",IF($H2553&lt;=TODAY()+60,"Due within 2 Months","OK"))))))</f>
        <v>No Data</v>
      </c>
      <c r="K2553" s="13"/>
    </row>
    <row r="2554" customFormat="false" ht="15" hidden="false" customHeight="false" outlineLevel="0" collapsed="false">
      <c r="A2554" s="9" t="str">
        <f aca="false">Vessels!B27</f>
        <v>Vessel 23</v>
      </c>
      <c r="B2554" s="9" t="s">
        <v>117</v>
      </c>
      <c r="C2554" s="7" t="s">
        <v>128</v>
      </c>
      <c r="D2554" s="9" t="s">
        <v>59</v>
      </c>
      <c r="E2554" s="9" t="s">
        <v>58</v>
      </c>
      <c r="F2554" s="5"/>
      <c r="G2554" s="10"/>
      <c r="H2554" s="11" t="str">
        <f aca="false">IFERROR(IF($D2554="Manual Review","",IF($G2554="","",IF($D2554="Direct Expiry",$G2554,EDATE($G2554,$F2554)))),"Check Date")</f>
        <v/>
      </c>
      <c r="I2554" s="12" t="str">
        <f aca="true">IF($H2554="","",IF(ISNUMBER($H2554),$H2554-TODAY(),""))</f>
        <v/>
      </c>
      <c r="J2554" s="4" t="str">
        <f aca="true">IF($D2554="Manual Review","Manual Review",IF($G2554="","No Data",IF(NOT(ISNUMBER($H2554)),"N/A",IF($H2554&lt;TODAY(),"Overdue",IF($H2554&lt;=TODAY()+30,"Due within 1 Month",IF($H2554&lt;=TODAY()+60,"Due within 2 Months","OK"))))))</f>
        <v>No Data</v>
      </c>
      <c r="K2554" s="13"/>
    </row>
    <row r="2555" customFormat="false" ht="15" hidden="false" customHeight="false" outlineLevel="0" collapsed="false">
      <c r="A2555" s="9" t="str">
        <f aca="false">Vessels!B27</f>
        <v>Vessel 23</v>
      </c>
      <c r="B2555" s="9" t="s">
        <v>117</v>
      </c>
      <c r="C2555" s="7" t="s">
        <v>129</v>
      </c>
      <c r="D2555" s="9" t="s">
        <v>59</v>
      </c>
      <c r="E2555" s="9" t="s">
        <v>58</v>
      </c>
      <c r="F2555" s="5"/>
      <c r="G2555" s="10"/>
      <c r="H2555" s="11" t="str">
        <f aca="false">IFERROR(IF($D2555="Manual Review","",IF($G2555="","",IF($D2555="Direct Expiry",$G2555,EDATE($G2555,$F2555)))),"Check Date")</f>
        <v/>
      </c>
      <c r="I2555" s="12" t="str">
        <f aca="true">IF($H2555="","",IF(ISNUMBER($H2555),$H2555-TODAY(),""))</f>
        <v/>
      </c>
      <c r="J2555" s="4" t="str">
        <f aca="true">IF($D2555="Manual Review","Manual Review",IF($G2555="","No Data",IF(NOT(ISNUMBER($H2555)),"N/A",IF($H2555&lt;TODAY(),"Overdue",IF($H2555&lt;=TODAY()+30,"Due within 1 Month",IF($H2555&lt;=TODAY()+60,"Due within 2 Months","OK"))))))</f>
        <v>No Data</v>
      </c>
      <c r="K2555" s="13"/>
    </row>
    <row r="2556" customFormat="false" ht="15" hidden="false" customHeight="false" outlineLevel="0" collapsed="false">
      <c r="A2556" s="9" t="str">
        <f aca="false">Vessels!B27</f>
        <v>Vessel 23</v>
      </c>
      <c r="B2556" s="9" t="s">
        <v>117</v>
      </c>
      <c r="C2556" s="7" t="s">
        <v>130</v>
      </c>
      <c r="D2556" s="9" t="s">
        <v>45</v>
      </c>
      <c r="E2556" s="9" t="s">
        <v>44</v>
      </c>
      <c r="F2556" s="5" t="n">
        <v>12</v>
      </c>
      <c r="G2556" s="10"/>
      <c r="H2556" s="11" t="str">
        <f aca="false">IFERROR(IF($D2556="Manual Review","",IF($G2556="","",IF($D2556="Direct Expiry",$G2556,EDATE($G2556,$F2556)))),"Check Date")</f>
        <v/>
      </c>
      <c r="I2556" s="12" t="str">
        <f aca="true">IF($H2556="","",IF(ISNUMBER($H2556),$H2556-TODAY(),""))</f>
        <v/>
      </c>
      <c r="J2556" s="4" t="str">
        <f aca="true">IF($D2556="Manual Review","Manual Review",IF($G2556="","No Data",IF(NOT(ISNUMBER($H2556)),"N/A",IF($H2556&lt;TODAY(),"Overdue",IF($H2556&lt;=TODAY()+30,"Due within 1 Month",IF($H2556&lt;=TODAY()+60,"Due within 2 Months","OK"))))))</f>
        <v>No Data</v>
      </c>
      <c r="K2556" s="13"/>
    </row>
    <row r="2557" customFormat="false" ht="15" hidden="false" customHeight="false" outlineLevel="0" collapsed="false">
      <c r="A2557" s="9" t="str">
        <f aca="false">Vessels!B27</f>
        <v>Vessel 23</v>
      </c>
      <c r="B2557" s="9" t="s">
        <v>117</v>
      </c>
      <c r="C2557" s="7" t="s">
        <v>131</v>
      </c>
      <c r="D2557" s="9" t="s">
        <v>45</v>
      </c>
      <c r="E2557" s="9" t="s">
        <v>44</v>
      </c>
      <c r="F2557" s="5" t="n">
        <v>12</v>
      </c>
      <c r="G2557" s="10"/>
      <c r="H2557" s="11" t="str">
        <f aca="false">IFERROR(IF($D2557="Manual Review","",IF($G2557="","",IF($D2557="Direct Expiry",$G2557,EDATE($G2557,$F2557)))),"Check Date")</f>
        <v/>
      </c>
      <c r="I2557" s="12" t="str">
        <f aca="true">IF($H2557="","",IF(ISNUMBER($H2557),$H2557-TODAY(),""))</f>
        <v/>
      </c>
      <c r="J2557" s="4" t="str">
        <f aca="true">IF($D2557="Manual Review","Manual Review",IF($G2557="","No Data",IF(NOT(ISNUMBER($H2557)),"N/A",IF($H2557&lt;TODAY(),"Overdue",IF($H2557&lt;=TODAY()+30,"Due within 1 Month",IF($H2557&lt;=TODAY()+60,"Due within 2 Months","OK"))))))</f>
        <v>No Data</v>
      </c>
      <c r="K2557" s="13"/>
    </row>
    <row r="2558" customFormat="false" ht="15" hidden="false" customHeight="false" outlineLevel="0" collapsed="false">
      <c r="A2558" s="9" t="str">
        <f aca="false">Vessels!B27</f>
        <v>Vessel 23</v>
      </c>
      <c r="B2558" s="9" t="s">
        <v>117</v>
      </c>
      <c r="C2558" s="7" t="s">
        <v>132</v>
      </c>
      <c r="D2558" s="9" t="s">
        <v>45</v>
      </c>
      <c r="E2558" s="9" t="s">
        <v>44</v>
      </c>
      <c r="F2558" s="5" t="n">
        <v>12</v>
      </c>
      <c r="G2558" s="10"/>
      <c r="H2558" s="11" t="str">
        <f aca="false">IFERROR(IF($D2558="Manual Review","",IF($G2558="","",IF($D2558="Direct Expiry",$G2558,EDATE($G2558,$F2558)))),"Check Date")</f>
        <v/>
      </c>
      <c r="I2558" s="12" t="str">
        <f aca="true">IF($H2558="","",IF(ISNUMBER($H2558),$H2558-TODAY(),""))</f>
        <v/>
      </c>
      <c r="J2558" s="4" t="str">
        <f aca="true">IF($D2558="Manual Review","Manual Review",IF($G2558="","No Data",IF(NOT(ISNUMBER($H2558)),"N/A",IF($H2558&lt;TODAY(),"Overdue",IF($H2558&lt;=TODAY()+30,"Due within 1 Month",IF($H2558&lt;=TODAY()+60,"Due within 2 Months","OK"))))))</f>
        <v>No Data</v>
      </c>
      <c r="K2558" s="13"/>
    </row>
    <row r="2559" customFormat="false" ht="15" hidden="false" customHeight="false" outlineLevel="0" collapsed="false">
      <c r="A2559" s="9" t="str">
        <f aca="false">Vessels!B27</f>
        <v>Vessel 23</v>
      </c>
      <c r="B2559" s="9" t="s">
        <v>117</v>
      </c>
      <c r="C2559" s="7" t="s">
        <v>133</v>
      </c>
      <c r="D2559" s="9" t="s">
        <v>45</v>
      </c>
      <c r="E2559" s="9" t="s">
        <v>44</v>
      </c>
      <c r="F2559" s="5" t="n">
        <v>12</v>
      </c>
      <c r="G2559" s="10"/>
      <c r="H2559" s="11" t="str">
        <f aca="false">IFERROR(IF($D2559="Manual Review","",IF($G2559="","",IF($D2559="Direct Expiry",$G2559,EDATE($G2559,$F2559)))),"Check Date")</f>
        <v/>
      </c>
      <c r="I2559" s="12" t="str">
        <f aca="true">IF($H2559="","",IF(ISNUMBER($H2559),$H2559-TODAY(),""))</f>
        <v/>
      </c>
      <c r="J2559" s="4" t="str">
        <f aca="true">IF($D2559="Manual Review","Manual Review",IF($G2559="","No Data",IF(NOT(ISNUMBER($H2559)),"N/A",IF($H2559&lt;TODAY(),"Overdue",IF($H2559&lt;=TODAY()+30,"Due within 1 Month",IF($H2559&lt;=TODAY()+60,"Due within 2 Months","OK"))))))</f>
        <v>No Data</v>
      </c>
      <c r="K2559" s="13"/>
    </row>
    <row r="2560" customFormat="false" ht="15" hidden="false" customHeight="false" outlineLevel="0" collapsed="false">
      <c r="A2560" s="9" t="str">
        <f aca="false">Vessels!B27</f>
        <v>Vessel 23</v>
      </c>
      <c r="B2560" s="9" t="s">
        <v>117</v>
      </c>
      <c r="C2560" s="7" t="s">
        <v>134</v>
      </c>
      <c r="D2560" s="9" t="s">
        <v>45</v>
      </c>
      <c r="E2560" s="9" t="s">
        <v>44</v>
      </c>
      <c r="F2560" s="5" t="n">
        <v>12</v>
      </c>
      <c r="G2560" s="10"/>
      <c r="H2560" s="11" t="str">
        <f aca="false">IFERROR(IF($D2560="Manual Review","",IF($G2560="","",IF($D2560="Direct Expiry",$G2560,EDATE($G2560,$F2560)))),"Check Date")</f>
        <v/>
      </c>
      <c r="I2560" s="12" t="str">
        <f aca="true">IF($H2560="","",IF(ISNUMBER($H2560),$H2560-TODAY(),""))</f>
        <v/>
      </c>
      <c r="J2560" s="4" t="str">
        <f aca="true">IF($D2560="Manual Review","Manual Review",IF($G2560="","No Data",IF(NOT(ISNUMBER($H2560)),"N/A",IF($H2560&lt;TODAY(),"Overdue",IF($H2560&lt;=TODAY()+30,"Due within 1 Month",IF($H2560&lt;=TODAY()+60,"Due within 2 Months","OK"))))))</f>
        <v>No Data</v>
      </c>
      <c r="K2560" s="13"/>
    </row>
    <row r="2561" customFormat="false" ht="15" hidden="false" customHeight="false" outlineLevel="0" collapsed="false">
      <c r="A2561" s="9" t="str">
        <f aca="false">Vessels!B27</f>
        <v>Vessel 23</v>
      </c>
      <c r="B2561" s="9" t="s">
        <v>117</v>
      </c>
      <c r="C2561" s="7" t="s">
        <v>135</v>
      </c>
      <c r="D2561" s="9" t="s">
        <v>45</v>
      </c>
      <c r="E2561" s="9" t="s">
        <v>44</v>
      </c>
      <c r="F2561" s="5" t="n">
        <v>12</v>
      </c>
      <c r="G2561" s="10"/>
      <c r="H2561" s="11" t="str">
        <f aca="false">IFERROR(IF($D2561="Manual Review","",IF($G2561="","",IF($D2561="Direct Expiry",$G2561,EDATE($G2561,$F2561)))),"Check Date")</f>
        <v/>
      </c>
      <c r="I2561" s="12" t="str">
        <f aca="true">IF($H2561="","",IF(ISNUMBER($H2561),$H2561-TODAY(),""))</f>
        <v/>
      </c>
      <c r="J2561" s="4" t="str">
        <f aca="true">IF($D2561="Manual Review","Manual Review",IF($G2561="","No Data",IF(NOT(ISNUMBER($H2561)),"N/A",IF($H2561&lt;TODAY(),"Overdue",IF($H2561&lt;=TODAY()+30,"Due within 1 Month",IF($H2561&lt;=TODAY()+60,"Due within 2 Months","OK"))))))</f>
        <v>No Data</v>
      </c>
      <c r="K2561" s="13"/>
    </row>
    <row r="2562" customFormat="false" ht="15" hidden="false" customHeight="false" outlineLevel="0" collapsed="false">
      <c r="A2562" s="9" t="str">
        <f aca="false">Vessels!B27</f>
        <v>Vessel 23</v>
      </c>
      <c r="B2562" s="9" t="s">
        <v>136</v>
      </c>
      <c r="C2562" s="7" t="s">
        <v>137</v>
      </c>
      <c r="D2562" s="9" t="s">
        <v>45</v>
      </c>
      <c r="E2562" s="9" t="s">
        <v>44</v>
      </c>
      <c r="F2562" s="5" t="n">
        <v>12</v>
      </c>
      <c r="G2562" s="10"/>
      <c r="H2562" s="11" t="str">
        <f aca="false">IFERROR(IF($D2562="Manual Review","",IF($G2562="","",IF($D2562="Direct Expiry",$G2562,EDATE($G2562,$F2562)))),"Check Date")</f>
        <v/>
      </c>
      <c r="I2562" s="12" t="str">
        <f aca="true">IF($H2562="","",IF(ISNUMBER($H2562),$H2562-TODAY(),""))</f>
        <v/>
      </c>
      <c r="J2562" s="4" t="str">
        <f aca="true">IF($D2562="Manual Review","Manual Review",IF($G2562="","No Data",IF(NOT(ISNUMBER($H2562)),"N/A",IF($H2562&lt;TODAY(),"Overdue",IF($H2562&lt;=TODAY()+30,"Due within 1 Month",IF($H2562&lt;=TODAY()+60,"Due within 2 Months","OK"))))))</f>
        <v>No Data</v>
      </c>
      <c r="K2562" s="13"/>
    </row>
    <row r="2563" customFormat="false" ht="15" hidden="false" customHeight="false" outlineLevel="0" collapsed="false">
      <c r="A2563" s="9" t="str">
        <f aca="false">Vessels!B27</f>
        <v>Vessel 23</v>
      </c>
      <c r="B2563" s="9" t="s">
        <v>136</v>
      </c>
      <c r="C2563" s="7" t="s">
        <v>138</v>
      </c>
      <c r="D2563" s="9" t="s">
        <v>45</v>
      </c>
      <c r="E2563" s="9" t="s">
        <v>44</v>
      </c>
      <c r="F2563" s="5" t="n">
        <v>12</v>
      </c>
      <c r="G2563" s="10"/>
      <c r="H2563" s="11" t="str">
        <f aca="false">IFERROR(IF($D2563="Manual Review","",IF($G2563="","",IF($D2563="Direct Expiry",$G2563,EDATE($G2563,$F2563)))),"Check Date")</f>
        <v/>
      </c>
      <c r="I2563" s="12" t="str">
        <f aca="true">IF($H2563="","",IF(ISNUMBER($H2563),$H2563-TODAY(),""))</f>
        <v/>
      </c>
      <c r="J2563" s="4" t="str">
        <f aca="true">IF($D2563="Manual Review","Manual Review",IF($G2563="","No Data",IF(NOT(ISNUMBER($H2563)),"N/A",IF($H2563&lt;TODAY(),"Overdue",IF($H2563&lt;=TODAY()+30,"Due within 1 Month",IF($H2563&lt;=TODAY()+60,"Due within 2 Months","OK"))))))</f>
        <v>No Data</v>
      </c>
      <c r="K2563" s="13"/>
    </row>
    <row r="2564" customFormat="false" ht="15" hidden="false" customHeight="false" outlineLevel="0" collapsed="false">
      <c r="A2564" s="9" t="str">
        <f aca="false">Vessels!B27</f>
        <v>Vessel 23</v>
      </c>
      <c r="B2564" s="9" t="s">
        <v>136</v>
      </c>
      <c r="C2564" s="7" t="s">
        <v>139</v>
      </c>
      <c r="D2564" s="9" t="s">
        <v>45</v>
      </c>
      <c r="E2564" s="9" t="s">
        <v>140</v>
      </c>
      <c r="F2564" s="5" t="n">
        <v>12</v>
      </c>
      <c r="G2564" s="10"/>
      <c r="H2564" s="11" t="str">
        <f aca="false">IFERROR(IF($D2564="Manual Review","",IF($G2564="","",IF($D2564="Direct Expiry",$G2564,EDATE($G2564,$F2564)))),"Check Date")</f>
        <v/>
      </c>
      <c r="I2564" s="12" t="str">
        <f aca="true">IF($H2564="","",IF(ISNUMBER($H2564),$H2564-TODAY(),""))</f>
        <v/>
      </c>
      <c r="J2564" s="4" t="str">
        <f aca="true">IF($D2564="Manual Review","Manual Review",IF($G2564="","No Data",IF(NOT(ISNUMBER($H2564)),"N/A",IF($H2564&lt;TODAY(),"Overdue",IF($H2564&lt;=TODAY()+30,"Due within 1 Month",IF($H2564&lt;=TODAY()+60,"Due within 2 Months","OK"))))))</f>
        <v>No Data</v>
      </c>
      <c r="K2564" s="13"/>
    </row>
    <row r="2565" customFormat="false" ht="15" hidden="false" customHeight="false" outlineLevel="0" collapsed="false">
      <c r="A2565" s="9" t="str">
        <f aca="false">Vessels!B27</f>
        <v>Vessel 23</v>
      </c>
      <c r="B2565" s="9" t="s">
        <v>136</v>
      </c>
      <c r="C2565" s="7" t="s">
        <v>141</v>
      </c>
      <c r="D2565" s="9" t="s">
        <v>45</v>
      </c>
      <c r="E2565" s="9" t="s">
        <v>44</v>
      </c>
      <c r="F2565" s="5" t="n">
        <v>12</v>
      </c>
      <c r="G2565" s="10"/>
      <c r="H2565" s="11" t="str">
        <f aca="false">IFERROR(IF($D2565="Manual Review","",IF($G2565="","",IF($D2565="Direct Expiry",$G2565,EDATE($G2565,$F2565)))),"Check Date")</f>
        <v/>
      </c>
      <c r="I2565" s="12" t="str">
        <f aca="true">IF($H2565="","",IF(ISNUMBER($H2565),$H2565-TODAY(),""))</f>
        <v/>
      </c>
      <c r="J2565" s="4" t="str">
        <f aca="true">IF($D2565="Manual Review","Manual Review",IF($G2565="","No Data",IF(NOT(ISNUMBER($H2565)),"N/A",IF($H2565&lt;TODAY(),"Overdue",IF($H2565&lt;=TODAY()+30,"Due within 1 Month",IF($H2565&lt;=TODAY()+60,"Due within 2 Months","OK"))))))</f>
        <v>No Data</v>
      </c>
      <c r="K2565" s="13"/>
    </row>
    <row r="2566" customFormat="false" ht="15" hidden="false" customHeight="false" outlineLevel="0" collapsed="false">
      <c r="A2566" s="9" t="str">
        <f aca="false">Vessels!B27</f>
        <v>Vessel 23</v>
      </c>
      <c r="B2566" s="9" t="s">
        <v>136</v>
      </c>
      <c r="C2566" s="7" t="s">
        <v>142</v>
      </c>
      <c r="D2566" s="9" t="s">
        <v>115</v>
      </c>
      <c r="E2566" s="9" t="s">
        <v>143</v>
      </c>
      <c r="F2566" s="5"/>
      <c r="G2566" s="10"/>
      <c r="H2566" s="11" t="str">
        <f aca="false">IFERROR(IF($D2566="Manual Review","",IF($G2566="","",IF($D2566="Direct Expiry",$G2566,EDATE($G2566,$F2566)))),"Check Date")</f>
        <v/>
      </c>
      <c r="I2566" s="12" t="str">
        <f aca="true">IF($H2566="","",IF(ISNUMBER($H2566),$H2566-TODAY(),""))</f>
        <v/>
      </c>
      <c r="J2566" s="4" t="str">
        <f aca="true">IF($D2566="Manual Review","Manual Review",IF($G2566="","No Data",IF(NOT(ISNUMBER($H2566)),"N/A",IF($H2566&lt;TODAY(),"Overdue",IF($H2566&lt;=TODAY()+30,"Due within 1 Month",IF($H2566&lt;=TODAY()+60,"Due within 2 Months","OK"))))))</f>
        <v>Manual Review</v>
      </c>
      <c r="K2566" s="13"/>
    </row>
    <row r="2567" customFormat="false" ht="15" hidden="false" customHeight="false" outlineLevel="0" collapsed="false">
      <c r="A2567" s="9" t="str">
        <f aca="false">Vessels!B27</f>
        <v>Vessel 23</v>
      </c>
      <c r="B2567" s="9" t="s">
        <v>136</v>
      </c>
      <c r="C2567" s="7" t="s">
        <v>144</v>
      </c>
      <c r="D2567" s="9" t="s">
        <v>45</v>
      </c>
      <c r="E2567" s="9" t="s">
        <v>44</v>
      </c>
      <c r="F2567" s="5" t="n">
        <v>12</v>
      </c>
      <c r="G2567" s="10"/>
      <c r="H2567" s="11" t="str">
        <f aca="false">IFERROR(IF($D2567="Manual Review","",IF($G2567="","",IF($D2567="Direct Expiry",$G2567,EDATE($G2567,$F2567)))),"Check Date")</f>
        <v/>
      </c>
      <c r="I2567" s="12" t="str">
        <f aca="true">IF($H2567="","",IF(ISNUMBER($H2567),$H2567-TODAY(),""))</f>
        <v/>
      </c>
      <c r="J2567" s="4" t="str">
        <f aca="true">IF($D2567="Manual Review","Manual Review",IF($G2567="","No Data",IF(NOT(ISNUMBER($H2567)),"N/A",IF($H2567&lt;TODAY(),"Overdue",IF($H2567&lt;=TODAY()+30,"Due within 1 Month",IF($H2567&lt;=TODAY()+60,"Due within 2 Months","OK"))))))</f>
        <v>No Data</v>
      </c>
      <c r="K2567" s="13"/>
    </row>
    <row r="2568" customFormat="false" ht="15" hidden="false" customHeight="false" outlineLevel="0" collapsed="false">
      <c r="A2568" s="9" t="str">
        <f aca="false">Vessels!B27</f>
        <v>Vessel 23</v>
      </c>
      <c r="B2568" s="9" t="s">
        <v>136</v>
      </c>
      <c r="C2568" s="7" t="s">
        <v>145</v>
      </c>
      <c r="D2568" s="9" t="s">
        <v>45</v>
      </c>
      <c r="E2568" s="9" t="s">
        <v>44</v>
      </c>
      <c r="F2568" s="5" t="n">
        <v>12</v>
      </c>
      <c r="G2568" s="10"/>
      <c r="H2568" s="11" t="str">
        <f aca="false">IFERROR(IF($D2568="Manual Review","",IF($G2568="","",IF($D2568="Direct Expiry",$G2568,EDATE($G2568,$F2568)))),"Check Date")</f>
        <v/>
      </c>
      <c r="I2568" s="12" t="str">
        <f aca="true">IF($H2568="","",IF(ISNUMBER($H2568),$H2568-TODAY(),""))</f>
        <v/>
      </c>
      <c r="J2568" s="4" t="str">
        <f aca="true">IF($D2568="Manual Review","Manual Review",IF($G2568="","No Data",IF(NOT(ISNUMBER($H2568)),"N/A",IF($H2568&lt;TODAY(),"Overdue",IF($H2568&lt;=TODAY()+30,"Due within 1 Month",IF($H2568&lt;=TODAY()+60,"Due within 2 Months","OK"))))))</f>
        <v>No Data</v>
      </c>
      <c r="K2568" s="13"/>
    </row>
    <row r="2569" customFormat="false" ht="15" hidden="false" customHeight="false" outlineLevel="0" collapsed="false">
      <c r="A2569" s="9" t="str">
        <f aca="false">Vessels!B27</f>
        <v>Vessel 23</v>
      </c>
      <c r="B2569" s="9" t="s">
        <v>136</v>
      </c>
      <c r="C2569" s="7" t="s">
        <v>146</v>
      </c>
      <c r="D2569" s="9" t="s">
        <v>45</v>
      </c>
      <c r="E2569" s="9" t="s">
        <v>44</v>
      </c>
      <c r="F2569" s="5" t="n">
        <v>12</v>
      </c>
      <c r="G2569" s="10"/>
      <c r="H2569" s="11" t="str">
        <f aca="false">IFERROR(IF($D2569="Manual Review","",IF($G2569="","",IF($D2569="Direct Expiry",$G2569,EDATE($G2569,$F2569)))),"Check Date")</f>
        <v/>
      </c>
      <c r="I2569" s="12" t="str">
        <f aca="true">IF($H2569="","",IF(ISNUMBER($H2569),$H2569-TODAY(),""))</f>
        <v/>
      </c>
      <c r="J2569" s="4" t="str">
        <f aca="true">IF($D2569="Manual Review","Manual Review",IF($G2569="","No Data",IF(NOT(ISNUMBER($H2569)),"N/A",IF($H2569&lt;TODAY(),"Overdue",IF($H2569&lt;=TODAY()+30,"Due within 1 Month",IF($H2569&lt;=TODAY()+60,"Due within 2 Months","OK"))))))</f>
        <v>No Data</v>
      </c>
      <c r="K2569" s="13"/>
    </row>
    <row r="2570" customFormat="false" ht="15" hidden="false" customHeight="false" outlineLevel="0" collapsed="false">
      <c r="A2570" s="9" t="str">
        <f aca="false">Vessels!B27</f>
        <v>Vessel 23</v>
      </c>
      <c r="B2570" s="9" t="s">
        <v>136</v>
      </c>
      <c r="C2570" s="7" t="s">
        <v>147</v>
      </c>
      <c r="D2570" s="9" t="s">
        <v>45</v>
      </c>
      <c r="E2570" s="9" t="s">
        <v>44</v>
      </c>
      <c r="F2570" s="5" t="n">
        <v>12</v>
      </c>
      <c r="G2570" s="10"/>
      <c r="H2570" s="11" t="str">
        <f aca="false">IFERROR(IF($D2570="Manual Review","",IF($G2570="","",IF($D2570="Direct Expiry",$G2570,EDATE($G2570,$F2570)))),"Check Date")</f>
        <v/>
      </c>
      <c r="I2570" s="12" t="str">
        <f aca="true">IF($H2570="","",IF(ISNUMBER($H2570),$H2570-TODAY(),""))</f>
        <v/>
      </c>
      <c r="J2570" s="4" t="str">
        <f aca="true">IF($D2570="Manual Review","Manual Review",IF($G2570="","No Data",IF(NOT(ISNUMBER($H2570)),"N/A",IF($H2570&lt;TODAY(),"Overdue",IF($H2570&lt;=TODAY()+30,"Due within 1 Month",IF($H2570&lt;=TODAY()+60,"Due within 2 Months","OK"))))))</f>
        <v>No Data</v>
      </c>
      <c r="K2570" s="13"/>
    </row>
    <row r="2571" customFormat="false" ht="15" hidden="false" customHeight="false" outlineLevel="0" collapsed="false">
      <c r="A2571" s="9" t="str">
        <f aca="false">Vessels!B27</f>
        <v>Vessel 23</v>
      </c>
      <c r="B2571" s="9" t="s">
        <v>136</v>
      </c>
      <c r="C2571" s="7" t="s">
        <v>148</v>
      </c>
      <c r="D2571" s="9" t="s">
        <v>45</v>
      </c>
      <c r="E2571" s="9" t="s">
        <v>44</v>
      </c>
      <c r="F2571" s="5" t="n">
        <v>12</v>
      </c>
      <c r="G2571" s="10"/>
      <c r="H2571" s="11" t="str">
        <f aca="false">IFERROR(IF($D2571="Manual Review","",IF($G2571="","",IF($D2571="Direct Expiry",$G2571,EDATE($G2571,$F2571)))),"Check Date")</f>
        <v/>
      </c>
      <c r="I2571" s="12" t="str">
        <f aca="true">IF($H2571="","",IF(ISNUMBER($H2571),$H2571-TODAY(),""))</f>
        <v/>
      </c>
      <c r="J2571" s="4" t="str">
        <f aca="true">IF($D2571="Manual Review","Manual Review",IF($G2571="","No Data",IF(NOT(ISNUMBER($H2571)),"N/A",IF($H2571&lt;TODAY(),"Overdue",IF($H2571&lt;=TODAY()+30,"Due within 1 Month",IF($H2571&lt;=TODAY()+60,"Due within 2 Months","OK"))))))</f>
        <v>No Data</v>
      </c>
      <c r="K2571" s="13"/>
    </row>
    <row r="2572" customFormat="false" ht="15" hidden="false" customHeight="false" outlineLevel="0" collapsed="false">
      <c r="A2572" s="9" t="str">
        <f aca="false">Vessels!B27</f>
        <v>Vessel 23</v>
      </c>
      <c r="B2572" s="9" t="s">
        <v>136</v>
      </c>
      <c r="C2572" s="7" t="s">
        <v>149</v>
      </c>
      <c r="D2572" s="9" t="s">
        <v>45</v>
      </c>
      <c r="E2572" s="9" t="s">
        <v>44</v>
      </c>
      <c r="F2572" s="5" t="n">
        <v>12</v>
      </c>
      <c r="G2572" s="10"/>
      <c r="H2572" s="11" t="str">
        <f aca="false">IFERROR(IF($D2572="Manual Review","",IF($G2572="","",IF($D2572="Direct Expiry",$G2572,EDATE($G2572,$F2572)))),"Check Date")</f>
        <v/>
      </c>
      <c r="I2572" s="12" t="str">
        <f aca="true">IF($H2572="","",IF(ISNUMBER($H2572),$H2572-TODAY(),""))</f>
        <v/>
      </c>
      <c r="J2572" s="4" t="str">
        <f aca="true">IF($D2572="Manual Review","Manual Review",IF($G2572="","No Data",IF(NOT(ISNUMBER($H2572)),"N/A",IF($H2572&lt;TODAY(),"Overdue",IF($H2572&lt;=TODAY()+30,"Due within 1 Month",IF($H2572&lt;=TODAY()+60,"Due within 2 Months","OK"))))))</f>
        <v>No Data</v>
      </c>
      <c r="K2572" s="13"/>
    </row>
    <row r="2573" customFormat="false" ht="15" hidden="false" customHeight="false" outlineLevel="0" collapsed="false">
      <c r="A2573" s="9" t="str">
        <f aca="false">Vessels!B27</f>
        <v>Vessel 23</v>
      </c>
      <c r="B2573" s="9" t="s">
        <v>136</v>
      </c>
      <c r="C2573" s="7" t="s">
        <v>150</v>
      </c>
      <c r="D2573" s="9" t="s">
        <v>45</v>
      </c>
      <c r="E2573" s="9" t="s">
        <v>44</v>
      </c>
      <c r="F2573" s="5" t="n">
        <v>12</v>
      </c>
      <c r="G2573" s="10"/>
      <c r="H2573" s="11" t="str">
        <f aca="false">IFERROR(IF($D2573="Manual Review","",IF($G2573="","",IF($D2573="Direct Expiry",$G2573,EDATE($G2573,$F2573)))),"Check Date")</f>
        <v/>
      </c>
      <c r="I2573" s="12" t="str">
        <f aca="true">IF($H2573="","",IF(ISNUMBER($H2573),$H2573-TODAY(),""))</f>
        <v/>
      </c>
      <c r="J2573" s="4" t="str">
        <f aca="true">IF($D2573="Manual Review","Manual Review",IF($G2573="","No Data",IF(NOT(ISNUMBER($H2573)),"N/A",IF($H2573&lt;TODAY(),"Overdue",IF($H2573&lt;=TODAY()+30,"Due within 1 Month",IF($H2573&lt;=TODAY()+60,"Due within 2 Months","OK"))))))</f>
        <v>No Data</v>
      </c>
      <c r="K2573" s="13"/>
    </row>
    <row r="2574" customFormat="false" ht="15" hidden="false" customHeight="false" outlineLevel="0" collapsed="false">
      <c r="A2574" s="9" t="str">
        <f aca="false">Vessels!B27</f>
        <v>Vessel 23</v>
      </c>
      <c r="B2574" s="9" t="s">
        <v>136</v>
      </c>
      <c r="C2574" s="7" t="s">
        <v>151</v>
      </c>
      <c r="D2574" s="9" t="s">
        <v>45</v>
      </c>
      <c r="E2574" s="9" t="s">
        <v>44</v>
      </c>
      <c r="F2574" s="5" t="n">
        <v>12</v>
      </c>
      <c r="G2574" s="10"/>
      <c r="H2574" s="11" t="str">
        <f aca="false">IFERROR(IF($D2574="Manual Review","",IF($G2574="","",IF($D2574="Direct Expiry",$G2574,EDATE($G2574,$F2574)))),"Check Date")</f>
        <v/>
      </c>
      <c r="I2574" s="12" t="str">
        <f aca="true">IF($H2574="","",IF(ISNUMBER($H2574),$H2574-TODAY(),""))</f>
        <v/>
      </c>
      <c r="J2574" s="4" t="str">
        <f aca="true">IF($D2574="Manual Review","Manual Review",IF($G2574="","No Data",IF(NOT(ISNUMBER($H2574)),"N/A",IF($H2574&lt;TODAY(),"Overdue",IF($H2574&lt;=TODAY()+30,"Due within 1 Month",IF($H2574&lt;=TODAY()+60,"Due within 2 Months","OK"))))))</f>
        <v>No Data</v>
      </c>
      <c r="K2574" s="13"/>
    </row>
    <row r="2575" customFormat="false" ht="15" hidden="false" customHeight="false" outlineLevel="0" collapsed="false">
      <c r="A2575" s="9" t="str">
        <f aca="false">Vessels!B27</f>
        <v>Vessel 23</v>
      </c>
      <c r="B2575" s="9" t="s">
        <v>136</v>
      </c>
      <c r="C2575" s="7" t="s">
        <v>152</v>
      </c>
      <c r="D2575" s="9" t="s">
        <v>45</v>
      </c>
      <c r="E2575" s="9" t="s">
        <v>44</v>
      </c>
      <c r="F2575" s="5" t="n">
        <v>12</v>
      </c>
      <c r="G2575" s="10"/>
      <c r="H2575" s="11" t="str">
        <f aca="false">IFERROR(IF($D2575="Manual Review","",IF($G2575="","",IF($D2575="Direct Expiry",$G2575,EDATE($G2575,$F2575)))),"Check Date")</f>
        <v/>
      </c>
      <c r="I2575" s="12" t="str">
        <f aca="true">IF($H2575="","",IF(ISNUMBER($H2575),$H2575-TODAY(),""))</f>
        <v/>
      </c>
      <c r="J2575" s="4" t="str">
        <f aca="true">IF($D2575="Manual Review","Manual Review",IF($G2575="","No Data",IF(NOT(ISNUMBER($H2575)),"N/A",IF($H2575&lt;TODAY(),"Overdue",IF($H2575&lt;=TODAY()+30,"Due within 1 Month",IF($H2575&lt;=TODAY()+60,"Due within 2 Months","OK"))))))</f>
        <v>No Data</v>
      </c>
      <c r="K2575" s="13"/>
    </row>
    <row r="2576" customFormat="false" ht="15" hidden="false" customHeight="false" outlineLevel="0" collapsed="false">
      <c r="A2576" s="9" t="str">
        <f aca="false">Vessels!B27</f>
        <v>Vessel 23</v>
      </c>
      <c r="B2576" s="9" t="s">
        <v>136</v>
      </c>
      <c r="C2576" s="7" t="s">
        <v>153</v>
      </c>
      <c r="D2576" s="9" t="s">
        <v>45</v>
      </c>
      <c r="E2576" s="9" t="s">
        <v>44</v>
      </c>
      <c r="F2576" s="5" t="n">
        <v>12</v>
      </c>
      <c r="G2576" s="10"/>
      <c r="H2576" s="11" t="str">
        <f aca="false">IFERROR(IF($D2576="Manual Review","",IF($G2576="","",IF($D2576="Direct Expiry",$G2576,EDATE($G2576,$F2576)))),"Check Date")</f>
        <v/>
      </c>
      <c r="I2576" s="12" t="str">
        <f aca="true">IF($H2576="","",IF(ISNUMBER($H2576),$H2576-TODAY(),""))</f>
        <v/>
      </c>
      <c r="J2576" s="4" t="str">
        <f aca="true">IF($D2576="Manual Review","Manual Review",IF($G2576="","No Data",IF(NOT(ISNUMBER($H2576)),"N/A",IF($H2576&lt;TODAY(),"Overdue",IF($H2576&lt;=TODAY()+30,"Due within 1 Month",IF($H2576&lt;=TODAY()+60,"Due within 2 Months","OK"))))))</f>
        <v>No Data</v>
      </c>
      <c r="K2576" s="13"/>
    </row>
    <row r="2577" customFormat="false" ht="15" hidden="false" customHeight="false" outlineLevel="0" collapsed="false">
      <c r="A2577" s="9" t="str">
        <f aca="false">Vessels!B27</f>
        <v>Vessel 23</v>
      </c>
      <c r="B2577" s="9" t="s">
        <v>136</v>
      </c>
      <c r="C2577" s="7" t="s">
        <v>154</v>
      </c>
      <c r="D2577" s="9" t="s">
        <v>45</v>
      </c>
      <c r="E2577" s="9" t="s">
        <v>44</v>
      </c>
      <c r="F2577" s="5" t="n">
        <v>12</v>
      </c>
      <c r="G2577" s="10"/>
      <c r="H2577" s="11" t="str">
        <f aca="false">IFERROR(IF($D2577="Manual Review","",IF($G2577="","",IF($D2577="Direct Expiry",$G2577,EDATE($G2577,$F2577)))),"Check Date")</f>
        <v/>
      </c>
      <c r="I2577" s="12" t="str">
        <f aca="true">IF($H2577="","",IF(ISNUMBER($H2577),$H2577-TODAY(),""))</f>
        <v/>
      </c>
      <c r="J2577" s="4" t="str">
        <f aca="true">IF($D2577="Manual Review","Manual Review",IF($G2577="","No Data",IF(NOT(ISNUMBER($H2577)),"N/A",IF($H2577&lt;TODAY(),"Overdue",IF($H2577&lt;=TODAY()+30,"Due within 1 Month",IF($H2577&lt;=TODAY()+60,"Due within 2 Months","OK"))))))</f>
        <v>No Data</v>
      </c>
      <c r="K2577" s="13"/>
    </row>
    <row r="2578" customFormat="false" ht="15" hidden="false" customHeight="false" outlineLevel="0" collapsed="false">
      <c r="A2578" s="9" t="str">
        <f aca="false">Vessels!B27</f>
        <v>Vessel 23</v>
      </c>
      <c r="B2578" s="9" t="s">
        <v>136</v>
      </c>
      <c r="C2578" s="7" t="s">
        <v>155</v>
      </c>
      <c r="D2578" s="9" t="s">
        <v>45</v>
      </c>
      <c r="E2578" s="9" t="s">
        <v>44</v>
      </c>
      <c r="F2578" s="5" t="n">
        <v>12</v>
      </c>
      <c r="G2578" s="10"/>
      <c r="H2578" s="11" t="str">
        <f aca="false">IFERROR(IF($D2578="Manual Review","",IF($G2578="","",IF($D2578="Direct Expiry",$G2578,EDATE($G2578,$F2578)))),"Check Date")</f>
        <v/>
      </c>
      <c r="I2578" s="12" t="str">
        <f aca="true">IF($H2578="","",IF(ISNUMBER($H2578),$H2578-TODAY(),""))</f>
        <v/>
      </c>
      <c r="J2578" s="4" t="str">
        <f aca="true">IF($D2578="Manual Review","Manual Review",IF($G2578="","No Data",IF(NOT(ISNUMBER($H2578)),"N/A",IF($H2578&lt;TODAY(),"Overdue",IF($H2578&lt;=TODAY()+30,"Due within 1 Month",IF($H2578&lt;=TODAY()+60,"Due within 2 Months","OK"))))))</f>
        <v>No Data</v>
      </c>
      <c r="K2578" s="13"/>
    </row>
    <row r="2579" customFormat="false" ht="15" hidden="false" customHeight="false" outlineLevel="0" collapsed="false">
      <c r="A2579" s="9" t="str">
        <f aca="false">Vessels!B27</f>
        <v>Vessel 23</v>
      </c>
      <c r="B2579" s="9" t="s">
        <v>136</v>
      </c>
      <c r="C2579" s="7" t="s">
        <v>156</v>
      </c>
      <c r="D2579" s="9" t="s">
        <v>45</v>
      </c>
      <c r="E2579" s="9" t="s">
        <v>44</v>
      </c>
      <c r="F2579" s="5" t="n">
        <v>12</v>
      </c>
      <c r="G2579" s="10"/>
      <c r="H2579" s="11" t="str">
        <f aca="false">IFERROR(IF($D2579="Manual Review","",IF($G2579="","",IF($D2579="Direct Expiry",$G2579,EDATE($G2579,$F2579)))),"Check Date")</f>
        <v/>
      </c>
      <c r="I2579" s="12" t="str">
        <f aca="true">IF($H2579="","",IF(ISNUMBER($H2579),$H2579-TODAY(),""))</f>
        <v/>
      </c>
      <c r="J2579" s="4" t="str">
        <f aca="true">IF($D2579="Manual Review","Manual Review",IF($G2579="","No Data",IF(NOT(ISNUMBER($H2579)),"N/A",IF($H2579&lt;TODAY(),"Overdue",IF($H2579&lt;=TODAY()+30,"Due within 1 Month",IF($H2579&lt;=TODAY()+60,"Due within 2 Months","OK"))))))</f>
        <v>No Data</v>
      </c>
      <c r="K2579" s="13"/>
    </row>
    <row r="2580" customFormat="false" ht="15" hidden="false" customHeight="false" outlineLevel="0" collapsed="false">
      <c r="A2580" s="9" t="str">
        <f aca="false">Vessels!B27</f>
        <v>Vessel 23</v>
      </c>
      <c r="B2580" s="9" t="s">
        <v>136</v>
      </c>
      <c r="C2580" s="7" t="s">
        <v>157</v>
      </c>
      <c r="D2580" s="9" t="s">
        <v>45</v>
      </c>
      <c r="E2580" s="9" t="s">
        <v>44</v>
      </c>
      <c r="F2580" s="5" t="n">
        <v>12</v>
      </c>
      <c r="G2580" s="10"/>
      <c r="H2580" s="11" t="str">
        <f aca="false">IFERROR(IF($D2580="Manual Review","",IF($G2580="","",IF($D2580="Direct Expiry",$G2580,EDATE($G2580,$F2580)))),"Check Date")</f>
        <v/>
      </c>
      <c r="I2580" s="12" t="str">
        <f aca="true">IF($H2580="","",IF(ISNUMBER($H2580),$H2580-TODAY(),""))</f>
        <v/>
      </c>
      <c r="J2580" s="4" t="str">
        <f aca="true">IF($D2580="Manual Review","Manual Review",IF($G2580="","No Data",IF(NOT(ISNUMBER($H2580)),"N/A",IF($H2580&lt;TODAY(),"Overdue",IF($H2580&lt;=TODAY()+30,"Due within 1 Month",IF($H2580&lt;=TODAY()+60,"Due within 2 Months","OK"))))))</f>
        <v>No Data</v>
      </c>
      <c r="K2580" s="13"/>
    </row>
    <row r="2581" customFormat="false" ht="15" hidden="false" customHeight="false" outlineLevel="0" collapsed="false">
      <c r="A2581" s="9" t="str">
        <f aca="false">Vessels!B28</f>
        <v>Vessel 24</v>
      </c>
      <c r="B2581" s="9" t="s">
        <v>42</v>
      </c>
      <c r="C2581" s="7" t="s">
        <v>43</v>
      </c>
      <c r="D2581" s="9" t="s">
        <v>45</v>
      </c>
      <c r="E2581" s="9" t="s">
        <v>44</v>
      </c>
      <c r="F2581" s="5" t="n">
        <v>12</v>
      </c>
      <c r="G2581" s="10"/>
      <c r="H2581" s="11" t="str">
        <f aca="false">IFERROR(IF($D2581="Manual Review","",IF($G2581="","",IF($D2581="Direct Expiry",$G2581,EDATE($G2581,$F2581)))),"Check Date")</f>
        <v/>
      </c>
      <c r="I2581" s="12" t="str">
        <f aca="true">IF($H2581="","",IF(ISNUMBER($H2581),$H2581-TODAY(),""))</f>
        <v/>
      </c>
      <c r="J2581" s="4" t="str">
        <f aca="true">IF($D2581="Manual Review","Manual Review",IF($G2581="","No Data",IF(NOT(ISNUMBER($H2581)),"N/A",IF($H2581&lt;TODAY(),"Overdue",IF($H2581&lt;=TODAY()+30,"Due within 1 Month",IF($H2581&lt;=TODAY()+60,"Due within 2 Months","OK"))))))</f>
        <v>No Data</v>
      </c>
      <c r="K2581" s="13"/>
    </row>
    <row r="2582" customFormat="false" ht="15" hidden="false" customHeight="false" outlineLevel="0" collapsed="false">
      <c r="A2582" s="9" t="str">
        <f aca="false">Vessels!B28</f>
        <v>Vessel 24</v>
      </c>
      <c r="B2582" s="9" t="s">
        <v>42</v>
      </c>
      <c r="C2582" s="7" t="s">
        <v>43</v>
      </c>
      <c r="D2582" s="9" t="s">
        <v>45</v>
      </c>
      <c r="E2582" s="9" t="s">
        <v>46</v>
      </c>
      <c r="F2582" s="5" t="n">
        <v>60</v>
      </c>
      <c r="G2582" s="10"/>
      <c r="H2582" s="11" t="str">
        <f aca="false">IFERROR(IF($D2582="Manual Review","",IF($G2582="","",IF($D2582="Direct Expiry",$G2582,EDATE($G2582,$F2582)))),"Check Date")</f>
        <v/>
      </c>
      <c r="I2582" s="12" t="str">
        <f aca="true">IF($H2582="","",IF(ISNUMBER($H2582),$H2582-TODAY(),""))</f>
        <v/>
      </c>
      <c r="J2582" s="4" t="str">
        <f aca="true">IF($D2582="Manual Review","Manual Review",IF($G2582="","No Data",IF(NOT(ISNUMBER($H2582)),"N/A",IF($H2582&lt;TODAY(),"Overdue",IF($H2582&lt;=TODAY()+30,"Due within 1 Month",IF($H2582&lt;=TODAY()+60,"Due within 2 Months","OK"))))))</f>
        <v>No Data</v>
      </c>
      <c r="K2582" s="13"/>
    </row>
    <row r="2583" customFormat="false" ht="15" hidden="false" customHeight="false" outlineLevel="0" collapsed="false">
      <c r="A2583" s="9" t="str">
        <f aca="false">Vessels!B28</f>
        <v>Vessel 24</v>
      </c>
      <c r="B2583" s="9" t="s">
        <v>42</v>
      </c>
      <c r="C2583" s="7" t="s">
        <v>47</v>
      </c>
      <c r="D2583" s="9" t="s">
        <v>45</v>
      </c>
      <c r="E2583" s="9" t="s">
        <v>44</v>
      </c>
      <c r="F2583" s="5" t="n">
        <v>12</v>
      </c>
      <c r="G2583" s="10"/>
      <c r="H2583" s="11" t="str">
        <f aca="false">IFERROR(IF($D2583="Manual Review","",IF($G2583="","",IF($D2583="Direct Expiry",$G2583,EDATE($G2583,$F2583)))),"Check Date")</f>
        <v/>
      </c>
      <c r="I2583" s="12" t="str">
        <f aca="true">IF($H2583="","",IF(ISNUMBER($H2583),$H2583-TODAY(),""))</f>
        <v/>
      </c>
      <c r="J2583" s="4" t="str">
        <f aca="true">IF($D2583="Manual Review","Manual Review",IF($G2583="","No Data",IF(NOT(ISNUMBER($H2583)),"N/A",IF($H2583&lt;TODAY(),"Overdue",IF($H2583&lt;=TODAY()+30,"Due within 1 Month",IF($H2583&lt;=TODAY()+60,"Due within 2 Months","OK"))))))</f>
        <v>No Data</v>
      </c>
      <c r="K2583" s="13"/>
    </row>
    <row r="2584" customFormat="false" ht="15" hidden="false" customHeight="false" outlineLevel="0" collapsed="false">
      <c r="A2584" s="9" t="str">
        <f aca="false">Vessels!B28</f>
        <v>Vessel 24</v>
      </c>
      <c r="B2584" s="9" t="s">
        <v>42</v>
      </c>
      <c r="C2584" s="7" t="s">
        <v>47</v>
      </c>
      <c r="D2584" s="9" t="s">
        <v>45</v>
      </c>
      <c r="E2584" s="9" t="s">
        <v>46</v>
      </c>
      <c r="F2584" s="5" t="n">
        <v>60</v>
      </c>
      <c r="G2584" s="10"/>
      <c r="H2584" s="11" t="str">
        <f aca="false">IFERROR(IF($D2584="Manual Review","",IF($G2584="","",IF($D2584="Direct Expiry",$G2584,EDATE($G2584,$F2584)))),"Check Date")</f>
        <v/>
      </c>
      <c r="I2584" s="12" t="str">
        <f aca="true">IF($H2584="","",IF(ISNUMBER($H2584),$H2584-TODAY(),""))</f>
        <v/>
      </c>
      <c r="J2584" s="4" t="str">
        <f aca="true">IF($D2584="Manual Review","Manual Review",IF($G2584="","No Data",IF(NOT(ISNUMBER($H2584)),"N/A",IF($H2584&lt;TODAY(),"Overdue",IF($H2584&lt;=TODAY()+30,"Due within 1 Month",IF($H2584&lt;=TODAY()+60,"Due within 2 Months","OK"))))))</f>
        <v>No Data</v>
      </c>
      <c r="K2584" s="13"/>
    </row>
    <row r="2585" customFormat="false" ht="15" hidden="false" customHeight="false" outlineLevel="0" collapsed="false">
      <c r="A2585" s="9" t="str">
        <f aca="false">Vessels!B28</f>
        <v>Vessel 24</v>
      </c>
      <c r="B2585" s="9" t="s">
        <v>42</v>
      </c>
      <c r="C2585" s="7" t="s">
        <v>48</v>
      </c>
      <c r="D2585" s="9" t="s">
        <v>45</v>
      </c>
      <c r="E2585" s="9" t="s">
        <v>44</v>
      </c>
      <c r="F2585" s="5" t="n">
        <v>12</v>
      </c>
      <c r="G2585" s="10"/>
      <c r="H2585" s="11" t="str">
        <f aca="false">IFERROR(IF($D2585="Manual Review","",IF($G2585="","",IF($D2585="Direct Expiry",$G2585,EDATE($G2585,$F2585)))),"Check Date")</f>
        <v/>
      </c>
      <c r="I2585" s="12" t="str">
        <f aca="true">IF($H2585="","",IF(ISNUMBER($H2585),$H2585-TODAY(),""))</f>
        <v/>
      </c>
      <c r="J2585" s="4" t="str">
        <f aca="true">IF($D2585="Manual Review","Manual Review",IF($G2585="","No Data",IF(NOT(ISNUMBER($H2585)),"N/A",IF($H2585&lt;TODAY(),"Overdue",IF($H2585&lt;=TODAY()+30,"Due within 1 Month",IF($H2585&lt;=TODAY()+60,"Due within 2 Months","OK"))))))</f>
        <v>No Data</v>
      </c>
      <c r="K2585" s="13"/>
    </row>
    <row r="2586" customFormat="false" ht="15" hidden="false" customHeight="false" outlineLevel="0" collapsed="false">
      <c r="A2586" s="9" t="str">
        <f aca="false">Vessels!B28</f>
        <v>Vessel 24</v>
      </c>
      <c r="B2586" s="9" t="s">
        <v>42</v>
      </c>
      <c r="C2586" s="7" t="s">
        <v>48</v>
      </c>
      <c r="D2586" s="9" t="s">
        <v>45</v>
      </c>
      <c r="E2586" s="9" t="s">
        <v>49</v>
      </c>
      <c r="F2586" s="5" t="n">
        <v>60</v>
      </c>
      <c r="G2586" s="10"/>
      <c r="H2586" s="11" t="str">
        <f aca="false">IFERROR(IF($D2586="Manual Review","",IF($G2586="","",IF($D2586="Direct Expiry",$G2586,EDATE($G2586,$F2586)))),"Check Date")</f>
        <v/>
      </c>
      <c r="I2586" s="12" t="str">
        <f aca="true">IF($H2586="","",IF(ISNUMBER($H2586),$H2586-TODAY(),""))</f>
        <v/>
      </c>
      <c r="J2586" s="4" t="str">
        <f aca="true">IF($D2586="Manual Review","Manual Review",IF($G2586="","No Data",IF(NOT(ISNUMBER($H2586)),"N/A",IF($H2586&lt;TODAY(),"Overdue",IF($H2586&lt;=TODAY()+30,"Due within 1 Month",IF($H2586&lt;=TODAY()+60,"Due within 2 Months","OK"))))))</f>
        <v>No Data</v>
      </c>
      <c r="K2586" s="13"/>
    </row>
    <row r="2587" customFormat="false" ht="15" hidden="false" customHeight="false" outlineLevel="0" collapsed="false">
      <c r="A2587" s="9" t="str">
        <f aca="false">Vessels!B28</f>
        <v>Vessel 24</v>
      </c>
      <c r="B2587" s="9" t="s">
        <v>42</v>
      </c>
      <c r="C2587" s="7" t="s">
        <v>50</v>
      </c>
      <c r="D2587" s="9" t="s">
        <v>45</v>
      </c>
      <c r="E2587" s="9" t="s">
        <v>44</v>
      </c>
      <c r="F2587" s="5" t="n">
        <v>12</v>
      </c>
      <c r="G2587" s="10"/>
      <c r="H2587" s="11" t="str">
        <f aca="false">IFERROR(IF($D2587="Manual Review","",IF($G2587="","",IF($D2587="Direct Expiry",$G2587,EDATE($G2587,$F2587)))),"Check Date")</f>
        <v/>
      </c>
      <c r="I2587" s="12" t="str">
        <f aca="true">IF($H2587="","",IF(ISNUMBER($H2587),$H2587-TODAY(),""))</f>
        <v/>
      </c>
      <c r="J2587" s="4" t="str">
        <f aca="true">IF($D2587="Manual Review","Manual Review",IF($G2587="","No Data",IF(NOT(ISNUMBER($H2587)),"N/A",IF($H2587&lt;TODAY(),"Overdue",IF($H2587&lt;=TODAY()+30,"Due within 1 Month",IF($H2587&lt;=TODAY()+60,"Due within 2 Months","OK"))))))</f>
        <v>No Data</v>
      </c>
      <c r="K2587" s="13"/>
    </row>
    <row r="2588" customFormat="false" ht="15" hidden="false" customHeight="false" outlineLevel="0" collapsed="false">
      <c r="A2588" s="9" t="str">
        <f aca="false">Vessels!B28</f>
        <v>Vessel 24</v>
      </c>
      <c r="B2588" s="9" t="s">
        <v>42</v>
      </c>
      <c r="C2588" s="7" t="s">
        <v>50</v>
      </c>
      <c r="D2588" s="9" t="s">
        <v>45</v>
      </c>
      <c r="E2588" s="9" t="s">
        <v>49</v>
      </c>
      <c r="F2588" s="5" t="n">
        <v>60</v>
      </c>
      <c r="G2588" s="10"/>
      <c r="H2588" s="11" t="str">
        <f aca="false">IFERROR(IF($D2588="Manual Review","",IF($G2588="","",IF($D2588="Direct Expiry",$G2588,EDATE($G2588,$F2588)))),"Check Date")</f>
        <v/>
      </c>
      <c r="I2588" s="12" t="str">
        <f aca="true">IF($H2588="","",IF(ISNUMBER($H2588),$H2588-TODAY(),""))</f>
        <v/>
      </c>
      <c r="J2588" s="4" t="str">
        <f aca="true">IF($D2588="Manual Review","Manual Review",IF($G2588="","No Data",IF(NOT(ISNUMBER($H2588)),"N/A",IF($H2588&lt;TODAY(),"Overdue",IF($H2588&lt;=TODAY()+30,"Due within 1 Month",IF($H2588&lt;=TODAY()+60,"Due within 2 Months","OK"))))))</f>
        <v>No Data</v>
      </c>
      <c r="K2588" s="13"/>
    </row>
    <row r="2589" customFormat="false" ht="15" hidden="false" customHeight="false" outlineLevel="0" collapsed="false">
      <c r="A2589" s="9" t="str">
        <f aca="false">Vessels!B28</f>
        <v>Vessel 24</v>
      </c>
      <c r="B2589" s="9" t="s">
        <v>42</v>
      </c>
      <c r="C2589" s="7" t="s">
        <v>51</v>
      </c>
      <c r="D2589" s="9" t="s">
        <v>45</v>
      </c>
      <c r="E2589" s="9" t="s">
        <v>46</v>
      </c>
      <c r="F2589" s="5" t="n">
        <v>60</v>
      </c>
      <c r="G2589" s="10"/>
      <c r="H2589" s="11" t="str">
        <f aca="false">IFERROR(IF($D2589="Manual Review","",IF($G2589="","",IF($D2589="Direct Expiry",$G2589,EDATE($G2589,$F2589)))),"Check Date")</f>
        <v/>
      </c>
      <c r="I2589" s="12" t="str">
        <f aca="true">IF($H2589="","",IF(ISNUMBER($H2589),$H2589-TODAY(),""))</f>
        <v/>
      </c>
      <c r="J2589" s="4" t="str">
        <f aca="true">IF($D2589="Manual Review","Manual Review",IF($G2589="","No Data",IF(NOT(ISNUMBER($H2589)),"N/A",IF($H2589&lt;TODAY(),"Overdue",IF($H2589&lt;=TODAY()+30,"Due within 1 Month",IF($H2589&lt;=TODAY()+60,"Due within 2 Months","OK"))))))</f>
        <v>No Data</v>
      </c>
      <c r="K2589" s="13"/>
    </row>
    <row r="2590" customFormat="false" ht="15" hidden="false" customHeight="false" outlineLevel="0" collapsed="false">
      <c r="A2590" s="9" t="str">
        <f aca="false">Vessels!B28</f>
        <v>Vessel 24</v>
      </c>
      <c r="B2590" s="9" t="s">
        <v>42</v>
      </c>
      <c r="C2590" s="7" t="s">
        <v>52</v>
      </c>
      <c r="D2590" s="9" t="s">
        <v>45</v>
      </c>
      <c r="E2590" s="9" t="s">
        <v>46</v>
      </c>
      <c r="F2590" s="5" t="n">
        <v>60</v>
      </c>
      <c r="G2590" s="10"/>
      <c r="H2590" s="11" t="str">
        <f aca="false">IFERROR(IF($D2590="Manual Review","",IF($G2590="","",IF($D2590="Direct Expiry",$G2590,EDATE($G2590,$F2590)))),"Check Date")</f>
        <v/>
      </c>
      <c r="I2590" s="12" t="str">
        <f aca="true">IF($H2590="","",IF(ISNUMBER($H2590),$H2590-TODAY(),""))</f>
        <v/>
      </c>
      <c r="J2590" s="4" t="str">
        <f aca="true">IF($D2590="Manual Review","Manual Review",IF($G2590="","No Data",IF(NOT(ISNUMBER($H2590)),"N/A",IF($H2590&lt;TODAY(),"Overdue",IF($H2590&lt;=TODAY()+30,"Due within 1 Month",IF($H2590&lt;=TODAY()+60,"Due within 2 Months","OK"))))))</f>
        <v>No Data</v>
      </c>
      <c r="K2590" s="13"/>
    </row>
    <row r="2591" customFormat="false" ht="15" hidden="false" customHeight="false" outlineLevel="0" collapsed="false">
      <c r="A2591" s="9" t="str">
        <f aca="false">Vessels!B28</f>
        <v>Vessel 24</v>
      </c>
      <c r="B2591" s="9" t="s">
        <v>42</v>
      </c>
      <c r="C2591" s="7" t="s">
        <v>53</v>
      </c>
      <c r="D2591" s="9" t="s">
        <v>45</v>
      </c>
      <c r="E2591" s="9" t="s">
        <v>46</v>
      </c>
      <c r="F2591" s="5" t="n">
        <v>60</v>
      </c>
      <c r="G2591" s="10"/>
      <c r="H2591" s="11" t="str">
        <f aca="false">IFERROR(IF($D2591="Manual Review","",IF($G2591="","",IF($D2591="Direct Expiry",$G2591,EDATE($G2591,$F2591)))),"Check Date")</f>
        <v/>
      </c>
      <c r="I2591" s="12" t="str">
        <f aca="true">IF($H2591="","",IF(ISNUMBER($H2591),$H2591-TODAY(),""))</f>
        <v/>
      </c>
      <c r="J2591" s="4" t="str">
        <f aca="true">IF($D2591="Manual Review","Manual Review",IF($G2591="","No Data",IF(NOT(ISNUMBER($H2591)),"N/A",IF($H2591&lt;TODAY(),"Overdue",IF($H2591&lt;=TODAY()+30,"Due within 1 Month",IF($H2591&lt;=TODAY()+60,"Due within 2 Months","OK"))))))</f>
        <v>No Data</v>
      </c>
      <c r="K2591" s="13"/>
    </row>
    <row r="2592" customFormat="false" ht="15" hidden="false" customHeight="false" outlineLevel="0" collapsed="false">
      <c r="A2592" s="9" t="str">
        <f aca="false">Vessels!B28</f>
        <v>Vessel 24</v>
      </c>
      <c r="B2592" s="9" t="s">
        <v>42</v>
      </c>
      <c r="C2592" s="7" t="s">
        <v>54</v>
      </c>
      <c r="D2592" s="9" t="s">
        <v>45</v>
      </c>
      <c r="E2592" s="9" t="s">
        <v>46</v>
      </c>
      <c r="F2592" s="5" t="n">
        <v>60</v>
      </c>
      <c r="G2592" s="10"/>
      <c r="H2592" s="11" t="str">
        <f aca="false">IFERROR(IF($D2592="Manual Review","",IF($G2592="","",IF($D2592="Direct Expiry",$G2592,EDATE($G2592,$F2592)))),"Check Date")</f>
        <v/>
      </c>
      <c r="I2592" s="12" t="str">
        <f aca="true">IF($H2592="","",IF(ISNUMBER($H2592),$H2592-TODAY(),""))</f>
        <v/>
      </c>
      <c r="J2592" s="4" t="str">
        <f aca="true">IF($D2592="Manual Review","Manual Review",IF($G2592="","No Data",IF(NOT(ISNUMBER($H2592)),"N/A",IF($H2592&lt;TODAY(),"Overdue",IF($H2592&lt;=TODAY()+30,"Due within 1 Month",IF($H2592&lt;=TODAY()+60,"Due within 2 Months","OK"))))))</f>
        <v>No Data</v>
      </c>
      <c r="K2592" s="13"/>
    </row>
    <row r="2593" customFormat="false" ht="15" hidden="false" customHeight="false" outlineLevel="0" collapsed="false">
      <c r="A2593" s="9" t="str">
        <f aca="false">Vessels!B28</f>
        <v>Vessel 24</v>
      </c>
      <c r="B2593" s="9" t="s">
        <v>42</v>
      </c>
      <c r="C2593" s="7" t="s">
        <v>55</v>
      </c>
      <c r="D2593" s="9" t="s">
        <v>45</v>
      </c>
      <c r="E2593" s="9" t="s">
        <v>46</v>
      </c>
      <c r="F2593" s="5" t="n">
        <v>60</v>
      </c>
      <c r="G2593" s="10"/>
      <c r="H2593" s="11" t="str">
        <f aca="false">IFERROR(IF($D2593="Manual Review","",IF($G2593="","",IF($D2593="Direct Expiry",$G2593,EDATE($G2593,$F2593)))),"Check Date")</f>
        <v/>
      </c>
      <c r="I2593" s="12" t="str">
        <f aca="true">IF($H2593="","",IF(ISNUMBER($H2593),$H2593-TODAY(),""))</f>
        <v/>
      </c>
      <c r="J2593" s="4" t="str">
        <f aca="true">IF($D2593="Manual Review","Manual Review",IF($G2593="","No Data",IF(NOT(ISNUMBER($H2593)),"N/A",IF($H2593&lt;TODAY(),"Overdue",IF($H2593&lt;=TODAY()+30,"Due within 1 Month",IF($H2593&lt;=TODAY()+60,"Due within 2 Months","OK"))))))</f>
        <v>No Data</v>
      </c>
      <c r="K2593" s="13"/>
    </row>
    <row r="2594" customFormat="false" ht="15" hidden="false" customHeight="false" outlineLevel="0" collapsed="false">
      <c r="A2594" s="9" t="str">
        <f aca="false">Vessels!B28</f>
        <v>Vessel 24</v>
      </c>
      <c r="B2594" s="9" t="s">
        <v>42</v>
      </c>
      <c r="C2594" s="7" t="s">
        <v>56</v>
      </c>
      <c r="D2594" s="9" t="s">
        <v>45</v>
      </c>
      <c r="E2594" s="9" t="s">
        <v>46</v>
      </c>
      <c r="F2594" s="5" t="n">
        <v>60</v>
      </c>
      <c r="G2594" s="10"/>
      <c r="H2594" s="11" t="str">
        <f aca="false">IFERROR(IF($D2594="Manual Review","",IF($G2594="","",IF($D2594="Direct Expiry",$G2594,EDATE($G2594,$F2594)))),"Check Date")</f>
        <v/>
      </c>
      <c r="I2594" s="12" t="str">
        <f aca="true">IF($H2594="","",IF(ISNUMBER($H2594),$H2594-TODAY(),""))</f>
        <v/>
      </c>
      <c r="J2594" s="4" t="str">
        <f aca="true">IF($D2594="Manual Review","Manual Review",IF($G2594="","No Data",IF(NOT(ISNUMBER($H2594)),"N/A",IF($H2594&lt;TODAY(),"Overdue",IF($H2594&lt;=TODAY()+30,"Due within 1 Month",IF($H2594&lt;=TODAY()+60,"Due within 2 Months","OK"))))))</f>
        <v>No Data</v>
      </c>
      <c r="K2594" s="13"/>
    </row>
    <row r="2595" customFormat="false" ht="15" hidden="false" customHeight="false" outlineLevel="0" collapsed="false">
      <c r="A2595" s="9" t="str">
        <f aca="false">Vessels!B28</f>
        <v>Vessel 24</v>
      </c>
      <c r="B2595" s="9" t="s">
        <v>42</v>
      </c>
      <c r="C2595" s="7" t="s">
        <v>57</v>
      </c>
      <c r="D2595" s="9" t="s">
        <v>59</v>
      </c>
      <c r="E2595" s="9" t="s">
        <v>58</v>
      </c>
      <c r="F2595" s="5"/>
      <c r="G2595" s="10"/>
      <c r="H2595" s="11" t="str">
        <f aca="false">IFERROR(IF($D2595="Manual Review","",IF($G2595="","",IF($D2595="Direct Expiry",$G2595,EDATE($G2595,$F2595)))),"Check Date")</f>
        <v/>
      </c>
      <c r="I2595" s="12" t="str">
        <f aca="true">IF($H2595="","",IF(ISNUMBER($H2595),$H2595-TODAY(),""))</f>
        <v/>
      </c>
      <c r="J2595" s="4" t="str">
        <f aca="true">IF($D2595="Manual Review","Manual Review",IF($G2595="","No Data",IF(NOT(ISNUMBER($H2595)),"N/A",IF($H2595&lt;TODAY(),"Overdue",IF($H2595&lt;=TODAY()+30,"Due within 1 Month",IF($H2595&lt;=TODAY()+60,"Due within 2 Months","OK"))))))</f>
        <v>No Data</v>
      </c>
      <c r="K2595" s="13"/>
    </row>
    <row r="2596" customFormat="false" ht="15" hidden="false" customHeight="false" outlineLevel="0" collapsed="false">
      <c r="A2596" s="9" t="str">
        <f aca="false">Vessels!B28</f>
        <v>Vessel 24</v>
      </c>
      <c r="B2596" s="9" t="s">
        <v>42</v>
      </c>
      <c r="C2596" s="7" t="s">
        <v>60</v>
      </c>
      <c r="D2596" s="9" t="s">
        <v>45</v>
      </c>
      <c r="E2596" s="9" t="s">
        <v>44</v>
      </c>
      <c r="F2596" s="5" t="n">
        <v>12</v>
      </c>
      <c r="G2596" s="10"/>
      <c r="H2596" s="11" t="str">
        <f aca="false">IFERROR(IF($D2596="Manual Review","",IF($G2596="","",IF($D2596="Direct Expiry",$G2596,EDATE($G2596,$F2596)))),"Check Date")</f>
        <v/>
      </c>
      <c r="I2596" s="12" t="str">
        <f aca="true">IF($H2596="","",IF(ISNUMBER($H2596),$H2596-TODAY(),""))</f>
        <v/>
      </c>
      <c r="J2596" s="4" t="str">
        <f aca="true">IF($D2596="Manual Review","Manual Review",IF($G2596="","No Data",IF(NOT(ISNUMBER($H2596)),"N/A",IF($H2596&lt;TODAY(),"Overdue",IF($H2596&lt;=TODAY()+30,"Due within 1 Month",IF($H2596&lt;=TODAY()+60,"Due within 2 Months","OK"))))))</f>
        <v>No Data</v>
      </c>
      <c r="K2596" s="13"/>
    </row>
    <row r="2597" customFormat="false" ht="15" hidden="false" customHeight="false" outlineLevel="0" collapsed="false">
      <c r="A2597" s="9" t="str">
        <f aca="false">Vessels!B28</f>
        <v>Vessel 24</v>
      </c>
      <c r="B2597" s="9" t="s">
        <v>42</v>
      </c>
      <c r="C2597" s="7" t="s">
        <v>60</v>
      </c>
      <c r="D2597" s="9" t="s">
        <v>45</v>
      </c>
      <c r="E2597" s="9" t="s">
        <v>46</v>
      </c>
      <c r="F2597" s="5" t="n">
        <v>60</v>
      </c>
      <c r="G2597" s="10"/>
      <c r="H2597" s="11" t="str">
        <f aca="false">IFERROR(IF($D2597="Manual Review","",IF($G2597="","",IF($D2597="Direct Expiry",$G2597,EDATE($G2597,$F2597)))),"Check Date")</f>
        <v/>
      </c>
      <c r="I2597" s="12" t="str">
        <f aca="true">IF($H2597="","",IF(ISNUMBER($H2597),$H2597-TODAY(),""))</f>
        <v/>
      </c>
      <c r="J2597" s="4" t="str">
        <f aca="true">IF($D2597="Manual Review","Manual Review",IF($G2597="","No Data",IF(NOT(ISNUMBER($H2597)),"N/A",IF($H2597&lt;TODAY(),"Overdue",IF($H2597&lt;=TODAY()+30,"Due within 1 Month",IF($H2597&lt;=TODAY()+60,"Due within 2 Months","OK"))))))</f>
        <v>No Data</v>
      </c>
      <c r="K2597" s="13"/>
    </row>
    <row r="2598" customFormat="false" ht="15" hidden="false" customHeight="false" outlineLevel="0" collapsed="false">
      <c r="A2598" s="9" t="str">
        <f aca="false">Vessels!B28</f>
        <v>Vessel 24</v>
      </c>
      <c r="B2598" s="9" t="s">
        <v>42</v>
      </c>
      <c r="C2598" s="7" t="s">
        <v>61</v>
      </c>
      <c r="D2598" s="9" t="s">
        <v>45</v>
      </c>
      <c r="E2598" s="9" t="s">
        <v>44</v>
      </c>
      <c r="F2598" s="5" t="n">
        <v>12</v>
      </c>
      <c r="G2598" s="10"/>
      <c r="H2598" s="11" t="str">
        <f aca="false">IFERROR(IF($D2598="Manual Review","",IF($G2598="","",IF($D2598="Direct Expiry",$G2598,EDATE($G2598,$F2598)))),"Check Date")</f>
        <v/>
      </c>
      <c r="I2598" s="12" t="str">
        <f aca="true">IF($H2598="","",IF(ISNUMBER($H2598),$H2598-TODAY(),""))</f>
        <v/>
      </c>
      <c r="J2598" s="4" t="str">
        <f aca="true">IF($D2598="Manual Review","Manual Review",IF($G2598="","No Data",IF(NOT(ISNUMBER($H2598)),"N/A",IF($H2598&lt;TODAY(),"Overdue",IF($H2598&lt;=TODAY()+30,"Due within 1 Month",IF($H2598&lt;=TODAY()+60,"Due within 2 Months","OK"))))))</f>
        <v>No Data</v>
      </c>
      <c r="K2598" s="13"/>
    </row>
    <row r="2599" customFormat="false" ht="15" hidden="false" customHeight="false" outlineLevel="0" collapsed="false">
      <c r="A2599" s="9" t="str">
        <f aca="false">Vessels!B28</f>
        <v>Vessel 24</v>
      </c>
      <c r="B2599" s="9" t="s">
        <v>42</v>
      </c>
      <c r="C2599" s="7" t="s">
        <v>61</v>
      </c>
      <c r="D2599" s="9" t="s">
        <v>45</v>
      </c>
      <c r="E2599" s="9" t="s">
        <v>46</v>
      </c>
      <c r="F2599" s="5" t="n">
        <v>60</v>
      </c>
      <c r="G2599" s="10"/>
      <c r="H2599" s="11" t="str">
        <f aca="false">IFERROR(IF($D2599="Manual Review","",IF($G2599="","",IF($D2599="Direct Expiry",$G2599,EDATE($G2599,$F2599)))),"Check Date")</f>
        <v/>
      </c>
      <c r="I2599" s="12" t="str">
        <f aca="true">IF($H2599="","",IF(ISNUMBER($H2599),$H2599-TODAY(),""))</f>
        <v/>
      </c>
      <c r="J2599" s="4" t="str">
        <f aca="true">IF($D2599="Manual Review","Manual Review",IF($G2599="","No Data",IF(NOT(ISNUMBER($H2599)),"N/A",IF($H2599&lt;TODAY(),"Overdue",IF($H2599&lt;=TODAY()+30,"Due within 1 Month",IF($H2599&lt;=TODAY()+60,"Due within 2 Months","OK"))))))</f>
        <v>No Data</v>
      </c>
      <c r="K2599" s="13"/>
    </row>
    <row r="2600" customFormat="false" ht="15" hidden="false" customHeight="false" outlineLevel="0" collapsed="false">
      <c r="A2600" s="9" t="str">
        <f aca="false">Vessels!B28</f>
        <v>Vessel 24</v>
      </c>
      <c r="B2600" s="9" t="s">
        <v>42</v>
      </c>
      <c r="C2600" s="7" t="s">
        <v>62</v>
      </c>
      <c r="D2600" s="9" t="s">
        <v>45</v>
      </c>
      <c r="E2600" s="9" t="s">
        <v>44</v>
      </c>
      <c r="F2600" s="5" t="n">
        <v>12</v>
      </c>
      <c r="G2600" s="10"/>
      <c r="H2600" s="11" t="str">
        <f aca="false">IFERROR(IF($D2600="Manual Review","",IF($G2600="","",IF($D2600="Direct Expiry",$G2600,EDATE($G2600,$F2600)))),"Check Date")</f>
        <v/>
      </c>
      <c r="I2600" s="12" t="str">
        <f aca="true">IF($H2600="","",IF(ISNUMBER($H2600),$H2600-TODAY(),""))</f>
        <v/>
      </c>
      <c r="J2600" s="4" t="str">
        <f aca="true">IF($D2600="Manual Review","Manual Review",IF($G2600="","No Data",IF(NOT(ISNUMBER($H2600)),"N/A",IF($H2600&lt;TODAY(),"Overdue",IF($H2600&lt;=TODAY()+30,"Due within 1 Month",IF($H2600&lt;=TODAY()+60,"Due within 2 Months","OK"))))))</f>
        <v>No Data</v>
      </c>
      <c r="K2600" s="13"/>
    </row>
    <row r="2601" customFormat="false" ht="15" hidden="false" customHeight="false" outlineLevel="0" collapsed="false">
      <c r="A2601" s="9" t="str">
        <f aca="false">Vessels!B28</f>
        <v>Vessel 24</v>
      </c>
      <c r="B2601" s="9" t="s">
        <v>42</v>
      </c>
      <c r="C2601" s="7" t="s">
        <v>62</v>
      </c>
      <c r="D2601" s="9" t="s">
        <v>45</v>
      </c>
      <c r="E2601" s="9" t="s">
        <v>49</v>
      </c>
      <c r="F2601" s="5" t="n">
        <v>60</v>
      </c>
      <c r="G2601" s="10"/>
      <c r="H2601" s="11" t="str">
        <f aca="false">IFERROR(IF($D2601="Manual Review","",IF($G2601="","",IF($D2601="Direct Expiry",$G2601,EDATE($G2601,$F2601)))),"Check Date")</f>
        <v/>
      </c>
      <c r="I2601" s="12" t="str">
        <f aca="true">IF($H2601="","",IF(ISNUMBER($H2601),$H2601-TODAY(),""))</f>
        <v/>
      </c>
      <c r="J2601" s="4" t="str">
        <f aca="true">IF($D2601="Manual Review","Manual Review",IF($G2601="","No Data",IF(NOT(ISNUMBER($H2601)),"N/A",IF($H2601&lt;TODAY(),"Overdue",IF($H2601&lt;=TODAY()+30,"Due within 1 Month",IF($H2601&lt;=TODAY()+60,"Due within 2 Months","OK"))))))</f>
        <v>No Data</v>
      </c>
      <c r="K2601" s="13"/>
    </row>
    <row r="2602" customFormat="false" ht="15" hidden="false" customHeight="false" outlineLevel="0" collapsed="false">
      <c r="A2602" s="9" t="str">
        <f aca="false">Vessels!B28</f>
        <v>Vessel 24</v>
      </c>
      <c r="B2602" s="9" t="s">
        <v>42</v>
      </c>
      <c r="C2602" s="7" t="s">
        <v>63</v>
      </c>
      <c r="D2602" s="9" t="s">
        <v>45</v>
      </c>
      <c r="E2602" s="9" t="s">
        <v>44</v>
      </c>
      <c r="F2602" s="5" t="n">
        <v>12</v>
      </c>
      <c r="G2602" s="10"/>
      <c r="H2602" s="11" t="str">
        <f aca="false">IFERROR(IF($D2602="Manual Review","",IF($G2602="","",IF($D2602="Direct Expiry",$G2602,EDATE($G2602,$F2602)))),"Check Date")</f>
        <v/>
      </c>
      <c r="I2602" s="12" t="str">
        <f aca="true">IF($H2602="","",IF(ISNUMBER($H2602),$H2602-TODAY(),""))</f>
        <v/>
      </c>
      <c r="J2602" s="4" t="str">
        <f aca="true">IF($D2602="Manual Review","Manual Review",IF($G2602="","No Data",IF(NOT(ISNUMBER($H2602)),"N/A",IF($H2602&lt;TODAY(),"Overdue",IF($H2602&lt;=TODAY()+30,"Due within 1 Month",IF($H2602&lt;=TODAY()+60,"Due within 2 Months","OK"))))))</f>
        <v>No Data</v>
      </c>
      <c r="K2602" s="13"/>
    </row>
    <row r="2603" customFormat="false" ht="15" hidden="false" customHeight="false" outlineLevel="0" collapsed="false">
      <c r="A2603" s="9" t="str">
        <f aca="false">Vessels!B28</f>
        <v>Vessel 24</v>
      </c>
      <c r="B2603" s="9" t="s">
        <v>42</v>
      </c>
      <c r="C2603" s="7" t="s">
        <v>63</v>
      </c>
      <c r="D2603" s="9" t="s">
        <v>45</v>
      </c>
      <c r="E2603" s="9" t="s">
        <v>49</v>
      </c>
      <c r="F2603" s="5" t="n">
        <v>60</v>
      </c>
      <c r="G2603" s="10"/>
      <c r="H2603" s="11" t="str">
        <f aca="false">IFERROR(IF($D2603="Manual Review","",IF($G2603="","",IF($D2603="Direct Expiry",$G2603,EDATE($G2603,$F2603)))),"Check Date")</f>
        <v/>
      </c>
      <c r="I2603" s="12" t="str">
        <f aca="true">IF($H2603="","",IF(ISNUMBER($H2603),$H2603-TODAY(),""))</f>
        <v/>
      </c>
      <c r="J2603" s="4" t="str">
        <f aca="true">IF($D2603="Manual Review","Manual Review",IF($G2603="","No Data",IF(NOT(ISNUMBER($H2603)),"N/A",IF($H2603&lt;TODAY(),"Overdue",IF($H2603&lt;=TODAY()+30,"Due within 1 Month",IF($H2603&lt;=TODAY()+60,"Due within 2 Months","OK"))))))</f>
        <v>No Data</v>
      </c>
      <c r="K2603" s="13"/>
    </row>
    <row r="2604" customFormat="false" ht="15" hidden="false" customHeight="false" outlineLevel="0" collapsed="false">
      <c r="A2604" s="9" t="str">
        <f aca="false">Vessels!B28</f>
        <v>Vessel 24</v>
      </c>
      <c r="B2604" s="9" t="s">
        <v>42</v>
      </c>
      <c r="C2604" s="7" t="s">
        <v>64</v>
      </c>
      <c r="D2604" s="9" t="s">
        <v>45</v>
      </c>
      <c r="E2604" s="9" t="s">
        <v>46</v>
      </c>
      <c r="F2604" s="5" t="n">
        <v>60</v>
      </c>
      <c r="G2604" s="10"/>
      <c r="H2604" s="11" t="str">
        <f aca="false">IFERROR(IF($D2604="Manual Review","",IF($G2604="","",IF($D2604="Direct Expiry",$G2604,EDATE($G2604,$F2604)))),"Check Date")</f>
        <v/>
      </c>
      <c r="I2604" s="12" t="str">
        <f aca="true">IF($H2604="","",IF(ISNUMBER($H2604),$H2604-TODAY(),""))</f>
        <v/>
      </c>
      <c r="J2604" s="4" t="str">
        <f aca="true">IF($D2604="Manual Review","Manual Review",IF($G2604="","No Data",IF(NOT(ISNUMBER($H2604)),"N/A",IF($H2604&lt;TODAY(),"Overdue",IF($H2604&lt;=TODAY()+30,"Due within 1 Month",IF($H2604&lt;=TODAY()+60,"Due within 2 Months","OK"))))))</f>
        <v>No Data</v>
      </c>
      <c r="K2604" s="13"/>
    </row>
    <row r="2605" customFormat="false" ht="15" hidden="false" customHeight="false" outlineLevel="0" collapsed="false">
      <c r="A2605" s="9" t="str">
        <f aca="false">Vessels!B28</f>
        <v>Vessel 24</v>
      </c>
      <c r="B2605" s="9" t="s">
        <v>42</v>
      </c>
      <c r="C2605" s="7" t="s">
        <v>65</v>
      </c>
      <c r="D2605" s="9" t="s">
        <v>45</v>
      </c>
      <c r="E2605" s="9" t="s">
        <v>46</v>
      </c>
      <c r="F2605" s="5" t="n">
        <v>60</v>
      </c>
      <c r="G2605" s="10"/>
      <c r="H2605" s="11" t="str">
        <f aca="false">IFERROR(IF($D2605="Manual Review","",IF($G2605="","",IF($D2605="Direct Expiry",$G2605,EDATE($G2605,$F2605)))),"Check Date")</f>
        <v/>
      </c>
      <c r="I2605" s="12" t="str">
        <f aca="true">IF($H2605="","",IF(ISNUMBER($H2605),$H2605-TODAY(),""))</f>
        <v/>
      </c>
      <c r="J2605" s="4" t="str">
        <f aca="true">IF($D2605="Manual Review","Manual Review",IF($G2605="","No Data",IF(NOT(ISNUMBER($H2605)),"N/A",IF($H2605&lt;TODAY(),"Overdue",IF($H2605&lt;=TODAY()+30,"Due within 1 Month",IF($H2605&lt;=TODAY()+60,"Due within 2 Months","OK"))))))</f>
        <v>No Data</v>
      </c>
      <c r="K2605" s="13"/>
    </row>
    <row r="2606" customFormat="false" ht="15" hidden="false" customHeight="false" outlineLevel="0" collapsed="false">
      <c r="A2606" s="9" t="str">
        <f aca="false">Vessels!B28</f>
        <v>Vessel 24</v>
      </c>
      <c r="B2606" s="9" t="s">
        <v>42</v>
      </c>
      <c r="C2606" s="7" t="s">
        <v>66</v>
      </c>
      <c r="D2606" s="9" t="s">
        <v>45</v>
      </c>
      <c r="E2606" s="9" t="s">
        <v>46</v>
      </c>
      <c r="F2606" s="5" t="n">
        <v>60</v>
      </c>
      <c r="G2606" s="10"/>
      <c r="H2606" s="11" t="str">
        <f aca="false">IFERROR(IF($D2606="Manual Review","",IF($G2606="","",IF($D2606="Direct Expiry",$G2606,EDATE($G2606,$F2606)))),"Check Date")</f>
        <v/>
      </c>
      <c r="I2606" s="12" t="str">
        <f aca="true">IF($H2606="","",IF(ISNUMBER($H2606),$H2606-TODAY(),""))</f>
        <v/>
      </c>
      <c r="J2606" s="4" t="str">
        <f aca="true">IF($D2606="Manual Review","Manual Review",IF($G2606="","No Data",IF(NOT(ISNUMBER($H2606)),"N/A",IF($H2606&lt;TODAY(),"Overdue",IF($H2606&lt;=TODAY()+30,"Due within 1 Month",IF($H2606&lt;=TODAY()+60,"Due within 2 Months","OK"))))))</f>
        <v>No Data</v>
      </c>
      <c r="K2606" s="13"/>
    </row>
    <row r="2607" customFormat="false" ht="15" hidden="false" customHeight="false" outlineLevel="0" collapsed="false">
      <c r="A2607" s="9" t="str">
        <f aca="false">Vessels!B28</f>
        <v>Vessel 24</v>
      </c>
      <c r="B2607" s="9" t="s">
        <v>42</v>
      </c>
      <c r="C2607" s="7" t="s">
        <v>67</v>
      </c>
      <c r="D2607" s="9" t="s">
        <v>45</v>
      </c>
      <c r="E2607" s="9" t="s">
        <v>46</v>
      </c>
      <c r="F2607" s="5" t="n">
        <v>60</v>
      </c>
      <c r="G2607" s="10"/>
      <c r="H2607" s="11" t="str">
        <f aca="false">IFERROR(IF($D2607="Manual Review","",IF($G2607="","",IF($D2607="Direct Expiry",$G2607,EDATE($G2607,$F2607)))),"Check Date")</f>
        <v/>
      </c>
      <c r="I2607" s="12" t="str">
        <f aca="true">IF($H2607="","",IF(ISNUMBER($H2607),$H2607-TODAY(),""))</f>
        <v/>
      </c>
      <c r="J2607" s="4" t="str">
        <f aca="true">IF($D2607="Manual Review","Manual Review",IF($G2607="","No Data",IF(NOT(ISNUMBER($H2607)),"N/A",IF($H2607&lt;TODAY(),"Overdue",IF($H2607&lt;=TODAY()+30,"Due within 1 Month",IF($H2607&lt;=TODAY()+60,"Due within 2 Months","OK"))))))</f>
        <v>No Data</v>
      </c>
      <c r="K2607" s="13"/>
    </row>
    <row r="2608" customFormat="false" ht="15" hidden="false" customHeight="false" outlineLevel="0" collapsed="false">
      <c r="A2608" s="9" t="str">
        <f aca="false">Vessels!B28</f>
        <v>Vessel 24</v>
      </c>
      <c r="B2608" s="9" t="s">
        <v>42</v>
      </c>
      <c r="C2608" s="7" t="s">
        <v>68</v>
      </c>
      <c r="D2608" s="9" t="s">
        <v>45</v>
      </c>
      <c r="E2608" s="9" t="s">
        <v>46</v>
      </c>
      <c r="F2608" s="5" t="n">
        <v>60</v>
      </c>
      <c r="G2608" s="10"/>
      <c r="H2608" s="11" t="str">
        <f aca="false">IFERROR(IF($D2608="Manual Review","",IF($G2608="","",IF($D2608="Direct Expiry",$G2608,EDATE($G2608,$F2608)))),"Check Date")</f>
        <v/>
      </c>
      <c r="I2608" s="12" t="str">
        <f aca="true">IF($H2608="","",IF(ISNUMBER($H2608),$H2608-TODAY(),""))</f>
        <v/>
      </c>
      <c r="J2608" s="4" t="str">
        <f aca="true">IF($D2608="Manual Review","Manual Review",IF($G2608="","No Data",IF(NOT(ISNUMBER($H2608)),"N/A",IF($H2608&lt;TODAY(),"Overdue",IF($H2608&lt;=TODAY()+30,"Due within 1 Month",IF($H2608&lt;=TODAY()+60,"Due within 2 Months","OK"))))))</f>
        <v>No Data</v>
      </c>
      <c r="K2608" s="13"/>
    </row>
    <row r="2609" customFormat="false" ht="15" hidden="false" customHeight="false" outlineLevel="0" collapsed="false">
      <c r="A2609" s="9" t="str">
        <f aca="false">Vessels!B28</f>
        <v>Vessel 24</v>
      </c>
      <c r="B2609" s="9" t="s">
        <v>42</v>
      </c>
      <c r="C2609" s="7" t="s">
        <v>69</v>
      </c>
      <c r="D2609" s="9" t="s">
        <v>45</v>
      </c>
      <c r="E2609" s="9" t="s">
        <v>46</v>
      </c>
      <c r="F2609" s="5" t="n">
        <v>60</v>
      </c>
      <c r="G2609" s="10"/>
      <c r="H2609" s="11" t="str">
        <f aca="false">IFERROR(IF($D2609="Manual Review","",IF($G2609="","",IF($D2609="Direct Expiry",$G2609,EDATE($G2609,$F2609)))),"Check Date")</f>
        <v/>
      </c>
      <c r="I2609" s="12" t="str">
        <f aca="true">IF($H2609="","",IF(ISNUMBER($H2609),$H2609-TODAY(),""))</f>
        <v/>
      </c>
      <c r="J2609" s="4" t="str">
        <f aca="true">IF($D2609="Manual Review","Manual Review",IF($G2609="","No Data",IF(NOT(ISNUMBER($H2609)),"N/A",IF($H2609&lt;TODAY(),"Overdue",IF($H2609&lt;=TODAY()+30,"Due within 1 Month",IF($H2609&lt;=TODAY()+60,"Due within 2 Months","OK"))))))</f>
        <v>No Data</v>
      </c>
      <c r="K2609" s="13"/>
    </row>
    <row r="2610" customFormat="false" ht="15" hidden="false" customHeight="false" outlineLevel="0" collapsed="false">
      <c r="A2610" s="9" t="str">
        <f aca="false">Vessels!B28</f>
        <v>Vessel 24</v>
      </c>
      <c r="B2610" s="9" t="s">
        <v>42</v>
      </c>
      <c r="C2610" s="7" t="s">
        <v>70</v>
      </c>
      <c r="D2610" s="9" t="s">
        <v>59</v>
      </c>
      <c r="E2610" s="9" t="s">
        <v>58</v>
      </c>
      <c r="F2610" s="5"/>
      <c r="G2610" s="10"/>
      <c r="H2610" s="11" t="str">
        <f aca="false">IFERROR(IF($D2610="Manual Review","",IF($G2610="","",IF($D2610="Direct Expiry",$G2610,EDATE($G2610,$F2610)))),"Check Date")</f>
        <v/>
      </c>
      <c r="I2610" s="12" t="str">
        <f aca="true">IF($H2610="","",IF(ISNUMBER($H2610),$H2610-TODAY(),""))</f>
        <v/>
      </c>
      <c r="J2610" s="4" t="str">
        <f aca="true">IF($D2610="Manual Review","Manual Review",IF($G2610="","No Data",IF(NOT(ISNUMBER($H2610)),"N/A",IF($H2610&lt;TODAY(),"Overdue",IF($H2610&lt;=TODAY()+30,"Due within 1 Month",IF($H2610&lt;=TODAY()+60,"Due within 2 Months","OK"))))))</f>
        <v>No Data</v>
      </c>
      <c r="K2610" s="13"/>
    </row>
    <row r="2611" customFormat="false" ht="15" hidden="false" customHeight="false" outlineLevel="0" collapsed="false">
      <c r="A2611" s="9" t="str">
        <f aca="false">Vessels!B28</f>
        <v>Vessel 24</v>
      </c>
      <c r="B2611" s="9" t="s">
        <v>42</v>
      </c>
      <c r="C2611" s="7" t="s">
        <v>71</v>
      </c>
      <c r="D2611" s="9" t="s">
        <v>45</v>
      </c>
      <c r="E2611" s="9" t="s">
        <v>44</v>
      </c>
      <c r="F2611" s="5" t="n">
        <v>12</v>
      </c>
      <c r="G2611" s="10"/>
      <c r="H2611" s="11" t="str">
        <f aca="false">IFERROR(IF($D2611="Manual Review","",IF($G2611="","",IF($D2611="Direct Expiry",$G2611,EDATE($G2611,$F2611)))),"Check Date")</f>
        <v/>
      </c>
      <c r="I2611" s="12" t="str">
        <f aca="true">IF($H2611="","",IF(ISNUMBER($H2611),$H2611-TODAY(),""))</f>
        <v/>
      </c>
      <c r="J2611" s="4" t="str">
        <f aca="true">IF($D2611="Manual Review","Manual Review",IF($G2611="","No Data",IF(NOT(ISNUMBER($H2611)),"N/A",IF($H2611&lt;TODAY(),"Overdue",IF($H2611&lt;=TODAY()+30,"Due within 1 Month",IF($H2611&lt;=TODAY()+60,"Due within 2 Months","OK"))))))</f>
        <v>No Data</v>
      </c>
      <c r="K2611" s="13"/>
    </row>
    <row r="2612" customFormat="false" ht="15" hidden="false" customHeight="false" outlineLevel="0" collapsed="false">
      <c r="A2612" s="9" t="str">
        <f aca="false">Vessels!B28</f>
        <v>Vessel 24</v>
      </c>
      <c r="B2612" s="9" t="s">
        <v>42</v>
      </c>
      <c r="C2612" s="7" t="s">
        <v>72</v>
      </c>
      <c r="D2612" s="9" t="s">
        <v>59</v>
      </c>
      <c r="E2612" s="9" t="s">
        <v>58</v>
      </c>
      <c r="F2612" s="5"/>
      <c r="G2612" s="10"/>
      <c r="H2612" s="11" t="str">
        <f aca="false">IFERROR(IF($D2612="Manual Review","",IF($G2612="","",IF($D2612="Direct Expiry",$G2612,EDATE($G2612,$F2612)))),"Check Date")</f>
        <v/>
      </c>
      <c r="I2612" s="12" t="str">
        <f aca="true">IF($H2612="","",IF(ISNUMBER($H2612),$H2612-TODAY(),""))</f>
        <v/>
      </c>
      <c r="J2612" s="4" t="str">
        <f aca="true">IF($D2612="Manual Review","Manual Review",IF($G2612="","No Data",IF(NOT(ISNUMBER($H2612)),"N/A",IF($H2612&lt;TODAY(),"Overdue",IF($H2612&lt;=TODAY()+30,"Due within 1 Month",IF($H2612&lt;=TODAY()+60,"Due within 2 Months","OK"))))))</f>
        <v>No Data</v>
      </c>
      <c r="K2612" s="13"/>
    </row>
    <row r="2613" customFormat="false" ht="15" hidden="false" customHeight="false" outlineLevel="0" collapsed="false">
      <c r="A2613" s="9" t="str">
        <f aca="false">Vessels!B28</f>
        <v>Vessel 24</v>
      </c>
      <c r="B2613" s="9" t="s">
        <v>42</v>
      </c>
      <c r="C2613" s="7" t="s">
        <v>73</v>
      </c>
      <c r="D2613" s="9" t="s">
        <v>45</v>
      </c>
      <c r="E2613" s="9" t="s">
        <v>44</v>
      </c>
      <c r="F2613" s="5" t="n">
        <v>12</v>
      </c>
      <c r="G2613" s="10"/>
      <c r="H2613" s="11" t="str">
        <f aca="false">IFERROR(IF($D2613="Manual Review","",IF($G2613="","",IF($D2613="Direct Expiry",$G2613,EDATE($G2613,$F2613)))),"Check Date")</f>
        <v/>
      </c>
      <c r="I2613" s="12" t="str">
        <f aca="true">IF($H2613="","",IF(ISNUMBER($H2613),$H2613-TODAY(),""))</f>
        <v/>
      </c>
      <c r="J2613" s="4" t="str">
        <f aca="true">IF($D2613="Manual Review","Manual Review",IF($G2613="","No Data",IF(NOT(ISNUMBER($H2613)),"N/A",IF($H2613&lt;TODAY(),"Overdue",IF($H2613&lt;=TODAY()+30,"Due within 1 Month",IF($H2613&lt;=TODAY()+60,"Due within 2 Months","OK"))))))</f>
        <v>No Data</v>
      </c>
      <c r="K2613" s="13"/>
    </row>
    <row r="2614" customFormat="false" ht="15" hidden="false" customHeight="false" outlineLevel="0" collapsed="false">
      <c r="A2614" s="9" t="str">
        <f aca="false">Vessels!B28</f>
        <v>Vessel 24</v>
      </c>
      <c r="B2614" s="9" t="s">
        <v>42</v>
      </c>
      <c r="C2614" s="7" t="s">
        <v>74</v>
      </c>
      <c r="D2614" s="9" t="s">
        <v>59</v>
      </c>
      <c r="E2614" s="9" t="s">
        <v>58</v>
      </c>
      <c r="F2614" s="5"/>
      <c r="G2614" s="10"/>
      <c r="H2614" s="11" t="str">
        <f aca="false">IFERROR(IF($D2614="Manual Review","",IF($G2614="","",IF($D2614="Direct Expiry",$G2614,EDATE($G2614,$F2614)))),"Check Date")</f>
        <v/>
      </c>
      <c r="I2614" s="12" t="str">
        <f aca="true">IF($H2614="","",IF(ISNUMBER($H2614),$H2614-TODAY(),""))</f>
        <v/>
      </c>
      <c r="J2614" s="4" t="str">
        <f aca="true">IF($D2614="Manual Review","Manual Review",IF($G2614="","No Data",IF(NOT(ISNUMBER($H2614)),"N/A",IF($H2614&lt;TODAY(),"Overdue",IF($H2614&lt;=TODAY()+30,"Due within 1 Month",IF($H2614&lt;=TODAY()+60,"Due within 2 Months","OK"))))))</f>
        <v>No Data</v>
      </c>
      <c r="K2614" s="13"/>
    </row>
    <row r="2615" customFormat="false" ht="15" hidden="false" customHeight="false" outlineLevel="0" collapsed="false">
      <c r="A2615" s="9" t="str">
        <f aca="false">Vessels!B28</f>
        <v>Vessel 24</v>
      </c>
      <c r="B2615" s="9" t="s">
        <v>42</v>
      </c>
      <c r="C2615" s="7" t="s">
        <v>75</v>
      </c>
      <c r="D2615" s="9" t="s">
        <v>45</v>
      </c>
      <c r="E2615" s="9" t="s">
        <v>44</v>
      </c>
      <c r="F2615" s="5" t="n">
        <v>12</v>
      </c>
      <c r="G2615" s="10"/>
      <c r="H2615" s="11" t="str">
        <f aca="false">IFERROR(IF($D2615="Manual Review","",IF($G2615="","",IF($D2615="Direct Expiry",$G2615,EDATE($G2615,$F2615)))),"Check Date")</f>
        <v/>
      </c>
      <c r="I2615" s="12" t="str">
        <f aca="true">IF($H2615="","",IF(ISNUMBER($H2615),$H2615-TODAY(),""))</f>
        <v/>
      </c>
      <c r="J2615" s="4" t="str">
        <f aca="true">IF($D2615="Manual Review","Manual Review",IF($G2615="","No Data",IF(NOT(ISNUMBER($H2615)),"N/A",IF($H2615&lt;TODAY(),"Overdue",IF($H2615&lt;=TODAY()+30,"Due within 1 Month",IF($H2615&lt;=TODAY()+60,"Due within 2 Months","OK"))))))</f>
        <v>No Data</v>
      </c>
      <c r="K2615" s="13"/>
    </row>
    <row r="2616" customFormat="false" ht="15" hidden="false" customHeight="false" outlineLevel="0" collapsed="false">
      <c r="A2616" s="9" t="str">
        <f aca="false">Vessels!B28</f>
        <v>Vessel 24</v>
      </c>
      <c r="B2616" s="9" t="s">
        <v>42</v>
      </c>
      <c r="C2616" s="7" t="s">
        <v>76</v>
      </c>
      <c r="D2616" s="9" t="s">
        <v>59</v>
      </c>
      <c r="E2616" s="9" t="s">
        <v>58</v>
      </c>
      <c r="F2616" s="5"/>
      <c r="G2616" s="10"/>
      <c r="H2616" s="11" t="str">
        <f aca="false">IFERROR(IF($D2616="Manual Review","",IF($G2616="","",IF($D2616="Direct Expiry",$G2616,EDATE($G2616,$F2616)))),"Check Date")</f>
        <v/>
      </c>
      <c r="I2616" s="12" t="str">
        <f aca="true">IF($H2616="","",IF(ISNUMBER($H2616),$H2616-TODAY(),""))</f>
        <v/>
      </c>
      <c r="J2616" s="4" t="str">
        <f aca="true">IF($D2616="Manual Review","Manual Review",IF($G2616="","No Data",IF(NOT(ISNUMBER($H2616)),"N/A",IF($H2616&lt;TODAY(),"Overdue",IF($H2616&lt;=TODAY()+30,"Due within 1 Month",IF($H2616&lt;=TODAY()+60,"Due within 2 Months","OK"))))))</f>
        <v>No Data</v>
      </c>
      <c r="K2616" s="13"/>
    </row>
    <row r="2617" customFormat="false" ht="15" hidden="false" customHeight="false" outlineLevel="0" collapsed="false">
      <c r="A2617" s="9" t="str">
        <f aca="false">Vessels!B28</f>
        <v>Vessel 24</v>
      </c>
      <c r="B2617" s="9" t="s">
        <v>42</v>
      </c>
      <c r="C2617" s="7" t="s">
        <v>77</v>
      </c>
      <c r="D2617" s="9" t="s">
        <v>59</v>
      </c>
      <c r="E2617" s="9" t="s">
        <v>58</v>
      </c>
      <c r="F2617" s="5"/>
      <c r="G2617" s="10"/>
      <c r="H2617" s="11" t="str">
        <f aca="false">IFERROR(IF($D2617="Manual Review","",IF($G2617="","",IF($D2617="Direct Expiry",$G2617,EDATE($G2617,$F2617)))),"Check Date")</f>
        <v/>
      </c>
      <c r="I2617" s="12" t="str">
        <f aca="true">IF($H2617="","",IF(ISNUMBER($H2617),$H2617-TODAY(),""))</f>
        <v/>
      </c>
      <c r="J2617" s="4" t="str">
        <f aca="true">IF($D2617="Manual Review","Manual Review",IF($G2617="","No Data",IF(NOT(ISNUMBER($H2617)),"N/A",IF($H2617&lt;TODAY(),"Overdue",IF($H2617&lt;=TODAY()+30,"Due within 1 Month",IF($H2617&lt;=TODAY()+60,"Due within 2 Months","OK"))))))</f>
        <v>No Data</v>
      </c>
      <c r="K2617" s="13"/>
    </row>
    <row r="2618" customFormat="false" ht="15" hidden="false" customHeight="false" outlineLevel="0" collapsed="false">
      <c r="A2618" s="9" t="str">
        <f aca="false">Vessels!B28</f>
        <v>Vessel 24</v>
      </c>
      <c r="B2618" s="9" t="s">
        <v>42</v>
      </c>
      <c r="C2618" s="7" t="s">
        <v>78</v>
      </c>
      <c r="D2618" s="9" t="s">
        <v>59</v>
      </c>
      <c r="E2618" s="9" t="s">
        <v>58</v>
      </c>
      <c r="F2618" s="5"/>
      <c r="G2618" s="10"/>
      <c r="H2618" s="11" t="str">
        <f aca="false">IFERROR(IF($D2618="Manual Review","",IF($G2618="","",IF($D2618="Direct Expiry",$G2618,EDATE($G2618,$F2618)))),"Check Date")</f>
        <v/>
      </c>
      <c r="I2618" s="12" t="str">
        <f aca="true">IF($H2618="","",IF(ISNUMBER($H2618),$H2618-TODAY(),""))</f>
        <v/>
      </c>
      <c r="J2618" s="4" t="str">
        <f aca="true">IF($D2618="Manual Review","Manual Review",IF($G2618="","No Data",IF(NOT(ISNUMBER($H2618)),"N/A",IF($H2618&lt;TODAY(),"Overdue",IF($H2618&lt;=TODAY()+30,"Due within 1 Month",IF($H2618&lt;=TODAY()+60,"Due within 2 Months","OK"))))))</f>
        <v>No Data</v>
      </c>
      <c r="K2618" s="13"/>
    </row>
    <row r="2619" customFormat="false" ht="15" hidden="false" customHeight="false" outlineLevel="0" collapsed="false">
      <c r="A2619" s="9" t="str">
        <f aca="false">Vessels!B28</f>
        <v>Vessel 24</v>
      </c>
      <c r="B2619" s="9" t="s">
        <v>42</v>
      </c>
      <c r="C2619" s="7" t="s">
        <v>79</v>
      </c>
      <c r="D2619" s="9" t="s">
        <v>45</v>
      </c>
      <c r="E2619" s="9" t="s">
        <v>44</v>
      </c>
      <c r="F2619" s="5" t="n">
        <v>12</v>
      </c>
      <c r="G2619" s="10"/>
      <c r="H2619" s="11" t="str">
        <f aca="false">IFERROR(IF($D2619="Manual Review","",IF($G2619="","",IF($D2619="Direct Expiry",$G2619,EDATE($G2619,$F2619)))),"Check Date")</f>
        <v/>
      </c>
      <c r="I2619" s="12" t="str">
        <f aca="true">IF($H2619="","",IF(ISNUMBER($H2619),$H2619-TODAY(),""))</f>
        <v/>
      </c>
      <c r="J2619" s="4" t="str">
        <f aca="true">IF($D2619="Manual Review","Manual Review",IF($G2619="","No Data",IF(NOT(ISNUMBER($H2619)),"N/A",IF($H2619&lt;TODAY(),"Overdue",IF($H2619&lt;=TODAY()+30,"Due within 1 Month",IF($H2619&lt;=TODAY()+60,"Due within 2 Months","OK"))))))</f>
        <v>No Data</v>
      </c>
      <c r="K2619" s="13"/>
    </row>
    <row r="2620" customFormat="false" ht="15" hidden="false" customHeight="false" outlineLevel="0" collapsed="false">
      <c r="A2620" s="9" t="str">
        <f aca="false">Vessels!B28</f>
        <v>Vessel 24</v>
      </c>
      <c r="B2620" s="9" t="s">
        <v>42</v>
      </c>
      <c r="C2620" s="7" t="s">
        <v>80</v>
      </c>
      <c r="D2620" s="9" t="s">
        <v>45</v>
      </c>
      <c r="E2620" s="9" t="s">
        <v>81</v>
      </c>
      <c r="F2620" s="5" t="n">
        <v>36</v>
      </c>
      <c r="G2620" s="10"/>
      <c r="H2620" s="11" t="str">
        <f aca="false">IFERROR(IF($D2620="Manual Review","",IF($G2620="","",IF($D2620="Direct Expiry",$G2620,EDATE($G2620,$F2620)))),"Check Date")</f>
        <v/>
      </c>
      <c r="I2620" s="12" t="str">
        <f aca="true">IF($H2620="","",IF(ISNUMBER($H2620),$H2620-TODAY(),""))</f>
        <v/>
      </c>
      <c r="J2620" s="4" t="str">
        <f aca="true">IF($D2620="Manual Review","Manual Review",IF($G2620="","No Data",IF(NOT(ISNUMBER($H2620)),"N/A",IF($H2620&lt;TODAY(),"Overdue",IF($H2620&lt;=TODAY()+30,"Due within 1 Month",IF($H2620&lt;=TODAY()+60,"Due within 2 Months","OK"))))))</f>
        <v>No Data</v>
      </c>
      <c r="K2620" s="13"/>
    </row>
    <row r="2621" customFormat="false" ht="15" hidden="false" customHeight="false" outlineLevel="0" collapsed="false">
      <c r="A2621" s="9" t="str">
        <f aca="false">Vessels!B28</f>
        <v>Vessel 24</v>
      </c>
      <c r="B2621" s="9" t="s">
        <v>42</v>
      </c>
      <c r="C2621" s="7" t="s">
        <v>80</v>
      </c>
      <c r="D2621" s="9" t="s">
        <v>45</v>
      </c>
      <c r="E2621" s="9" t="s">
        <v>82</v>
      </c>
      <c r="F2621" s="5" t="n">
        <v>24</v>
      </c>
      <c r="G2621" s="10"/>
      <c r="H2621" s="11" t="str">
        <f aca="false">IFERROR(IF($D2621="Manual Review","",IF($G2621="","",IF($D2621="Direct Expiry",$G2621,EDATE($G2621,$F2621)))),"Check Date")</f>
        <v/>
      </c>
      <c r="I2621" s="12" t="str">
        <f aca="true">IF($H2621="","",IF(ISNUMBER($H2621),$H2621-TODAY(),""))</f>
        <v/>
      </c>
      <c r="J2621" s="4" t="str">
        <f aca="true">IF($D2621="Manual Review","Manual Review",IF($G2621="","No Data",IF(NOT(ISNUMBER($H2621)),"N/A",IF($H2621&lt;TODAY(),"Overdue",IF($H2621&lt;=TODAY()+30,"Due within 1 Month",IF($H2621&lt;=TODAY()+60,"Due within 2 Months","OK"))))))</f>
        <v>No Data</v>
      </c>
      <c r="K2621" s="13"/>
    </row>
    <row r="2622" customFormat="false" ht="15" hidden="false" customHeight="false" outlineLevel="0" collapsed="false">
      <c r="A2622" s="9" t="str">
        <f aca="false">Vessels!B28</f>
        <v>Vessel 24</v>
      </c>
      <c r="B2622" s="9" t="s">
        <v>42</v>
      </c>
      <c r="C2622" s="7" t="s">
        <v>83</v>
      </c>
      <c r="D2622" s="9" t="s">
        <v>45</v>
      </c>
      <c r="E2622" s="9" t="s">
        <v>44</v>
      </c>
      <c r="F2622" s="5" t="n">
        <v>12</v>
      </c>
      <c r="G2622" s="10"/>
      <c r="H2622" s="11" t="str">
        <f aca="false">IFERROR(IF($D2622="Manual Review","",IF($G2622="","",IF($D2622="Direct Expiry",$G2622,EDATE($G2622,$F2622)))),"Check Date")</f>
        <v/>
      </c>
      <c r="I2622" s="12" t="str">
        <f aca="true">IF($H2622="","",IF(ISNUMBER($H2622),$H2622-TODAY(),""))</f>
        <v/>
      </c>
      <c r="J2622" s="4" t="str">
        <f aca="true">IF($D2622="Manual Review","Manual Review",IF($G2622="","No Data",IF(NOT(ISNUMBER($H2622)),"N/A",IF($H2622&lt;TODAY(),"Overdue",IF($H2622&lt;=TODAY()+30,"Due within 1 Month",IF($H2622&lt;=TODAY()+60,"Due within 2 Months","OK"))))))</f>
        <v>No Data</v>
      </c>
      <c r="K2622" s="13"/>
    </row>
    <row r="2623" customFormat="false" ht="15" hidden="false" customHeight="false" outlineLevel="0" collapsed="false">
      <c r="A2623" s="9" t="str">
        <f aca="false">Vessels!B28</f>
        <v>Vessel 24</v>
      </c>
      <c r="B2623" s="9" t="s">
        <v>42</v>
      </c>
      <c r="C2623" s="7" t="s">
        <v>83</v>
      </c>
      <c r="D2623" s="9" t="s">
        <v>45</v>
      </c>
      <c r="E2623" s="9" t="s">
        <v>84</v>
      </c>
      <c r="F2623" s="5" t="n">
        <v>60</v>
      </c>
      <c r="G2623" s="10"/>
      <c r="H2623" s="11" t="str">
        <f aca="false">IFERROR(IF($D2623="Manual Review","",IF($G2623="","",IF($D2623="Direct Expiry",$G2623,EDATE($G2623,$F2623)))),"Check Date")</f>
        <v/>
      </c>
      <c r="I2623" s="12" t="str">
        <f aca="true">IF($H2623="","",IF(ISNUMBER($H2623),$H2623-TODAY(),""))</f>
        <v/>
      </c>
      <c r="J2623" s="4" t="str">
        <f aca="true">IF($D2623="Manual Review","Manual Review",IF($G2623="","No Data",IF(NOT(ISNUMBER($H2623)),"N/A",IF($H2623&lt;TODAY(),"Overdue",IF($H2623&lt;=TODAY()+30,"Due within 1 Month",IF($H2623&lt;=TODAY()+60,"Due within 2 Months","OK"))))))</f>
        <v>No Data</v>
      </c>
      <c r="K2623" s="13"/>
    </row>
    <row r="2624" customFormat="false" ht="15" hidden="false" customHeight="false" outlineLevel="0" collapsed="false">
      <c r="A2624" s="9" t="str">
        <f aca="false">Vessels!B28</f>
        <v>Vessel 24</v>
      </c>
      <c r="B2624" s="9" t="s">
        <v>42</v>
      </c>
      <c r="C2624" s="7" t="s">
        <v>85</v>
      </c>
      <c r="D2624" s="9" t="s">
        <v>45</v>
      </c>
      <c r="E2624" s="9" t="s">
        <v>44</v>
      </c>
      <c r="F2624" s="5" t="n">
        <v>12</v>
      </c>
      <c r="G2624" s="10"/>
      <c r="H2624" s="11" t="str">
        <f aca="false">IFERROR(IF($D2624="Manual Review","",IF($G2624="","",IF($D2624="Direct Expiry",$G2624,EDATE($G2624,$F2624)))),"Check Date")</f>
        <v/>
      </c>
      <c r="I2624" s="12" t="str">
        <f aca="true">IF($H2624="","",IF(ISNUMBER($H2624),$H2624-TODAY(),""))</f>
        <v/>
      </c>
      <c r="J2624" s="4" t="str">
        <f aca="true">IF($D2624="Manual Review","Manual Review",IF($G2624="","No Data",IF(NOT(ISNUMBER($H2624)),"N/A",IF($H2624&lt;TODAY(),"Overdue",IF($H2624&lt;=TODAY()+30,"Due within 1 Month",IF($H2624&lt;=TODAY()+60,"Due within 2 Months","OK"))))))</f>
        <v>No Data</v>
      </c>
      <c r="K2624" s="13"/>
    </row>
    <row r="2625" customFormat="false" ht="15" hidden="false" customHeight="false" outlineLevel="0" collapsed="false">
      <c r="A2625" s="9" t="str">
        <f aca="false">Vessels!B28</f>
        <v>Vessel 24</v>
      </c>
      <c r="B2625" s="9" t="s">
        <v>42</v>
      </c>
      <c r="C2625" s="7" t="s">
        <v>85</v>
      </c>
      <c r="D2625" s="9" t="s">
        <v>45</v>
      </c>
      <c r="E2625" s="9" t="s">
        <v>84</v>
      </c>
      <c r="F2625" s="5" t="n">
        <v>60</v>
      </c>
      <c r="G2625" s="10"/>
      <c r="H2625" s="11" t="str">
        <f aca="false">IFERROR(IF($D2625="Manual Review","",IF($G2625="","",IF($D2625="Direct Expiry",$G2625,EDATE($G2625,$F2625)))),"Check Date")</f>
        <v/>
      </c>
      <c r="I2625" s="12" t="str">
        <f aca="true">IF($H2625="","",IF(ISNUMBER($H2625),$H2625-TODAY(),""))</f>
        <v/>
      </c>
      <c r="J2625" s="4" t="str">
        <f aca="true">IF($D2625="Manual Review","Manual Review",IF($G2625="","No Data",IF(NOT(ISNUMBER($H2625)),"N/A",IF($H2625&lt;TODAY(),"Overdue",IF($H2625&lt;=TODAY()+30,"Due within 1 Month",IF($H2625&lt;=TODAY()+60,"Due within 2 Months","OK"))))))</f>
        <v>No Data</v>
      </c>
      <c r="K2625" s="13"/>
    </row>
    <row r="2626" customFormat="false" ht="15" hidden="false" customHeight="false" outlineLevel="0" collapsed="false">
      <c r="A2626" s="9" t="str">
        <f aca="false">Vessels!B28</f>
        <v>Vessel 24</v>
      </c>
      <c r="B2626" s="9" t="s">
        <v>42</v>
      </c>
      <c r="C2626" s="7" t="s">
        <v>86</v>
      </c>
      <c r="D2626" s="9" t="s">
        <v>45</v>
      </c>
      <c r="E2626" s="9" t="s">
        <v>44</v>
      </c>
      <c r="F2626" s="5" t="n">
        <v>12</v>
      </c>
      <c r="G2626" s="10"/>
      <c r="H2626" s="11" t="str">
        <f aca="false">IFERROR(IF($D2626="Manual Review","",IF($G2626="","",IF($D2626="Direct Expiry",$G2626,EDATE($G2626,$F2626)))),"Check Date")</f>
        <v/>
      </c>
      <c r="I2626" s="12" t="str">
        <f aca="true">IF($H2626="","",IF(ISNUMBER($H2626),$H2626-TODAY(),""))</f>
        <v/>
      </c>
      <c r="J2626" s="4" t="str">
        <f aca="true">IF($D2626="Manual Review","Manual Review",IF($G2626="","No Data",IF(NOT(ISNUMBER($H2626)),"N/A",IF($H2626&lt;TODAY(),"Overdue",IF($H2626&lt;=TODAY()+30,"Due within 1 Month",IF($H2626&lt;=TODAY()+60,"Due within 2 Months","OK"))))))</f>
        <v>No Data</v>
      </c>
      <c r="K2626" s="13"/>
    </row>
    <row r="2627" customFormat="false" ht="15" hidden="false" customHeight="false" outlineLevel="0" collapsed="false">
      <c r="A2627" s="9" t="str">
        <f aca="false">Vessels!B28</f>
        <v>Vessel 24</v>
      </c>
      <c r="B2627" s="9" t="s">
        <v>42</v>
      </c>
      <c r="C2627" s="7" t="s">
        <v>87</v>
      </c>
      <c r="D2627" s="9" t="s">
        <v>45</v>
      </c>
      <c r="E2627" s="9" t="s">
        <v>44</v>
      </c>
      <c r="F2627" s="5" t="n">
        <v>12</v>
      </c>
      <c r="G2627" s="10"/>
      <c r="H2627" s="11" t="str">
        <f aca="false">IFERROR(IF($D2627="Manual Review","",IF($G2627="","",IF($D2627="Direct Expiry",$G2627,EDATE($G2627,$F2627)))),"Check Date")</f>
        <v/>
      </c>
      <c r="I2627" s="12" t="str">
        <f aca="true">IF($H2627="","",IF(ISNUMBER($H2627),$H2627-TODAY(),""))</f>
        <v/>
      </c>
      <c r="J2627" s="4" t="str">
        <f aca="true">IF($D2627="Manual Review","Manual Review",IF($G2627="","No Data",IF(NOT(ISNUMBER($H2627)),"N/A",IF($H2627&lt;TODAY(),"Overdue",IF($H2627&lt;=TODAY()+30,"Due within 1 Month",IF($H2627&lt;=TODAY()+60,"Due within 2 Months","OK"))))))</f>
        <v>No Data</v>
      </c>
      <c r="K2627" s="13"/>
    </row>
    <row r="2628" customFormat="false" ht="15" hidden="false" customHeight="false" outlineLevel="0" collapsed="false">
      <c r="A2628" s="9" t="str">
        <f aca="false">Vessels!B28</f>
        <v>Vessel 24</v>
      </c>
      <c r="B2628" s="9" t="s">
        <v>88</v>
      </c>
      <c r="C2628" s="7" t="s">
        <v>89</v>
      </c>
      <c r="D2628" s="9" t="s">
        <v>45</v>
      </c>
      <c r="E2628" s="9" t="s">
        <v>90</v>
      </c>
      <c r="F2628" s="5" t="n">
        <v>36</v>
      </c>
      <c r="G2628" s="10"/>
      <c r="H2628" s="11" t="str">
        <f aca="false">IFERROR(IF($D2628="Manual Review","",IF($G2628="","",IF($D2628="Direct Expiry",$G2628,EDATE($G2628,$F2628)))),"Check Date")</f>
        <v/>
      </c>
      <c r="I2628" s="12" t="str">
        <f aca="true">IF($H2628="","",IF(ISNUMBER($H2628),$H2628-TODAY(),""))</f>
        <v/>
      </c>
      <c r="J2628" s="4" t="str">
        <f aca="true">IF($D2628="Manual Review","Manual Review",IF($G2628="","No Data",IF(NOT(ISNUMBER($H2628)),"N/A",IF($H2628&lt;TODAY(),"Overdue",IF($H2628&lt;=TODAY()+30,"Due within 1 Month",IF($H2628&lt;=TODAY()+60,"Due within 2 Months","OK"))))))</f>
        <v>No Data</v>
      </c>
      <c r="K2628" s="13"/>
    </row>
    <row r="2629" customFormat="false" ht="15" hidden="false" customHeight="false" outlineLevel="0" collapsed="false">
      <c r="A2629" s="9" t="str">
        <f aca="false">Vessels!B28</f>
        <v>Vessel 24</v>
      </c>
      <c r="B2629" s="9" t="s">
        <v>88</v>
      </c>
      <c r="C2629" s="7" t="s">
        <v>91</v>
      </c>
      <c r="D2629" s="9" t="s">
        <v>45</v>
      </c>
      <c r="E2629" s="9" t="s">
        <v>44</v>
      </c>
      <c r="F2629" s="5" t="n">
        <v>12</v>
      </c>
      <c r="G2629" s="10"/>
      <c r="H2629" s="11" t="str">
        <f aca="false">IFERROR(IF($D2629="Manual Review","",IF($G2629="","",IF($D2629="Direct Expiry",$G2629,EDATE($G2629,$F2629)))),"Check Date")</f>
        <v/>
      </c>
      <c r="I2629" s="12" t="str">
        <f aca="true">IF($H2629="","",IF(ISNUMBER($H2629),$H2629-TODAY(),""))</f>
        <v/>
      </c>
      <c r="J2629" s="4" t="str">
        <f aca="true">IF($D2629="Manual Review","Manual Review",IF($G2629="","No Data",IF(NOT(ISNUMBER($H2629)),"N/A",IF($H2629&lt;TODAY(),"Overdue",IF($H2629&lt;=TODAY()+30,"Due within 1 Month",IF($H2629&lt;=TODAY()+60,"Due within 2 Months","OK"))))))</f>
        <v>No Data</v>
      </c>
      <c r="K2629" s="13"/>
    </row>
    <row r="2630" customFormat="false" ht="15" hidden="false" customHeight="false" outlineLevel="0" collapsed="false">
      <c r="A2630" s="9" t="str">
        <f aca="false">Vessels!B28</f>
        <v>Vessel 24</v>
      </c>
      <c r="B2630" s="9" t="s">
        <v>88</v>
      </c>
      <c r="C2630" s="7" t="s">
        <v>91</v>
      </c>
      <c r="D2630" s="9" t="s">
        <v>45</v>
      </c>
      <c r="E2630" s="9" t="s">
        <v>92</v>
      </c>
      <c r="F2630" s="5" t="n">
        <v>120</v>
      </c>
      <c r="G2630" s="10"/>
      <c r="H2630" s="11" t="str">
        <f aca="false">IFERROR(IF($D2630="Manual Review","",IF($G2630="","",IF($D2630="Direct Expiry",$G2630,EDATE($G2630,$F2630)))),"Check Date")</f>
        <v/>
      </c>
      <c r="I2630" s="12" t="str">
        <f aca="true">IF($H2630="","",IF(ISNUMBER($H2630),$H2630-TODAY(),""))</f>
        <v/>
      </c>
      <c r="J2630" s="4" t="str">
        <f aca="true">IF($D2630="Manual Review","Manual Review",IF($G2630="","No Data",IF(NOT(ISNUMBER($H2630)),"N/A",IF($H2630&lt;TODAY(),"Overdue",IF($H2630&lt;=TODAY()+30,"Due within 1 Month",IF($H2630&lt;=TODAY()+60,"Due within 2 Months","OK"))))))</f>
        <v>No Data</v>
      </c>
      <c r="K2630" s="13"/>
    </row>
    <row r="2631" customFormat="false" ht="15" hidden="false" customHeight="false" outlineLevel="0" collapsed="false">
      <c r="A2631" s="9" t="str">
        <f aca="false">Vessels!B28</f>
        <v>Vessel 24</v>
      </c>
      <c r="B2631" s="9" t="s">
        <v>88</v>
      </c>
      <c r="C2631" s="7" t="s">
        <v>93</v>
      </c>
      <c r="D2631" s="9" t="s">
        <v>45</v>
      </c>
      <c r="E2631" s="9" t="s">
        <v>44</v>
      </c>
      <c r="F2631" s="5" t="n">
        <v>12</v>
      </c>
      <c r="G2631" s="10"/>
      <c r="H2631" s="11" t="str">
        <f aca="false">IFERROR(IF($D2631="Manual Review","",IF($G2631="","",IF($D2631="Direct Expiry",$G2631,EDATE($G2631,$F2631)))),"Check Date")</f>
        <v/>
      </c>
      <c r="I2631" s="12" t="str">
        <f aca="true">IF($H2631="","",IF(ISNUMBER($H2631),$H2631-TODAY(),""))</f>
        <v/>
      </c>
      <c r="J2631" s="4" t="str">
        <f aca="true">IF($D2631="Manual Review","Manual Review",IF($G2631="","No Data",IF(NOT(ISNUMBER($H2631)),"N/A",IF($H2631&lt;TODAY(),"Overdue",IF($H2631&lt;=TODAY()+30,"Due within 1 Month",IF($H2631&lt;=TODAY()+60,"Due within 2 Months","OK"))))))</f>
        <v>No Data</v>
      </c>
      <c r="K2631" s="13"/>
    </row>
    <row r="2632" customFormat="false" ht="15" hidden="false" customHeight="false" outlineLevel="0" collapsed="false">
      <c r="A2632" s="9" t="str">
        <f aca="false">Vessels!B28</f>
        <v>Vessel 24</v>
      </c>
      <c r="B2632" s="9" t="s">
        <v>88</v>
      </c>
      <c r="C2632" s="7" t="s">
        <v>93</v>
      </c>
      <c r="D2632" s="9" t="s">
        <v>45</v>
      </c>
      <c r="E2632" s="9" t="s">
        <v>92</v>
      </c>
      <c r="F2632" s="5" t="n">
        <v>120</v>
      </c>
      <c r="G2632" s="10"/>
      <c r="H2632" s="11" t="str">
        <f aca="false">IFERROR(IF($D2632="Manual Review","",IF($G2632="","",IF($D2632="Direct Expiry",$G2632,EDATE($G2632,$F2632)))),"Check Date")</f>
        <v/>
      </c>
      <c r="I2632" s="12" t="str">
        <f aca="true">IF($H2632="","",IF(ISNUMBER($H2632),$H2632-TODAY(),""))</f>
        <v/>
      </c>
      <c r="J2632" s="4" t="str">
        <f aca="true">IF($D2632="Manual Review","Manual Review",IF($G2632="","No Data",IF(NOT(ISNUMBER($H2632)),"N/A",IF($H2632&lt;TODAY(),"Overdue",IF($H2632&lt;=TODAY()+30,"Due within 1 Month",IF($H2632&lt;=TODAY()+60,"Due within 2 Months","OK"))))))</f>
        <v>No Data</v>
      </c>
      <c r="K2632" s="13"/>
    </row>
    <row r="2633" customFormat="false" ht="15" hidden="false" customHeight="false" outlineLevel="0" collapsed="false">
      <c r="A2633" s="9" t="str">
        <f aca="false">Vessels!B28</f>
        <v>Vessel 24</v>
      </c>
      <c r="B2633" s="9" t="s">
        <v>88</v>
      </c>
      <c r="C2633" s="7" t="s">
        <v>94</v>
      </c>
      <c r="D2633" s="9" t="s">
        <v>45</v>
      </c>
      <c r="E2633" s="9" t="s">
        <v>44</v>
      </c>
      <c r="F2633" s="5" t="n">
        <v>12</v>
      </c>
      <c r="G2633" s="10"/>
      <c r="H2633" s="11" t="str">
        <f aca="false">IFERROR(IF($D2633="Manual Review","",IF($G2633="","",IF($D2633="Direct Expiry",$G2633,EDATE($G2633,$F2633)))),"Check Date")</f>
        <v/>
      </c>
      <c r="I2633" s="12" t="str">
        <f aca="true">IF($H2633="","",IF(ISNUMBER($H2633),$H2633-TODAY(),""))</f>
        <v/>
      </c>
      <c r="J2633" s="4" t="str">
        <f aca="true">IF($D2633="Manual Review","Manual Review",IF($G2633="","No Data",IF(NOT(ISNUMBER($H2633)),"N/A",IF($H2633&lt;TODAY(),"Overdue",IF($H2633&lt;=TODAY()+30,"Due within 1 Month",IF($H2633&lt;=TODAY()+60,"Due within 2 Months","OK"))))))</f>
        <v>No Data</v>
      </c>
      <c r="K2633" s="13"/>
    </row>
    <row r="2634" customFormat="false" ht="15" hidden="false" customHeight="false" outlineLevel="0" collapsed="false">
      <c r="A2634" s="9" t="str">
        <f aca="false">Vessels!B28</f>
        <v>Vessel 24</v>
      </c>
      <c r="B2634" s="9" t="s">
        <v>88</v>
      </c>
      <c r="C2634" s="7" t="s">
        <v>94</v>
      </c>
      <c r="D2634" s="9" t="s">
        <v>45</v>
      </c>
      <c r="E2634" s="9" t="s">
        <v>92</v>
      </c>
      <c r="F2634" s="5" t="n">
        <v>120</v>
      </c>
      <c r="G2634" s="10"/>
      <c r="H2634" s="11" t="str">
        <f aca="false">IFERROR(IF($D2634="Manual Review","",IF($G2634="","",IF($D2634="Direct Expiry",$G2634,EDATE($G2634,$F2634)))),"Check Date")</f>
        <v/>
      </c>
      <c r="I2634" s="12" t="str">
        <f aca="true">IF($H2634="","",IF(ISNUMBER($H2634),$H2634-TODAY(),""))</f>
        <v/>
      </c>
      <c r="J2634" s="4" t="str">
        <f aca="true">IF($D2634="Manual Review","Manual Review",IF($G2634="","No Data",IF(NOT(ISNUMBER($H2634)),"N/A",IF($H2634&lt;TODAY(),"Overdue",IF($H2634&lt;=TODAY()+30,"Due within 1 Month",IF($H2634&lt;=TODAY()+60,"Due within 2 Months","OK"))))))</f>
        <v>No Data</v>
      </c>
      <c r="K2634" s="13"/>
    </row>
    <row r="2635" customFormat="false" ht="15" hidden="false" customHeight="false" outlineLevel="0" collapsed="false">
      <c r="A2635" s="9" t="str">
        <f aca="false">Vessels!B28</f>
        <v>Vessel 24</v>
      </c>
      <c r="B2635" s="9" t="s">
        <v>88</v>
      </c>
      <c r="C2635" s="7" t="s">
        <v>95</v>
      </c>
      <c r="D2635" s="9" t="s">
        <v>45</v>
      </c>
      <c r="E2635" s="9" t="s">
        <v>44</v>
      </c>
      <c r="F2635" s="5" t="n">
        <v>12</v>
      </c>
      <c r="G2635" s="10"/>
      <c r="H2635" s="11" t="str">
        <f aca="false">IFERROR(IF($D2635="Manual Review","",IF($G2635="","",IF($D2635="Direct Expiry",$G2635,EDATE($G2635,$F2635)))),"Check Date")</f>
        <v/>
      </c>
      <c r="I2635" s="12" t="str">
        <f aca="true">IF($H2635="","",IF(ISNUMBER($H2635),$H2635-TODAY(),""))</f>
        <v/>
      </c>
      <c r="J2635" s="4" t="str">
        <f aca="true">IF($D2635="Manual Review","Manual Review",IF($G2635="","No Data",IF(NOT(ISNUMBER($H2635)),"N/A",IF($H2635&lt;TODAY(),"Overdue",IF($H2635&lt;=TODAY()+30,"Due within 1 Month",IF($H2635&lt;=TODAY()+60,"Due within 2 Months","OK"))))))</f>
        <v>No Data</v>
      </c>
      <c r="K2635" s="13"/>
    </row>
    <row r="2636" customFormat="false" ht="15" hidden="false" customHeight="false" outlineLevel="0" collapsed="false">
      <c r="A2636" s="9" t="str">
        <f aca="false">Vessels!B28</f>
        <v>Vessel 24</v>
      </c>
      <c r="B2636" s="9" t="s">
        <v>88</v>
      </c>
      <c r="C2636" s="7" t="s">
        <v>95</v>
      </c>
      <c r="D2636" s="9" t="s">
        <v>45</v>
      </c>
      <c r="E2636" s="9" t="s">
        <v>92</v>
      </c>
      <c r="F2636" s="5" t="n">
        <v>120</v>
      </c>
      <c r="G2636" s="10"/>
      <c r="H2636" s="11" t="str">
        <f aca="false">IFERROR(IF($D2636="Manual Review","",IF($G2636="","",IF($D2636="Direct Expiry",$G2636,EDATE($G2636,$F2636)))),"Check Date")</f>
        <v/>
      </c>
      <c r="I2636" s="12" t="str">
        <f aca="true">IF($H2636="","",IF(ISNUMBER($H2636),$H2636-TODAY(),""))</f>
        <v/>
      </c>
      <c r="J2636" s="4" t="str">
        <f aca="true">IF($D2636="Manual Review","Manual Review",IF($G2636="","No Data",IF(NOT(ISNUMBER($H2636)),"N/A",IF($H2636&lt;TODAY(),"Overdue",IF($H2636&lt;=TODAY()+30,"Due within 1 Month",IF($H2636&lt;=TODAY()+60,"Due within 2 Months","OK"))))))</f>
        <v>No Data</v>
      </c>
      <c r="K2636" s="13"/>
    </row>
    <row r="2637" customFormat="false" ht="15" hidden="false" customHeight="false" outlineLevel="0" collapsed="false">
      <c r="A2637" s="9" t="str">
        <f aca="false">Vessels!B28</f>
        <v>Vessel 24</v>
      </c>
      <c r="B2637" s="9" t="s">
        <v>88</v>
      </c>
      <c r="C2637" s="7" t="s">
        <v>96</v>
      </c>
      <c r="D2637" s="9" t="s">
        <v>45</v>
      </c>
      <c r="E2637" s="9" t="s">
        <v>44</v>
      </c>
      <c r="F2637" s="5" t="n">
        <v>12</v>
      </c>
      <c r="G2637" s="10"/>
      <c r="H2637" s="11" t="str">
        <f aca="false">IFERROR(IF($D2637="Manual Review","",IF($G2637="","",IF($D2637="Direct Expiry",$G2637,EDATE($G2637,$F2637)))),"Check Date")</f>
        <v/>
      </c>
      <c r="I2637" s="12" t="str">
        <f aca="true">IF($H2637="","",IF(ISNUMBER($H2637),$H2637-TODAY(),""))</f>
        <v/>
      </c>
      <c r="J2637" s="4" t="str">
        <f aca="true">IF($D2637="Manual Review","Manual Review",IF($G2637="","No Data",IF(NOT(ISNUMBER($H2637)),"N/A",IF($H2637&lt;TODAY(),"Overdue",IF($H2637&lt;=TODAY()+30,"Due within 1 Month",IF($H2637&lt;=TODAY()+60,"Due within 2 Months","OK"))))))</f>
        <v>No Data</v>
      </c>
      <c r="K2637" s="13"/>
    </row>
    <row r="2638" customFormat="false" ht="15" hidden="false" customHeight="false" outlineLevel="0" collapsed="false">
      <c r="A2638" s="9" t="str">
        <f aca="false">Vessels!B28</f>
        <v>Vessel 24</v>
      </c>
      <c r="B2638" s="9" t="s">
        <v>88</v>
      </c>
      <c r="C2638" s="7" t="s">
        <v>96</v>
      </c>
      <c r="D2638" s="9" t="s">
        <v>45</v>
      </c>
      <c r="E2638" s="9" t="s">
        <v>97</v>
      </c>
      <c r="F2638" s="5" t="n">
        <v>120</v>
      </c>
      <c r="G2638" s="10"/>
      <c r="H2638" s="11" t="str">
        <f aca="false">IFERROR(IF($D2638="Manual Review","",IF($G2638="","",IF($D2638="Direct Expiry",$G2638,EDATE($G2638,$F2638)))),"Check Date")</f>
        <v/>
      </c>
      <c r="I2638" s="12" t="str">
        <f aca="true">IF($H2638="","",IF(ISNUMBER($H2638),$H2638-TODAY(),""))</f>
        <v/>
      </c>
      <c r="J2638" s="4" t="str">
        <f aca="true">IF($D2638="Manual Review","Manual Review",IF($G2638="","No Data",IF(NOT(ISNUMBER($H2638)),"N/A",IF($H2638&lt;TODAY(),"Overdue",IF($H2638&lt;=TODAY()+30,"Due within 1 Month",IF($H2638&lt;=TODAY()+60,"Due within 2 Months","OK"))))))</f>
        <v>No Data</v>
      </c>
      <c r="K2638" s="13"/>
    </row>
    <row r="2639" customFormat="false" ht="15" hidden="false" customHeight="false" outlineLevel="0" collapsed="false">
      <c r="A2639" s="9" t="str">
        <f aca="false">Vessels!B28</f>
        <v>Vessel 24</v>
      </c>
      <c r="B2639" s="9" t="s">
        <v>88</v>
      </c>
      <c r="C2639" s="7" t="s">
        <v>98</v>
      </c>
      <c r="D2639" s="9" t="s">
        <v>45</v>
      </c>
      <c r="E2639" s="9" t="s">
        <v>44</v>
      </c>
      <c r="F2639" s="5" t="n">
        <v>12</v>
      </c>
      <c r="G2639" s="10"/>
      <c r="H2639" s="11" t="str">
        <f aca="false">IFERROR(IF($D2639="Manual Review","",IF($G2639="","",IF($D2639="Direct Expiry",$G2639,EDATE($G2639,$F2639)))),"Check Date")</f>
        <v/>
      </c>
      <c r="I2639" s="12" t="str">
        <f aca="true">IF($H2639="","",IF(ISNUMBER($H2639),$H2639-TODAY(),""))</f>
        <v/>
      </c>
      <c r="J2639" s="4" t="str">
        <f aca="true">IF($D2639="Manual Review","Manual Review",IF($G2639="","No Data",IF(NOT(ISNUMBER($H2639)),"N/A",IF($H2639&lt;TODAY(),"Overdue",IF($H2639&lt;=TODAY()+30,"Due within 1 Month",IF($H2639&lt;=TODAY()+60,"Due within 2 Months","OK"))))))</f>
        <v>No Data</v>
      </c>
      <c r="K2639" s="13"/>
    </row>
    <row r="2640" customFormat="false" ht="15" hidden="false" customHeight="false" outlineLevel="0" collapsed="false">
      <c r="A2640" s="9" t="str">
        <f aca="false">Vessels!B28</f>
        <v>Vessel 24</v>
      </c>
      <c r="B2640" s="9" t="s">
        <v>88</v>
      </c>
      <c r="C2640" s="7" t="s">
        <v>98</v>
      </c>
      <c r="D2640" s="9" t="s">
        <v>45</v>
      </c>
      <c r="E2640" s="9" t="s">
        <v>99</v>
      </c>
      <c r="F2640" s="5" t="n">
        <v>60</v>
      </c>
      <c r="G2640" s="10"/>
      <c r="H2640" s="11" t="str">
        <f aca="false">IFERROR(IF($D2640="Manual Review","",IF($G2640="","",IF($D2640="Direct Expiry",$G2640,EDATE($G2640,$F2640)))),"Check Date")</f>
        <v/>
      </c>
      <c r="I2640" s="12" t="str">
        <f aca="true">IF($H2640="","",IF(ISNUMBER($H2640),$H2640-TODAY(),""))</f>
        <v/>
      </c>
      <c r="J2640" s="4" t="str">
        <f aca="true">IF($D2640="Manual Review","Manual Review",IF($G2640="","No Data",IF(NOT(ISNUMBER($H2640)),"N/A",IF($H2640&lt;TODAY(),"Overdue",IF($H2640&lt;=TODAY()+30,"Due within 1 Month",IF($H2640&lt;=TODAY()+60,"Due within 2 Months","OK"))))))</f>
        <v>No Data</v>
      </c>
      <c r="K2640" s="13"/>
    </row>
    <row r="2641" customFormat="false" ht="15" hidden="false" customHeight="false" outlineLevel="0" collapsed="false">
      <c r="A2641" s="9" t="str">
        <f aca="false">Vessels!B28</f>
        <v>Vessel 24</v>
      </c>
      <c r="B2641" s="9" t="s">
        <v>88</v>
      </c>
      <c r="C2641" s="7" t="s">
        <v>100</v>
      </c>
      <c r="D2641" s="9" t="s">
        <v>45</v>
      </c>
      <c r="E2641" s="9" t="s">
        <v>44</v>
      </c>
      <c r="F2641" s="5" t="n">
        <v>12</v>
      </c>
      <c r="G2641" s="10"/>
      <c r="H2641" s="11" t="str">
        <f aca="false">IFERROR(IF($D2641="Manual Review","",IF($G2641="","",IF($D2641="Direct Expiry",$G2641,EDATE($G2641,$F2641)))),"Check Date")</f>
        <v/>
      </c>
      <c r="I2641" s="12" t="str">
        <f aca="true">IF($H2641="","",IF(ISNUMBER($H2641),$H2641-TODAY(),""))</f>
        <v/>
      </c>
      <c r="J2641" s="4" t="str">
        <f aca="true">IF($D2641="Manual Review","Manual Review",IF($G2641="","No Data",IF(NOT(ISNUMBER($H2641)),"N/A",IF($H2641&lt;TODAY(),"Overdue",IF($H2641&lt;=TODAY()+30,"Due within 1 Month",IF($H2641&lt;=TODAY()+60,"Due within 2 Months","OK"))))))</f>
        <v>No Data</v>
      </c>
      <c r="K2641" s="13"/>
    </row>
    <row r="2642" customFormat="false" ht="15" hidden="false" customHeight="false" outlineLevel="0" collapsed="false">
      <c r="A2642" s="9" t="str">
        <f aca="false">Vessels!B28</f>
        <v>Vessel 24</v>
      </c>
      <c r="B2642" s="9" t="s">
        <v>88</v>
      </c>
      <c r="C2642" s="7" t="s">
        <v>100</v>
      </c>
      <c r="D2642" s="9" t="s">
        <v>45</v>
      </c>
      <c r="E2642" s="9" t="s">
        <v>99</v>
      </c>
      <c r="F2642" s="5" t="n">
        <v>60</v>
      </c>
      <c r="G2642" s="10"/>
      <c r="H2642" s="11" t="str">
        <f aca="false">IFERROR(IF($D2642="Manual Review","",IF($G2642="","",IF($D2642="Direct Expiry",$G2642,EDATE($G2642,$F2642)))),"Check Date")</f>
        <v/>
      </c>
      <c r="I2642" s="12" t="str">
        <f aca="true">IF($H2642="","",IF(ISNUMBER($H2642),$H2642-TODAY(),""))</f>
        <v/>
      </c>
      <c r="J2642" s="4" t="str">
        <f aca="true">IF($D2642="Manual Review","Manual Review",IF($G2642="","No Data",IF(NOT(ISNUMBER($H2642)),"N/A",IF($H2642&lt;TODAY(),"Overdue",IF($H2642&lt;=TODAY()+30,"Due within 1 Month",IF($H2642&lt;=TODAY()+60,"Due within 2 Months","OK"))))))</f>
        <v>No Data</v>
      </c>
      <c r="K2642" s="13"/>
    </row>
    <row r="2643" customFormat="false" ht="15" hidden="false" customHeight="false" outlineLevel="0" collapsed="false">
      <c r="A2643" s="9" t="str">
        <f aca="false">Vessels!B28</f>
        <v>Vessel 24</v>
      </c>
      <c r="B2643" s="9" t="s">
        <v>88</v>
      </c>
      <c r="C2643" s="7" t="s">
        <v>101</v>
      </c>
      <c r="D2643" s="9" t="s">
        <v>45</v>
      </c>
      <c r="E2643" s="9" t="s">
        <v>44</v>
      </c>
      <c r="F2643" s="5" t="n">
        <v>12</v>
      </c>
      <c r="G2643" s="10"/>
      <c r="H2643" s="11" t="str">
        <f aca="false">IFERROR(IF($D2643="Manual Review","",IF($G2643="","",IF($D2643="Direct Expiry",$G2643,EDATE($G2643,$F2643)))),"Check Date")</f>
        <v/>
      </c>
      <c r="I2643" s="12" t="str">
        <f aca="true">IF($H2643="","",IF(ISNUMBER($H2643),$H2643-TODAY(),""))</f>
        <v/>
      </c>
      <c r="J2643" s="4" t="str">
        <f aca="true">IF($D2643="Manual Review","Manual Review",IF($G2643="","No Data",IF(NOT(ISNUMBER($H2643)),"N/A",IF($H2643&lt;TODAY(),"Overdue",IF($H2643&lt;=TODAY()+30,"Due within 1 Month",IF($H2643&lt;=TODAY()+60,"Due within 2 Months","OK"))))))</f>
        <v>No Data</v>
      </c>
      <c r="K2643" s="13"/>
    </row>
    <row r="2644" customFormat="false" ht="23.85" hidden="false" customHeight="false" outlineLevel="0" collapsed="false">
      <c r="A2644" s="9" t="str">
        <f aca="false">Vessels!B28</f>
        <v>Vessel 24</v>
      </c>
      <c r="B2644" s="9" t="s">
        <v>88</v>
      </c>
      <c r="C2644" s="7" t="s">
        <v>102</v>
      </c>
      <c r="D2644" s="9" t="s">
        <v>45</v>
      </c>
      <c r="E2644" s="9" t="s">
        <v>44</v>
      </c>
      <c r="F2644" s="5" t="n">
        <v>12</v>
      </c>
      <c r="G2644" s="10"/>
      <c r="H2644" s="11" t="str">
        <f aca="false">IFERROR(IF($D2644="Manual Review","",IF($G2644="","",IF($D2644="Direct Expiry",$G2644,EDATE($G2644,$F2644)))),"Check Date")</f>
        <v/>
      </c>
      <c r="I2644" s="12" t="str">
        <f aca="true">IF($H2644="","",IF(ISNUMBER($H2644),$H2644-TODAY(),""))</f>
        <v/>
      </c>
      <c r="J2644" s="4" t="str">
        <f aca="true">IF($D2644="Manual Review","Manual Review",IF($G2644="","No Data",IF(NOT(ISNUMBER($H2644)),"N/A",IF($H2644&lt;TODAY(),"Overdue",IF($H2644&lt;=TODAY()+30,"Due within 1 Month",IF($H2644&lt;=TODAY()+60,"Due within 2 Months","OK"))))))</f>
        <v>No Data</v>
      </c>
      <c r="K2644" s="13"/>
    </row>
    <row r="2645" customFormat="false" ht="23.85" hidden="false" customHeight="false" outlineLevel="0" collapsed="false">
      <c r="A2645" s="9" t="str">
        <f aca="false">Vessels!B28</f>
        <v>Vessel 24</v>
      </c>
      <c r="B2645" s="9" t="s">
        <v>88</v>
      </c>
      <c r="C2645" s="7" t="s">
        <v>102</v>
      </c>
      <c r="D2645" s="9" t="s">
        <v>45</v>
      </c>
      <c r="E2645" s="9" t="s">
        <v>97</v>
      </c>
      <c r="F2645" s="5" t="n">
        <v>120</v>
      </c>
      <c r="G2645" s="10"/>
      <c r="H2645" s="11" t="str">
        <f aca="false">IFERROR(IF($D2645="Manual Review","",IF($G2645="","",IF($D2645="Direct Expiry",$G2645,EDATE($G2645,$F2645)))),"Check Date")</f>
        <v/>
      </c>
      <c r="I2645" s="12" t="str">
        <f aca="true">IF($H2645="","",IF(ISNUMBER($H2645),$H2645-TODAY(),""))</f>
        <v/>
      </c>
      <c r="J2645" s="4" t="str">
        <f aca="true">IF($D2645="Manual Review","Manual Review",IF($G2645="","No Data",IF(NOT(ISNUMBER($H2645)),"N/A",IF($H2645&lt;TODAY(),"Overdue",IF($H2645&lt;=TODAY()+30,"Due within 1 Month",IF($H2645&lt;=TODAY()+60,"Due within 2 Months","OK"))))))</f>
        <v>No Data</v>
      </c>
      <c r="K2645" s="13"/>
    </row>
    <row r="2646" customFormat="false" ht="15" hidden="false" customHeight="false" outlineLevel="0" collapsed="false">
      <c r="A2646" s="9" t="str">
        <f aca="false">Vessels!B28</f>
        <v>Vessel 24</v>
      </c>
      <c r="B2646" s="9" t="s">
        <v>88</v>
      </c>
      <c r="C2646" s="7" t="s">
        <v>103</v>
      </c>
      <c r="D2646" s="9" t="s">
        <v>45</v>
      </c>
      <c r="E2646" s="9" t="s">
        <v>44</v>
      </c>
      <c r="F2646" s="5" t="n">
        <v>12</v>
      </c>
      <c r="G2646" s="10"/>
      <c r="H2646" s="11" t="str">
        <f aca="false">IFERROR(IF($D2646="Manual Review","",IF($G2646="","",IF($D2646="Direct Expiry",$G2646,EDATE($G2646,$F2646)))),"Check Date")</f>
        <v/>
      </c>
      <c r="I2646" s="12" t="str">
        <f aca="true">IF($H2646="","",IF(ISNUMBER($H2646),$H2646-TODAY(),""))</f>
        <v/>
      </c>
      <c r="J2646" s="4" t="str">
        <f aca="true">IF($D2646="Manual Review","Manual Review",IF($G2646="","No Data",IF(NOT(ISNUMBER($H2646)),"N/A",IF($H2646&lt;TODAY(),"Overdue",IF($H2646&lt;=TODAY()+30,"Due within 1 Month",IF($H2646&lt;=TODAY()+60,"Due within 2 Months","OK"))))))</f>
        <v>No Data</v>
      </c>
      <c r="K2646" s="13"/>
    </row>
    <row r="2647" customFormat="false" ht="15" hidden="false" customHeight="false" outlineLevel="0" collapsed="false">
      <c r="A2647" s="9" t="str">
        <f aca="false">Vessels!B28</f>
        <v>Vessel 24</v>
      </c>
      <c r="B2647" s="9" t="s">
        <v>88</v>
      </c>
      <c r="C2647" s="7" t="s">
        <v>103</v>
      </c>
      <c r="D2647" s="9" t="s">
        <v>45</v>
      </c>
      <c r="E2647" s="9" t="s">
        <v>97</v>
      </c>
      <c r="F2647" s="5" t="n">
        <v>120</v>
      </c>
      <c r="G2647" s="10"/>
      <c r="H2647" s="11" t="str">
        <f aca="false">IFERROR(IF($D2647="Manual Review","",IF($G2647="","",IF($D2647="Direct Expiry",$G2647,EDATE($G2647,$F2647)))),"Check Date")</f>
        <v/>
      </c>
      <c r="I2647" s="12" t="str">
        <f aca="true">IF($H2647="","",IF(ISNUMBER($H2647),$H2647-TODAY(),""))</f>
        <v/>
      </c>
      <c r="J2647" s="4" t="str">
        <f aca="true">IF($D2647="Manual Review","Manual Review",IF($G2647="","No Data",IF(NOT(ISNUMBER($H2647)),"N/A",IF($H2647&lt;TODAY(),"Overdue",IF($H2647&lt;=TODAY()+30,"Due within 1 Month",IF($H2647&lt;=TODAY()+60,"Due within 2 Months","OK"))))))</f>
        <v>No Data</v>
      </c>
      <c r="K2647" s="13"/>
    </row>
    <row r="2648" customFormat="false" ht="15" hidden="false" customHeight="false" outlineLevel="0" collapsed="false">
      <c r="A2648" s="9" t="str">
        <f aca="false">Vessels!B28</f>
        <v>Vessel 24</v>
      </c>
      <c r="B2648" s="9" t="s">
        <v>88</v>
      </c>
      <c r="C2648" s="7" t="s">
        <v>104</v>
      </c>
      <c r="D2648" s="9" t="s">
        <v>45</v>
      </c>
      <c r="E2648" s="9" t="s">
        <v>44</v>
      </c>
      <c r="F2648" s="5" t="n">
        <v>12</v>
      </c>
      <c r="G2648" s="10"/>
      <c r="H2648" s="11" t="str">
        <f aca="false">IFERROR(IF($D2648="Manual Review","",IF($G2648="","",IF($D2648="Direct Expiry",$G2648,EDATE($G2648,$F2648)))),"Check Date")</f>
        <v/>
      </c>
      <c r="I2648" s="12" t="str">
        <f aca="true">IF($H2648="","",IF(ISNUMBER($H2648),$H2648-TODAY(),""))</f>
        <v/>
      </c>
      <c r="J2648" s="4" t="str">
        <f aca="true">IF($D2648="Manual Review","Manual Review",IF($G2648="","No Data",IF(NOT(ISNUMBER($H2648)),"N/A",IF($H2648&lt;TODAY(),"Overdue",IF($H2648&lt;=TODAY()+30,"Due within 1 Month",IF($H2648&lt;=TODAY()+60,"Due within 2 Months","OK"))))))</f>
        <v>No Data</v>
      </c>
      <c r="K2648" s="13"/>
    </row>
    <row r="2649" customFormat="false" ht="15" hidden="false" customHeight="false" outlineLevel="0" collapsed="false">
      <c r="A2649" s="9" t="str">
        <f aca="false">Vessels!B28</f>
        <v>Vessel 24</v>
      </c>
      <c r="B2649" s="9" t="s">
        <v>88</v>
      </c>
      <c r="C2649" s="7" t="s">
        <v>105</v>
      </c>
      <c r="D2649" s="9" t="s">
        <v>45</v>
      </c>
      <c r="E2649" s="9" t="s">
        <v>44</v>
      </c>
      <c r="F2649" s="5" t="n">
        <v>12</v>
      </c>
      <c r="G2649" s="10"/>
      <c r="H2649" s="11" t="str">
        <f aca="false">IFERROR(IF($D2649="Manual Review","",IF($G2649="","",IF($D2649="Direct Expiry",$G2649,EDATE($G2649,$F2649)))),"Check Date")</f>
        <v/>
      </c>
      <c r="I2649" s="12" t="str">
        <f aca="true">IF($H2649="","",IF(ISNUMBER($H2649),$H2649-TODAY(),""))</f>
        <v/>
      </c>
      <c r="J2649" s="4" t="str">
        <f aca="true">IF($D2649="Manual Review","Manual Review",IF($G2649="","No Data",IF(NOT(ISNUMBER($H2649)),"N/A",IF($H2649&lt;TODAY(),"Overdue",IF($H2649&lt;=TODAY()+30,"Due within 1 Month",IF($H2649&lt;=TODAY()+60,"Due within 2 Months","OK"))))))</f>
        <v>No Data</v>
      </c>
      <c r="K2649" s="13"/>
    </row>
    <row r="2650" customFormat="false" ht="15" hidden="false" customHeight="false" outlineLevel="0" collapsed="false">
      <c r="A2650" s="9" t="str">
        <f aca="false">Vessels!B28</f>
        <v>Vessel 24</v>
      </c>
      <c r="B2650" s="9" t="s">
        <v>88</v>
      </c>
      <c r="C2650" s="7" t="s">
        <v>106</v>
      </c>
      <c r="D2650" s="9" t="s">
        <v>45</v>
      </c>
      <c r="E2650" s="9" t="s">
        <v>44</v>
      </c>
      <c r="F2650" s="5" t="n">
        <v>12</v>
      </c>
      <c r="G2650" s="10"/>
      <c r="H2650" s="11" t="str">
        <f aca="false">IFERROR(IF($D2650="Manual Review","",IF($G2650="","",IF($D2650="Direct Expiry",$G2650,EDATE($G2650,$F2650)))),"Check Date")</f>
        <v/>
      </c>
      <c r="I2650" s="12" t="str">
        <f aca="true">IF($H2650="","",IF(ISNUMBER($H2650),$H2650-TODAY(),""))</f>
        <v/>
      </c>
      <c r="J2650" s="4" t="str">
        <f aca="true">IF($D2650="Manual Review","Manual Review",IF($G2650="","No Data",IF(NOT(ISNUMBER($H2650)),"N/A",IF($H2650&lt;TODAY(),"Overdue",IF($H2650&lt;=TODAY()+30,"Due within 1 Month",IF($H2650&lt;=TODAY()+60,"Due within 2 Months","OK"))))))</f>
        <v>No Data</v>
      </c>
      <c r="K2650" s="13"/>
    </row>
    <row r="2651" customFormat="false" ht="15" hidden="false" customHeight="false" outlineLevel="0" collapsed="false">
      <c r="A2651" s="9" t="str">
        <f aca="false">Vessels!B28</f>
        <v>Vessel 24</v>
      </c>
      <c r="B2651" s="9" t="s">
        <v>88</v>
      </c>
      <c r="C2651" s="7" t="s">
        <v>107</v>
      </c>
      <c r="D2651" s="9" t="s">
        <v>45</v>
      </c>
      <c r="E2651" s="9" t="s">
        <v>44</v>
      </c>
      <c r="F2651" s="5" t="n">
        <v>12</v>
      </c>
      <c r="G2651" s="10"/>
      <c r="H2651" s="11" t="str">
        <f aca="false">IFERROR(IF($D2651="Manual Review","",IF($G2651="","",IF($D2651="Direct Expiry",$G2651,EDATE($G2651,$F2651)))),"Check Date")</f>
        <v/>
      </c>
      <c r="I2651" s="12" t="str">
        <f aca="true">IF($H2651="","",IF(ISNUMBER($H2651),$H2651-TODAY(),""))</f>
        <v/>
      </c>
      <c r="J2651" s="4" t="str">
        <f aca="true">IF($D2651="Manual Review","Manual Review",IF($G2651="","No Data",IF(NOT(ISNUMBER($H2651)),"N/A",IF($H2651&lt;TODAY(),"Overdue",IF($H2651&lt;=TODAY()+30,"Due within 1 Month",IF($H2651&lt;=TODAY()+60,"Due within 2 Months","OK"))))))</f>
        <v>No Data</v>
      </c>
      <c r="K2651" s="13"/>
    </row>
    <row r="2652" customFormat="false" ht="15" hidden="false" customHeight="false" outlineLevel="0" collapsed="false">
      <c r="A2652" s="9" t="str">
        <f aca="false">Vessels!B28</f>
        <v>Vessel 24</v>
      </c>
      <c r="B2652" s="9" t="s">
        <v>88</v>
      </c>
      <c r="C2652" s="7" t="s">
        <v>108</v>
      </c>
      <c r="D2652" s="9" t="s">
        <v>45</v>
      </c>
      <c r="E2652" s="9" t="s">
        <v>109</v>
      </c>
      <c r="F2652" s="5" t="n">
        <v>12</v>
      </c>
      <c r="G2652" s="10"/>
      <c r="H2652" s="11" t="str">
        <f aca="false">IFERROR(IF($D2652="Manual Review","",IF($G2652="","",IF($D2652="Direct Expiry",$G2652,EDATE($G2652,$F2652)))),"Check Date")</f>
        <v/>
      </c>
      <c r="I2652" s="12" t="str">
        <f aca="true">IF($H2652="","",IF(ISNUMBER($H2652),$H2652-TODAY(),""))</f>
        <v/>
      </c>
      <c r="J2652" s="4" t="str">
        <f aca="true">IF($D2652="Manual Review","Manual Review",IF($G2652="","No Data",IF(NOT(ISNUMBER($H2652)),"N/A",IF($H2652&lt;TODAY(),"Overdue",IF($H2652&lt;=TODAY()+30,"Due within 1 Month",IF($H2652&lt;=TODAY()+60,"Due within 2 Months","OK"))))))</f>
        <v>No Data</v>
      </c>
      <c r="K2652" s="13"/>
    </row>
    <row r="2653" customFormat="false" ht="15" hidden="false" customHeight="false" outlineLevel="0" collapsed="false">
      <c r="A2653" s="9" t="str">
        <f aca="false">Vessels!B28</f>
        <v>Vessel 24</v>
      </c>
      <c r="B2653" s="9" t="s">
        <v>88</v>
      </c>
      <c r="C2653" s="7" t="s">
        <v>108</v>
      </c>
      <c r="D2653" s="9" t="s">
        <v>45</v>
      </c>
      <c r="E2653" s="9" t="s">
        <v>110</v>
      </c>
      <c r="F2653" s="5" t="n">
        <v>60</v>
      </c>
      <c r="G2653" s="10"/>
      <c r="H2653" s="11" t="str">
        <f aca="false">IFERROR(IF($D2653="Manual Review","",IF($G2653="","",IF($D2653="Direct Expiry",$G2653,EDATE($G2653,$F2653)))),"Check Date")</f>
        <v/>
      </c>
      <c r="I2653" s="12" t="str">
        <f aca="true">IF($H2653="","",IF(ISNUMBER($H2653),$H2653-TODAY(),""))</f>
        <v/>
      </c>
      <c r="J2653" s="4" t="str">
        <f aca="true">IF($D2653="Manual Review","Manual Review",IF($G2653="","No Data",IF(NOT(ISNUMBER($H2653)),"N/A",IF($H2653&lt;TODAY(),"Overdue",IF($H2653&lt;=TODAY()+30,"Due within 1 Month",IF($H2653&lt;=TODAY()+60,"Due within 2 Months","OK"))))))</f>
        <v>No Data</v>
      </c>
      <c r="K2653" s="13"/>
    </row>
    <row r="2654" customFormat="false" ht="15" hidden="false" customHeight="false" outlineLevel="0" collapsed="false">
      <c r="A2654" s="9" t="str">
        <f aca="false">Vessels!B28</f>
        <v>Vessel 24</v>
      </c>
      <c r="B2654" s="9" t="s">
        <v>88</v>
      </c>
      <c r="C2654" s="7" t="s">
        <v>111</v>
      </c>
      <c r="D2654" s="9" t="s">
        <v>45</v>
      </c>
      <c r="E2654" s="9" t="s">
        <v>44</v>
      </c>
      <c r="F2654" s="5" t="n">
        <v>12</v>
      </c>
      <c r="G2654" s="10"/>
      <c r="H2654" s="11" t="str">
        <f aca="false">IFERROR(IF($D2654="Manual Review","",IF($G2654="","",IF($D2654="Direct Expiry",$G2654,EDATE($G2654,$F2654)))),"Check Date")</f>
        <v/>
      </c>
      <c r="I2654" s="12" t="str">
        <f aca="true">IF($H2654="","",IF(ISNUMBER($H2654),$H2654-TODAY(),""))</f>
        <v/>
      </c>
      <c r="J2654" s="4" t="str">
        <f aca="true">IF($D2654="Manual Review","Manual Review",IF($G2654="","No Data",IF(NOT(ISNUMBER($H2654)),"N/A",IF($H2654&lt;TODAY(),"Overdue",IF($H2654&lt;=TODAY()+30,"Due within 1 Month",IF($H2654&lt;=TODAY()+60,"Due within 2 Months","OK"))))))</f>
        <v>No Data</v>
      </c>
      <c r="K2654" s="13"/>
    </row>
    <row r="2655" customFormat="false" ht="15" hidden="false" customHeight="false" outlineLevel="0" collapsed="false">
      <c r="A2655" s="9" t="str">
        <f aca="false">Vessels!B28</f>
        <v>Vessel 24</v>
      </c>
      <c r="B2655" s="9" t="s">
        <v>88</v>
      </c>
      <c r="C2655" s="7" t="s">
        <v>112</v>
      </c>
      <c r="D2655" s="9" t="s">
        <v>45</v>
      </c>
      <c r="E2655" s="9" t="s">
        <v>44</v>
      </c>
      <c r="F2655" s="5" t="n">
        <v>12</v>
      </c>
      <c r="G2655" s="10"/>
      <c r="H2655" s="11" t="str">
        <f aca="false">IFERROR(IF($D2655="Manual Review","",IF($G2655="","",IF($D2655="Direct Expiry",$G2655,EDATE($G2655,$F2655)))),"Check Date")</f>
        <v/>
      </c>
      <c r="I2655" s="12" t="str">
        <f aca="true">IF($H2655="","",IF(ISNUMBER($H2655),$H2655-TODAY(),""))</f>
        <v/>
      </c>
      <c r="J2655" s="4" t="str">
        <f aca="true">IF($D2655="Manual Review","Manual Review",IF($G2655="","No Data",IF(NOT(ISNUMBER($H2655)),"N/A",IF($H2655&lt;TODAY(),"Overdue",IF($H2655&lt;=TODAY()+30,"Due within 1 Month",IF($H2655&lt;=TODAY()+60,"Due within 2 Months","OK"))))))</f>
        <v>No Data</v>
      </c>
      <c r="K2655" s="13"/>
    </row>
    <row r="2656" customFormat="false" ht="15" hidden="false" customHeight="false" outlineLevel="0" collapsed="false">
      <c r="A2656" s="9" t="str">
        <f aca="false">Vessels!B28</f>
        <v>Vessel 24</v>
      </c>
      <c r="B2656" s="9" t="s">
        <v>88</v>
      </c>
      <c r="C2656" s="7" t="s">
        <v>113</v>
      </c>
      <c r="D2656" s="9" t="s">
        <v>115</v>
      </c>
      <c r="E2656" s="9" t="s">
        <v>114</v>
      </c>
      <c r="F2656" s="5"/>
      <c r="G2656" s="10"/>
      <c r="H2656" s="11" t="str">
        <f aca="false">IFERROR(IF($D2656="Manual Review","",IF($G2656="","",IF($D2656="Direct Expiry",$G2656,EDATE($G2656,$F2656)))),"Check Date")</f>
        <v/>
      </c>
      <c r="I2656" s="12" t="str">
        <f aca="true">IF($H2656="","",IF(ISNUMBER($H2656),$H2656-TODAY(),""))</f>
        <v/>
      </c>
      <c r="J2656" s="4" t="str">
        <f aca="true">IF($D2656="Manual Review","Manual Review",IF($G2656="","No Data",IF(NOT(ISNUMBER($H2656)),"N/A",IF($H2656&lt;TODAY(),"Overdue",IF($H2656&lt;=TODAY()+30,"Due within 1 Month",IF($H2656&lt;=TODAY()+60,"Due within 2 Months","OK"))))))</f>
        <v>Manual Review</v>
      </c>
      <c r="K2656" s="13"/>
    </row>
    <row r="2657" customFormat="false" ht="15" hidden="false" customHeight="false" outlineLevel="0" collapsed="false">
      <c r="A2657" s="9" t="str">
        <f aca="false">Vessels!B28</f>
        <v>Vessel 24</v>
      </c>
      <c r="B2657" s="9" t="s">
        <v>88</v>
      </c>
      <c r="C2657" s="7" t="s">
        <v>116</v>
      </c>
      <c r="D2657" s="9" t="s">
        <v>115</v>
      </c>
      <c r="E2657" s="9" t="s">
        <v>114</v>
      </c>
      <c r="F2657" s="5"/>
      <c r="G2657" s="10"/>
      <c r="H2657" s="11" t="str">
        <f aca="false">IFERROR(IF($D2657="Manual Review","",IF($G2657="","",IF($D2657="Direct Expiry",$G2657,EDATE($G2657,$F2657)))),"Check Date")</f>
        <v/>
      </c>
      <c r="I2657" s="12" t="str">
        <f aca="true">IF($H2657="","",IF(ISNUMBER($H2657),$H2657-TODAY(),""))</f>
        <v/>
      </c>
      <c r="J2657" s="4" t="str">
        <f aca="true">IF($D2657="Manual Review","Manual Review",IF($G2657="","No Data",IF(NOT(ISNUMBER($H2657)),"N/A",IF($H2657&lt;TODAY(),"Overdue",IF($H2657&lt;=TODAY()+30,"Due within 1 Month",IF($H2657&lt;=TODAY()+60,"Due within 2 Months","OK"))))))</f>
        <v>Manual Review</v>
      </c>
      <c r="K2657" s="13"/>
    </row>
    <row r="2658" customFormat="false" ht="15" hidden="false" customHeight="false" outlineLevel="0" collapsed="false">
      <c r="A2658" s="9" t="str">
        <f aca="false">Vessels!B28</f>
        <v>Vessel 24</v>
      </c>
      <c r="B2658" s="9" t="s">
        <v>117</v>
      </c>
      <c r="C2658" s="7" t="s">
        <v>118</v>
      </c>
      <c r="D2658" s="9" t="s">
        <v>59</v>
      </c>
      <c r="E2658" s="9" t="s">
        <v>119</v>
      </c>
      <c r="F2658" s="5"/>
      <c r="G2658" s="10"/>
      <c r="H2658" s="11" t="str">
        <f aca="false">IFERROR(IF($D2658="Manual Review","",IF($G2658="","",IF($D2658="Direct Expiry",$G2658,EDATE($G2658,$F2658)))),"Check Date")</f>
        <v/>
      </c>
      <c r="I2658" s="12" t="str">
        <f aca="true">IF($H2658="","",IF(ISNUMBER($H2658),$H2658-TODAY(),""))</f>
        <v/>
      </c>
      <c r="J2658" s="4" t="str">
        <f aca="true">IF($D2658="Manual Review","Manual Review",IF($G2658="","No Data",IF(NOT(ISNUMBER($H2658)),"N/A",IF($H2658&lt;TODAY(),"Overdue",IF($H2658&lt;=TODAY()+30,"Due within 1 Month",IF($H2658&lt;=TODAY()+60,"Due within 2 Months","OK"))))))</f>
        <v>No Data</v>
      </c>
      <c r="K2658" s="13"/>
    </row>
    <row r="2659" customFormat="false" ht="15" hidden="false" customHeight="false" outlineLevel="0" collapsed="false">
      <c r="A2659" s="9" t="str">
        <f aca="false">Vessels!B28</f>
        <v>Vessel 24</v>
      </c>
      <c r="B2659" s="9" t="s">
        <v>117</v>
      </c>
      <c r="C2659" s="7" t="s">
        <v>120</v>
      </c>
      <c r="D2659" s="9" t="s">
        <v>45</v>
      </c>
      <c r="E2659" s="9" t="s">
        <v>44</v>
      </c>
      <c r="F2659" s="5" t="n">
        <v>12</v>
      </c>
      <c r="G2659" s="10"/>
      <c r="H2659" s="11" t="str">
        <f aca="false">IFERROR(IF($D2659="Manual Review","",IF($G2659="","",IF($D2659="Direct Expiry",$G2659,EDATE($G2659,$F2659)))),"Check Date")</f>
        <v/>
      </c>
      <c r="I2659" s="12" t="str">
        <f aca="true">IF($H2659="","",IF(ISNUMBER($H2659),$H2659-TODAY(),""))</f>
        <v/>
      </c>
      <c r="J2659" s="4" t="str">
        <f aca="true">IF($D2659="Manual Review","Manual Review",IF($G2659="","No Data",IF(NOT(ISNUMBER($H2659)),"N/A",IF($H2659&lt;TODAY(),"Overdue",IF($H2659&lt;=TODAY()+30,"Due within 1 Month",IF($H2659&lt;=TODAY()+60,"Due within 2 Months","OK"))))))</f>
        <v>No Data</v>
      </c>
      <c r="K2659" s="13"/>
    </row>
    <row r="2660" customFormat="false" ht="15" hidden="false" customHeight="false" outlineLevel="0" collapsed="false">
      <c r="A2660" s="9" t="str">
        <f aca="false">Vessels!B28</f>
        <v>Vessel 24</v>
      </c>
      <c r="B2660" s="9" t="s">
        <v>117</v>
      </c>
      <c r="C2660" s="7" t="s">
        <v>121</v>
      </c>
      <c r="D2660" s="9" t="s">
        <v>45</v>
      </c>
      <c r="E2660" s="9" t="s">
        <v>44</v>
      </c>
      <c r="F2660" s="5" t="n">
        <v>12</v>
      </c>
      <c r="G2660" s="10"/>
      <c r="H2660" s="11" t="str">
        <f aca="false">IFERROR(IF($D2660="Manual Review","",IF($G2660="","",IF($D2660="Direct Expiry",$G2660,EDATE($G2660,$F2660)))),"Check Date")</f>
        <v/>
      </c>
      <c r="I2660" s="12" t="str">
        <f aca="true">IF($H2660="","",IF(ISNUMBER($H2660),$H2660-TODAY(),""))</f>
        <v/>
      </c>
      <c r="J2660" s="4" t="str">
        <f aca="true">IF($D2660="Manual Review","Manual Review",IF($G2660="","No Data",IF(NOT(ISNUMBER($H2660)),"N/A",IF($H2660&lt;TODAY(),"Overdue",IF($H2660&lt;=TODAY()+30,"Due within 1 Month",IF($H2660&lt;=TODAY()+60,"Due within 2 Months","OK"))))))</f>
        <v>No Data</v>
      </c>
      <c r="K2660" s="13"/>
    </row>
    <row r="2661" customFormat="false" ht="15" hidden="false" customHeight="false" outlineLevel="0" collapsed="false">
      <c r="A2661" s="9" t="str">
        <f aca="false">Vessels!B28</f>
        <v>Vessel 24</v>
      </c>
      <c r="B2661" s="9" t="s">
        <v>117</v>
      </c>
      <c r="C2661" s="7" t="s">
        <v>122</v>
      </c>
      <c r="D2661" s="9" t="s">
        <v>45</v>
      </c>
      <c r="E2661" s="9" t="s">
        <v>123</v>
      </c>
      <c r="F2661" s="5" t="n">
        <v>24</v>
      </c>
      <c r="G2661" s="10"/>
      <c r="H2661" s="11" t="str">
        <f aca="false">IFERROR(IF($D2661="Manual Review","",IF($G2661="","",IF($D2661="Direct Expiry",$G2661,EDATE($G2661,$F2661)))),"Check Date")</f>
        <v/>
      </c>
      <c r="I2661" s="12" t="str">
        <f aca="true">IF($H2661="","",IF(ISNUMBER($H2661),$H2661-TODAY(),""))</f>
        <v/>
      </c>
      <c r="J2661" s="4" t="str">
        <f aca="true">IF($D2661="Manual Review","Manual Review",IF($G2661="","No Data",IF(NOT(ISNUMBER($H2661)),"N/A",IF($H2661&lt;TODAY(),"Overdue",IF($H2661&lt;=TODAY()+30,"Due within 1 Month",IF($H2661&lt;=TODAY()+60,"Due within 2 Months","OK"))))))</f>
        <v>No Data</v>
      </c>
      <c r="K2661" s="13"/>
    </row>
    <row r="2662" customFormat="false" ht="15" hidden="false" customHeight="false" outlineLevel="0" collapsed="false">
      <c r="A2662" s="9" t="str">
        <f aca="false">Vessels!B28</f>
        <v>Vessel 24</v>
      </c>
      <c r="B2662" s="9" t="s">
        <v>117</v>
      </c>
      <c r="C2662" s="7" t="s">
        <v>124</v>
      </c>
      <c r="D2662" s="9" t="s">
        <v>59</v>
      </c>
      <c r="E2662" s="9" t="s">
        <v>58</v>
      </c>
      <c r="F2662" s="5"/>
      <c r="G2662" s="10"/>
      <c r="H2662" s="11" t="str">
        <f aca="false">IFERROR(IF($D2662="Manual Review","",IF($G2662="","",IF($D2662="Direct Expiry",$G2662,EDATE($G2662,$F2662)))),"Check Date")</f>
        <v/>
      </c>
      <c r="I2662" s="12" t="str">
        <f aca="true">IF($H2662="","",IF(ISNUMBER($H2662),$H2662-TODAY(),""))</f>
        <v/>
      </c>
      <c r="J2662" s="4" t="str">
        <f aca="true">IF($D2662="Manual Review","Manual Review",IF($G2662="","No Data",IF(NOT(ISNUMBER($H2662)),"N/A",IF($H2662&lt;TODAY(),"Overdue",IF($H2662&lt;=TODAY()+30,"Due within 1 Month",IF($H2662&lt;=TODAY()+60,"Due within 2 Months","OK"))))))</f>
        <v>No Data</v>
      </c>
      <c r="K2662" s="13"/>
    </row>
    <row r="2663" customFormat="false" ht="15" hidden="false" customHeight="false" outlineLevel="0" collapsed="false">
      <c r="A2663" s="9" t="str">
        <f aca="false">Vessels!B28</f>
        <v>Vessel 24</v>
      </c>
      <c r="B2663" s="9" t="s">
        <v>117</v>
      </c>
      <c r="C2663" s="7" t="s">
        <v>125</v>
      </c>
      <c r="D2663" s="9" t="s">
        <v>59</v>
      </c>
      <c r="E2663" s="9" t="s">
        <v>58</v>
      </c>
      <c r="F2663" s="5"/>
      <c r="G2663" s="10"/>
      <c r="H2663" s="11" t="str">
        <f aca="false">IFERROR(IF($D2663="Manual Review","",IF($G2663="","",IF($D2663="Direct Expiry",$G2663,EDATE($G2663,$F2663)))),"Check Date")</f>
        <v/>
      </c>
      <c r="I2663" s="12" t="str">
        <f aca="true">IF($H2663="","",IF(ISNUMBER($H2663),$H2663-TODAY(),""))</f>
        <v/>
      </c>
      <c r="J2663" s="4" t="str">
        <f aca="true">IF($D2663="Manual Review","Manual Review",IF($G2663="","No Data",IF(NOT(ISNUMBER($H2663)),"N/A",IF($H2663&lt;TODAY(),"Overdue",IF($H2663&lt;=TODAY()+30,"Due within 1 Month",IF($H2663&lt;=TODAY()+60,"Due within 2 Months","OK"))))))</f>
        <v>No Data</v>
      </c>
      <c r="K2663" s="13"/>
    </row>
    <row r="2664" customFormat="false" ht="15" hidden="false" customHeight="false" outlineLevel="0" collapsed="false">
      <c r="A2664" s="9" t="str">
        <f aca="false">Vessels!B28</f>
        <v>Vessel 24</v>
      </c>
      <c r="B2664" s="9" t="s">
        <v>117</v>
      </c>
      <c r="C2664" s="7" t="s">
        <v>126</v>
      </c>
      <c r="D2664" s="9" t="s">
        <v>45</v>
      </c>
      <c r="E2664" s="9" t="s">
        <v>44</v>
      </c>
      <c r="F2664" s="5" t="n">
        <v>12</v>
      </c>
      <c r="G2664" s="10"/>
      <c r="H2664" s="11" t="str">
        <f aca="false">IFERROR(IF($D2664="Manual Review","",IF($G2664="","",IF($D2664="Direct Expiry",$G2664,EDATE($G2664,$F2664)))),"Check Date")</f>
        <v/>
      </c>
      <c r="I2664" s="12" t="str">
        <f aca="true">IF($H2664="","",IF(ISNUMBER($H2664),$H2664-TODAY(),""))</f>
        <v/>
      </c>
      <c r="J2664" s="4" t="str">
        <f aca="true">IF($D2664="Manual Review","Manual Review",IF($G2664="","No Data",IF(NOT(ISNUMBER($H2664)),"N/A",IF($H2664&lt;TODAY(),"Overdue",IF($H2664&lt;=TODAY()+30,"Due within 1 Month",IF($H2664&lt;=TODAY()+60,"Due within 2 Months","OK"))))))</f>
        <v>No Data</v>
      </c>
      <c r="K2664" s="13"/>
    </row>
    <row r="2665" customFormat="false" ht="15" hidden="false" customHeight="false" outlineLevel="0" collapsed="false">
      <c r="A2665" s="9" t="str">
        <f aca="false">Vessels!B28</f>
        <v>Vessel 24</v>
      </c>
      <c r="B2665" s="9" t="s">
        <v>117</v>
      </c>
      <c r="C2665" s="7" t="s">
        <v>127</v>
      </c>
      <c r="D2665" s="9" t="s">
        <v>59</v>
      </c>
      <c r="E2665" s="9" t="s">
        <v>58</v>
      </c>
      <c r="F2665" s="5"/>
      <c r="G2665" s="10"/>
      <c r="H2665" s="11" t="str">
        <f aca="false">IFERROR(IF($D2665="Manual Review","",IF($G2665="","",IF($D2665="Direct Expiry",$G2665,EDATE($G2665,$F2665)))),"Check Date")</f>
        <v/>
      </c>
      <c r="I2665" s="12" t="str">
        <f aca="true">IF($H2665="","",IF(ISNUMBER($H2665),$H2665-TODAY(),""))</f>
        <v/>
      </c>
      <c r="J2665" s="4" t="str">
        <f aca="true">IF($D2665="Manual Review","Manual Review",IF($G2665="","No Data",IF(NOT(ISNUMBER($H2665)),"N/A",IF($H2665&lt;TODAY(),"Overdue",IF($H2665&lt;=TODAY()+30,"Due within 1 Month",IF($H2665&lt;=TODAY()+60,"Due within 2 Months","OK"))))))</f>
        <v>No Data</v>
      </c>
      <c r="K2665" s="13"/>
    </row>
    <row r="2666" customFormat="false" ht="15" hidden="false" customHeight="false" outlineLevel="0" collapsed="false">
      <c r="A2666" s="9" t="str">
        <f aca="false">Vessels!B28</f>
        <v>Vessel 24</v>
      </c>
      <c r="B2666" s="9" t="s">
        <v>117</v>
      </c>
      <c r="C2666" s="7" t="s">
        <v>128</v>
      </c>
      <c r="D2666" s="9" t="s">
        <v>59</v>
      </c>
      <c r="E2666" s="9" t="s">
        <v>58</v>
      </c>
      <c r="F2666" s="5"/>
      <c r="G2666" s="10"/>
      <c r="H2666" s="11" t="str">
        <f aca="false">IFERROR(IF($D2666="Manual Review","",IF($G2666="","",IF($D2666="Direct Expiry",$G2666,EDATE($G2666,$F2666)))),"Check Date")</f>
        <v/>
      </c>
      <c r="I2666" s="12" t="str">
        <f aca="true">IF($H2666="","",IF(ISNUMBER($H2666),$H2666-TODAY(),""))</f>
        <v/>
      </c>
      <c r="J2666" s="4" t="str">
        <f aca="true">IF($D2666="Manual Review","Manual Review",IF($G2666="","No Data",IF(NOT(ISNUMBER($H2666)),"N/A",IF($H2666&lt;TODAY(),"Overdue",IF($H2666&lt;=TODAY()+30,"Due within 1 Month",IF($H2666&lt;=TODAY()+60,"Due within 2 Months","OK"))))))</f>
        <v>No Data</v>
      </c>
      <c r="K2666" s="13"/>
    </row>
    <row r="2667" customFormat="false" ht="15" hidden="false" customHeight="false" outlineLevel="0" collapsed="false">
      <c r="A2667" s="9" t="str">
        <f aca="false">Vessels!B28</f>
        <v>Vessel 24</v>
      </c>
      <c r="B2667" s="9" t="s">
        <v>117</v>
      </c>
      <c r="C2667" s="7" t="s">
        <v>129</v>
      </c>
      <c r="D2667" s="9" t="s">
        <v>59</v>
      </c>
      <c r="E2667" s="9" t="s">
        <v>58</v>
      </c>
      <c r="F2667" s="5"/>
      <c r="G2667" s="10"/>
      <c r="H2667" s="11" t="str">
        <f aca="false">IFERROR(IF($D2667="Manual Review","",IF($G2667="","",IF($D2667="Direct Expiry",$G2667,EDATE($G2667,$F2667)))),"Check Date")</f>
        <v/>
      </c>
      <c r="I2667" s="12" t="str">
        <f aca="true">IF($H2667="","",IF(ISNUMBER($H2667),$H2667-TODAY(),""))</f>
        <v/>
      </c>
      <c r="J2667" s="4" t="str">
        <f aca="true">IF($D2667="Manual Review","Manual Review",IF($G2667="","No Data",IF(NOT(ISNUMBER($H2667)),"N/A",IF($H2667&lt;TODAY(),"Overdue",IF($H2667&lt;=TODAY()+30,"Due within 1 Month",IF($H2667&lt;=TODAY()+60,"Due within 2 Months","OK"))))))</f>
        <v>No Data</v>
      </c>
      <c r="K2667" s="13"/>
    </row>
    <row r="2668" customFormat="false" ht="15" hidden="false" customHeight="false" outlineLevel="0" collapsed="false">
      <c r="A2668" s="9" t="str">
        <f aca="false">Vessels!B28</f>
        <v>Vessel 24</v>
      </c>
      <c r="B2668" s="9" t="s">
        <v>117</v>
      </c>
      <c r="C2668" s="7" t="s">
        <v>130</v>
      </c>
      <c r="D2668" s="9" t="s">
        <v>45</v>
      </c>
      <c r="E2668" s="9" t="s">
        <v>44</v>
      </c>
      <c r="F2668" s="5" t="n">
        <v>12</v>
      </c>
      <c r="G2668" s="10"/>
      <c r="H2668" s="11" t="str">
        <f aca="false">IFERROR(IF($D2668="Manual Review","",IF($G2668="","",IF($D2668="Direct Expiry",$G2668,EDATE($G2668,$F2668)))),"Check Date")</f>
        <v/>
      </c>
      <c r="I2668" s="12" t="str">
        <f aca="true">IF($H2668="","",IF(ISNUMBER($H2668),$H2668-TODAY(),""))</f>
        <v/>
      </c>
      <c r="J2668" s="4" t="str">
        <f aca="true">IF($D2668="Manual Review","Manual Review",IF($G2668="","No Data",IF(NOT(ISNUMBER($H2668)),"N/A",IF($H2668&lt;TODAY(),"Overdue",IF($H2668&lt;=TODAY()+30,"Due within 1 Month",IF($H2668&lt;=TODAY()+60,"Due within 2 Months","OK"))))))</f>
        <v>No Data</v>
      </c>
      <c r="K2668" s="13"/>
    </row>
    <row r="2669" customFormat="false" ht="15" hidden="false" customHeight="false" outlineLevel="0" collapsed="false">
      <c r="A2669" s="9" t="str">
        <f aca="false">Vessels!B28</f>
        <v>Vessel 24</v>
      </c>
      <c r="B2669" s="9" t="s">
        <v>117</v>
      </c>
      <c r="C2669" s="7" t="s">
        <v>131</v>
      </c>
      <c r="D2669" s="9" t="s">
        <v>45</v>
      </c>
      <c r="E2669" s="9" t="s">
        <v>44</v>
      </c>
      <c r="F2669" s="5" t="n">
        <v>12</v>
      </c>
      <c r="G2669" s="10"/>
      <c r="H2669" s="11" t="str">
        <f aca="false">IFERROR(IF($D2669="Manual Review","",IF($G2669="","",IF($D2669="Direct Expiry",$G2669,EDATE($G2669,$F2669)))),"Check Date")</f>
        <v/>
      </c>
      <c r="I2669" s="12" t="str">
        <f aca="true">IF($H2669="","",IF(ISNUMBER($H2669),$H2669-TODAY(),""))</f>
        <v/>
      </c>
      <c r="J2669" s="4" t="str">
        <f aca="true">IF($D2669="Manual Review","Manual Review",IF($G2669="","No Data",IF(NOT(ISNUMBER($H2669)),"N/A",IF($H2669&lt;TODAY(),"Overdue",IF($H2669&lt;=TODAY()+30,"Due within 1 Month",IF($H2669&lt;=TODAY()+60,"Due within 2 Months","OK"))))))</f>
        <v>No Data</v>
      </c>
      <c r="K2669" s="13"/>
    </row>
    <row r="2670" customFormat="false" ht="15" hidden="false" customHeight="false" outlineLevel="0" collapsed="false">
      <c r="A2670" s="9" t="str">
        <f aca="false">Vessels!B28</f>
        <v>Vessel 24</v>
      </c>
      <c r="B2670" s="9" t="s">
        <v>117</v>
      </c>
      <c r="C2670" s="7" t="s">
        <v>132</v>
      </c>
      <c r="D2670" s="9" t="s">
        <v>45</v>
      </c>
      <c r="E2670" s="9" t="s">
        <v>44</v>
      </c>
      <c r="F2670" s="5" t="n">
        <v>12</v>
      </c>
      <c r="G2670" s="10"/>
      <c r="H2670" s="11" t="str">
        <f aca="false">IFERROR(IF($D2670="Manual Review","",IF($G2670="","",IF($D2670="Direct Expiry",$G2670,EDATE($G2670,$F2670)))),"Check Date")</f>
        <v/>
      </c>
      <c r="I2670" s="12" t="str">
        <f aca="true">IF($H2670="","",IF(ISNUMBER($H2670),$H2670-TODAY(),""))</f>
        <v/>
      </c>
      <c r="J2670" s="4" t="str">
        <f aca="true">IF($D2670="Manual Review","Manual Review",IF($G2670="","No Data",IF(NOT(ISNUMBER($H2670)),"N/A",IF($H2670&lt;TODAY(),"Overdue",IF($H2670&lt;=TODAY()+30,"Due within 1 Month",IF($H2670&lt;=TODAY()+60,"Due within 2 Months","OK"))))))</f>
        <v>No Data</v>
      </c>
      <c r="K2670" s="13"/>
    </row>
    <row r="2671" customFormat="false" ht="15" hidden="false" customHeight="false" outlineLevel="0" collapsed="false">
      <c r="A2671" s="9" t="str">
        <f aca="false">Vessels!B28</f>
        <v>Vessel 24</v>
      </c>
      <c r="B2671" s="9" t="s">
        <v>117</v>
      </c>
      <c r="C2671" s="7" t="s">
        <v>133</v>
      </c>
      <c r="D2671" s="9" t="s">
        <v>45</v>
      </c>
      <c r="E2671" s="9" t="s">
        <v>44</v>
      </c>
      <c r="F2671" s="5" t="n">
        <v>12</v>
      </c>
      <c r="G2671" s="10"/>
      <c r="H2671" s="11" t="str">
        <f aca="false">IFERROR(IF($D2671="Manual Review","",IF($G2671="","",IF($D2671="Direct Expiry",$G2671,EDATE($G2671,$F2671)))),"Check Date")</f>
        <v/>
      </c>
      <c r="I2671" s="12" t="str">
        <f aca="true">IF($H2671="","",IF(ISNUMBER($H2671),$H2671-TODAY(),""))</f>
        <v/>
      </c>
      <c r="J2671" s="4" t="str">
        <f aca="true">IF($D2671="Manual Review","Manual Review",IF($G2671="","No Data",IF(NOT(ISNUMBER($H2671)),"N/A",IF($H2671&lt;TODAY(),"Overdue",IF($H2671&lt;=TODAY()+30,"Due within 1 Month",IF($H2671&lt;=TODAY()+60,"Due within 2 Months","OK"))))))</f>
        <v>No Data</v>
      </c>
      <c r="K2671" s="13"/>
    </row>
    <row r="2672" customFormat="false" ht="15" hidden="false" customHeight="false" outlineLevel="0" collapsed="false">
      <c r="A2672" s="9" t="str">
        <f aca="false">Vessels!B28</f>
        <v>Vessel 24</v>
      </c>
      <c r="B2672" s="9" t="s">
        <v>117</v>
      </c>
      <c r="C2672" s="7" t="s">
        <v>134</v>
      </c>
      <c r="D2672" s="9" t="s">
        <v>45</v>
      </c>
      <c r="E2672" s="9" t="s">
        <v>44</v>
      </c>
      <c r="F2672" s="5" t="n">
        <v>12</v>
      </c>
      <c r="G2672" s="10"/>
      <c r="H2672" s="11" t="str">
        <f aca="false">IFERROR(IF($D2672="Manual Review","",IF($G2672="","",IF($D2672="Direct Expiry",$G2672,EDATE($G2672,$F2672)))),"Check Date")</f>
        <v/>
      </c>
      <c r="I2672" s="12" t="str">
        <f aca="true">IF($H2672="","",IF(ISNUMBER($H2672),$H2672-TODAY(),""))</f>
        <v/>
      </c>
      <c r="J2672" s="4" t="str">
        <f aca="true">IF($D2672="Manual Review","Manual Review",IF($G2672="","No Data",IF(NOT(ISNUMBER($H2672)),"N/A",IF($H2672&lt;TODAY(),"Overdue",IF($H2672&lt;=TODAY()+30,"Due within 1 Month",IF($H2672&lt;=TODAY()+60,"Due within 2 Months","OK"))))))</f>
        <v>No Data</v>
      </c>
      <c r="K2672" s="13"/>
    </row>
    <row r="2673" customFormat="false" ht="15" hidden="false" customHeight="false" outlineLevel="0" collapsed="false">
      <c r="A2673" s="9" t="str">
        <f aca="false">Vessels!B28</f>
        <v>Vessel 24</v>
      </c>
      <c r="B2673" s="9" t="s">
        <v>117</v>
      </c>
      <c r="C2673" s="7" t="s">
        <v>135</v>
      </c>
      <c r="D2673" s="9" t="s">
        <v>45</v>
      </c>
      <c r="E2673" s="9" t="s">
        <v>44</v>
      </c>
      <c r="F2673" s="5" t="n">
        <v>12</v>
      </c>
      <c r="G2673" s="10"/>
      <c r="H2673" s="11" t="str">
        <f aca="false">IFERROR(IF($D2673="Manual Review","",IF($G2673="","",IF($D2673="Direct Expiry",$G2673,EDATE($G2673,$F2673)))),"Check Date")</f>
        <v/>
      </c>
      <c r="I2673" s="12" t="str">
        <f aca="true">IF($H2673="","",IF(ISNUMBER($H2673),$H2673-TODAY(),""))</f>
        <v/>
      </c>
      <c r="J2673" s="4" t="str">
        <f aca="true">IF($D2673="Manual Review","Manual Review",IF($G2673="","No Data",IF(NOT(ISNUMBER($H2673)),"N/A",IF($H2673&lt;TODAY(),"Overdue",IF($H2673&lt;=TODAY()+30,"Due within 1 Month",IF($H2673&lt;=TODAY()+60,"Due within 2 Months","OK"))))))</f>
        <v>No Data</v>
      </c>
      <c r="K2673" s="13"/>
    </row>
    <row r="2674" customFormat="false" ht="15" hidden="false" customHeight="false" outlineLevel="0" collapsed="false">
      <c r="A2674" s="9" t="str">
        <f aca="false">Vessels!B28</f>
        <v>Vessel 24</v>
      </c>
      <c r="B2674" s="9" t="s">
        <v>136</v>
      </c>
      <c r="C2674" s="7" t="s">
        <v>137</v>
      </c>
      <c r="D2674" s="9" t="s">
        <v>45</v>
      </c>
      <c r="E2674" s="9" t="s">
        <v>44</v>
      </c>
      <c r="F2674" s="5" t="n">
        <v>12</v>
      </c>
      <c r="G2674" s="10"/>
      <c r="H2674" s="11" t="str">
        <f aca="false">IFERROR(IF($D2674="Manual Review","",IF($G2674="","",IF($D2674="Direct Expiry",$G2674,EDATE($G2674,$F2674)))),"Check Date")</f>
        <v/>
      </c>
      <c r="I2674" s="12" t="str">
        <f aca="true">IF($H2674="","",IF(ISNUMBER($H2674),$H2674-TODAY(),""))</f>
        <v/>
      </c>
      <c r="J2674" s="4" t="str">
        <f aca="true">IF($D2674="Manual Review","Manual Review",IF($G2674="","No Data",IF(NOT(ISNUMBER($H2674)),"N/A",IF($H2674&lt;TODAY(),"Overdue",IF($H2674&lt;=TODAY()+30,"Due within 1 Month",IF($H2674&lt;=TODAY()+60,"Due within 2 Months","OK"))))))</f>
        <v>No Data</v>
      </c>
      <c r="K2674" s="13"/>
    </row>
    <row r="2675" customFormat="false" ht="15" hidden="false" customHeight="false" outlineLevel="0" collapsed="false">
      <c r="A2675" s="9" t="str">
        <f aca="false">Vessels!B28</f>
        <v>Vessel 24</v>
      </c>
      <c r="B2675" s="9" t="s">
        <v>136</v>
      </c>
      <c r="C2675" s="7" t="s">
        <v>138</v>
      </c>
      <c r="D2675" s="9" t="s">
        <v>45</v>
      </c>
      <c r="E2675" s="9" t="s">
        <v>44</v>
      </c>
      <c r="F2675" s="5" t="n">
        <v>12</v>
      </c>
      <c r="G2675" s="10"/>
      <c r="H2675" s="11" t="str">
        <f aca="false">IFERROR(IF($D2675="Manual Review","",IF($G2675="","",IF($D2675="Direct Expiry",$G2675,EDATE($G2675,$F2675)))),"Check Date")</f>
        <v/>
      </c>
      <c r="I2675" s="12" t="str">
        <f aca="true">IF($H2675="","",IF(ISNUMBER($H2675),$H2675-TODAY(),""))</f>
        <v/>
      </c>
      <c r="J2675" s="4" t="str">
        <f aca="true">IF($D2675="Manual Review","Manual Review",IF($G2675="","No Data",IF(NOT(ISNUMBER($H2675)),"N/A",IF($H2675&lt;TODAY(),"Overdue",IF($H2675&lt;=TODAY()+30,"Due within 1 Month",IF($H2675&lt;=TODAY()+60,"Due within 2 Months","OK"))))))</f>
        <v>No Data</v>
      </c>
      <c r="K2675" s="13"/>
    </row>
    <row r="2676" customFormat="false" ht="15" hidden="false" customHeight="false" outlineLevel="0" collapsed="false">
      <c r="A2676" s="9" t="str">
        <f aca="false">Vessels!B28</f>
        <v>Vessel 24</v>
      </c>
      <c r="B2676" s="9" t="s">
        <v>136</v>
      </c>
      <c r="C2676" s="7" t="s">
        <v>139</v>
      </c>
      <c r="D2676" s="9" t="s">
        <v>45</v>
      </c>
      <c r="E2676" s="9" t="s">
        <v>140</v>
      </c>
      <c r="F2676" s="5" t="n">
        <v>12</v>
      </c>
      <c r="G2676" s="10"/>
      <c r="H2676" s="11" t="str">
        <f aca="false">IFERROR(IF($D2676="Manual Review","",IF($G2676="","",IF($D2676="Direct Expiry",$G2676,EDATE($G2676,$F2676)))),"Check Date")</f>
        <v/>
      </c>
      <c r="I2676" s="12" t="str">
        <f aca="true">IF($H2676="","",IF(ISNUMBER($H2676),$H2676-TODAY(),""))</f>
        <v/>
      </c>
      <c r="J2676" s="4" t="str">
        <f aca="true">IF($D2676="Manual Review","Manual Review",IF($G2676="","No Data",IF(NOT(ISNUMBER($H2676)),"N/A",IF($H2676&lt;TODAY(),"Overdue",IF($H2676&lt;=TODAY()+30,"Due within 1 Month",IF($H2676&lt;=TODAY()+60,"Due within 2 Months","OK"))))))</f>
        <v>No Data</v>
      </c>
      <c r="K2676" s="13"/>
    </row>
    <row r="2677" customFormat="false" ht="15" hidden="false" customHeight="false" outlineLevel="0" collapsed="false">
      <c r="A2677" s="9" t="str">
        <f aca="false">Vessels!B28</f>
        <v>Vessel 24</v>
      </c>
      <c r="B2677" s="9" t="s">
        <v>136</v>
      </c>
      <c r="C2677" s="7" t="s">
        <v>141</v>
      </c>
      <c r="D2677" s="9" t="s">
        <v>45</v>
      </c>
      <c r="E2677" s="9" t="s">
        <v>44</v>
      </c>
      <c r="F2677" s="5" t="n">
        <v>12</v>
      </c>
      <c r="G2677" s="10"/>
      <c r="H2677" s="11" t="str">
        <f aca="false">IFERROR(IF($D2677="Manual Review","",IF($G2677="","",IF($D2677="Direct Expiry",$G2677,EDATE($G2677,$F2677)))),"Check Date")</f>
        <v/>
      </c>
      <c r="I2677" s="12" t="str">
        <f aca="true">IF($H2677="","",IF(ISNUMBER($H2677),$H2677-TODAY(),""))</f>
        <v/>
      </c>
      <c r="J2677" s="4" t="str">
        <f aca="true">IF($D2677="Manual Review","Manual Review",IF($G2677="","No Data",IF(NOT(ISNUMBER($H2677)),"N/A",IF($H2677&lt;TODAY(),"Overdue",IF($H2677&lt;=TODAY()+30,"Due within 1 Month",IF($H2677&lt;=TODAY()+60,"Due within 2 Months","OK"))))))</f>
        <v>No Data</v>
      </c>
      <c r="K2677" s="13"/>
    </row>
    <row r="2678" customFormat="false" ht="15" hidden="false" customHeight="false" outlineLevel="0" collapsed="false">
      <c r="A2678" s="9" t="str">
        <f aca="false">Vessels!B28</f>
        <v>Vessel 24</v>
      </c>
      <c r="B2678" s="9" t="s">
        <v>136</v>
      </c>
      <c r="C2678" s="7" t="s">
        <v>142</v>
      </c>
      <c r="D2678" s="9" t="s">
        <v>115</v>
      </c>
      <c r="E2678" s="9" t="s">
        <v>143</v>
      </c>
      <c r="F2678" s="5"/>
      <c r="G2678" s="10"/>
      <c r="H2678" s="11" t="str">
        <f aca="false">IFERROR(IF($D2678="Manual Review","",IF($G2678="","",IF($D2678="Direct Expiry",$G2678,EDATE($G2678,$F2678)))),"Check Date")</f>
        <v/>
      </c>
      <c r="I2678" s="12" t="str">
        <f aca="true">IF($H2678="","",IF(ISNUMBER($H2678),$H2678-TODAY(),""))</f>
        <v/>
      </c>
      <c r="J2678" s="4" t="str">
        <f aca="true">IF($D2678="Manual Review","Manual Review",IF($G2678="","No Data",IF(NOT(ISNUMBER($H2678)),"N/A",IF($H2678&lt;TODAY(),"Overdue",IF($H2678&lt;=TODAY()+30,"Due within 1 Month",IF($H2678&lt;=TODAY()+60,"Due within 2 Months","OK"))))))</f>
        <v>Manual Review</v>
      </c>
      <c r="K2678" s="13"/>
    </row>
    <row r="2679" customFormat="false" ht="15" hidden="false" customHeight="false" outlineLevel="0" collapsed="false">
      <c r="A2679" s="9" t="str">
        <f aca="false">Vessels!B28</f>
        <v>Vessel 24</v>
      </c>
      <c r="B2679" s="9" t="s">
        <v>136</v>
      </c>
      <c r="C2679" s="7" t="s">
        <v>144</v>
      </c>
      <c r="D2679" s="9" t="s">
        <v>45</v>
      </c>
      <c r="E2679" s="9" t="s">
        <v>44</v>
      </c>
      <c r="F2679" s="5" t="n">
        <v>12</v>
      </c>
      <c r="G2679" s="10"/>
      <c r="H2679" s="11" t="str">
        <f aca="false">IFERROR(IF($D2679="Manual Review","",IF($G2679="","",IF($D2679="Direct Expiry",$G2679,EDATE($G2679,$F2679)))),"Check Date")</f>
        <v/>
      </c>
      <c r="I2679" s="12" t="str">
        <f aca="true">IF($H2679="","",IF(ISNUMBER($H2679),$H2679-TODAY(),""))</f>
        <v/>
      </c>
      <c r="J2679" s="4" t="str">
        <f aca="true">IF($D2679="Manual Review","Manual Review",IF($G2679="","No Data",IF(NOT(ISNUMBER($H2679)),"N/A",IF($H2679&lt;TODAY(),"Overdue",IF($H2679&lt;=TODAY()+30,"Due within 1 Month",IF($H2679&lt;=TODAY()+60,"Due within 2 Months","OK"))))))</f>
        <v>No Data</v>
      </c>
      <c r="K2679" s="13"/>
    </row>
    <row r="2680" customFormat="false" ht="15" hidden="false" customHeight="false" outlineLevel="0" collapsed="false">
      <c r="A2680" s="9" t="str">
        <f aca="false">Vessels!B28</f>
        <v>Vessel 24</v>
      </c>
      <c r="B2680" s="9" t="s">
        <v>136</v>
      </c>
      <c r="C2680" s="7" t="s">
        <v>145</v>
      </c>
      <c r="D2680" s="9" t="s">
        <v>45</v>
      </c>
      <c r="E2680" s="9" t="s">
        <v>44</v>
      </c>
      <c r="F2680" s="5" t="n">
        <v>12</v>
      </c>
      <c r="G2680" s="10"/>
      <c r="H2680" s="11" t="str">
        <f aca="false">IFERROR(IF($D2680="Manual Review","",IF($G2680="","",IF($D2680="Direct Expiry",$G2680,EDATE($G2680,$F2680)))),"Check Date")</f>
        <v/>
      </c>
      <c r="I2680" s="12" t="str">
        <f aca="true">IF($H2680="","",IF(ISNUMBER($H2680),$H2680-TODAY(),""))</f>
        <v/>
      </c>
      <c r="J2680" s="4" t="str">
        <f aca="true">IF($D2680="Manual Review","Manual Review",IF($G2680="","No Data",IF(NOT(ISNUMBER($H2680)),"N/A",IF($H2680&lt;TODAY(),"Overdue",IF($H2680&lt;=TODAY()+30,"Due within 1 Month",IF($H2680&lt;=TODAY()+60,"Due within 2 Months","OK"))))))</f>
        <v>No Data</v>
      </c>
      <c r="K2680" s="13"/>
    </row>
    <row r="2681" customFormat="false" ht="15" hidden="false" customHeight="false" outlineLevel="0" collapsed="false">
      <c r="A2681" s="9" t="str">
        <f aca="false">Vessels!B28</f>
        <v>Vessel 24</v>
      </c>
      <c r="B2681" s="9" t="s">
        <v>136</v>
      </c>
      <c r="C2681" s="7" t="s">
        <v>146</v>
      </c>
      <c r="D2681" s="9" t="s">
        <v>45</v>
      </c>
      <c r="E2681" s="9" t="s">
        <v>44</v>
      </c>
      <c r="F2681" s="5" t="n">
        <v>12</v>
      </c>
      <c r="G2681" s="10"/>
      <c r="H2681" s="11" t="str">
        <f aca="false">IFERROR(IF($D2681="Manual Review","",IF($G2681="","",IF($D2681="Direct Expiry",$G2681,EDATE($G2681,$F2681)))),"Check Date")</f>
        <v/>
      </c>
      <c r="I2681" s="12" t="str">
        <f aca="true">IF($H2681="","",IF(ISNUMBER($H2681),$H2681-TODAY(),""))</f>
        <v/>
      </c>
      <c r="J2681" s="4" t="str">
        <f aca="true">IF($D2681="Manual Review","Manual Review",IF($G2681="","No Data",IF(NOT(ISNUMBER($H2681)),"N/A",IF($H2681&lt;TODAY(),"Overdue",IF($H2681&lt;=TODAY()+30,"Due within 1 Month",IF($H2681&lt;=TODAY()+60,"Due within 2 Months","OK"))))))</f>
        <v>No Data</v>
      </c>
      <c r="K2681" s="13"/>
    </row>
    <row r="2682" customFormat="false" ht="15" hidden="false" customHeight="false" outlineLevel="0" collapsed="false">
      <c r="A2682" s="9" t="str">
        <f aca="false">Vessels!B28</f>
        <v>Vessel 24</v>
      </c>
      <c r="B2682" s="9" t="s">
        <v>136</v>
      </c>
      <c r="C2682" s="7" t="s">
        <v>147</v>
      </c>
      <c r="D2682" s="9" t="s">
        <v>45</v>
      </c>
      <c r="E2682" s="9" t="s">
        <v>44</v>
      </c>
      <c r="F2682" s="5" t="n">
        <v>12</v>
      </c>
      <c r="G2682" s="10"/>
      <c r="H2682" s="11" t="str">
        <f aca="false">IFERROR(IF($D2682="Manual Review","",IF($G2682="","",IF($D2682="Direct Expiry",$G2682,EDATE($G2682,$F2682)))),"Check Date")</f>
        <v/>
      </c>
      <c r="I2682" s="12" t="str">
        <f aca="true">IF($H2682="","",IF(ISNUMBER($H2682),$H2682-TODAY(),""))</f>
        <v/>
      </c>
      <c r="J2682" s="4" t="str">
        <f aca="true">IF($D2682="Manual Review","Manual Review",IF($G2682="","No Data",IF(NOT(ISNUMBER($H2682)),"N/A",IF($H2682&lt;TODAY(),"Overdue",IF($H2682&lt;=TODAY()+30,"Due within 1 Month",IF($H2682&lt;=TODAY()+60,"Due within 2 Months","OK"))))))</f>
        <v>No Data</v>
      </c>
      <c r="K2682" s="13"/>
    </row>
    <row r="2683" customFormat="false" ht="15" hidden="false" customHeight="false" outlineLevel="0" collapsed="false">
      <c r="A2683" s="9" t="str">
        <f aca="false">Vessels!B28</f>
        <v>Vessel 24</v>
      </c>
      <c r="B2683" s="9" t="s">
        <v>136</v>
      </c>
      <c r="C2683" s="7" t="s">
        <v>148</v>
      </c>
      <c r="D2683" s="9" t="s">
        <v>45</v>
      </c>
      <c r="E2683" s="9" t="s">
        <v>44</v>
      </c>
      <c r="F2683" s="5" t="n">
        <v>12</v>
      </c>
      <c r="G2683" s="10"/>
      <c r="H2683" s="11" t="str">
        <f aca="false">IFERROR(IF($D2683="Manual Review","",IF($G2683="","",IF($D2683="Direct Expiry",$G2683,EDATE($G2683,$F2683)))),"Check Date")</f>
        <v/>
      </c>
      <c r="I2683" s="12" t="str">
        <f aca="true">IF($H2683="","",IF(ISNUMBER($H2683),$H2683-TODAY(),""))</f>
        <v/>
      </c>
      <c r="J2683" s="4" t="str">
        <f aca="true">IF($D2683="Manual Review","Manual Review",IF($G2683="","No Data",IF(NOT(ISNUMBER($H2683)),"N/A",IF($H2683&lt;TODAY(),"Overdue",IF($H2683&lt;=TODAY()+30,"Due within 1 Month",IF($H2683&lt;=TODAY()+60,"Due within 2 Months","OK"))))))</f>
        <v>No Data</v>
      </c>
      <c r="K2683" s="13"/>
    </row>
    <row r="2684" customFormat="false" ht="15" hidden="false" customHeight="false" outlineLevel="0" collapsed="false">
      <c r="A2684" s="9" t="str">
        <f aca="false">Vessels!B28</f>
        <v>Vessel 24</v>
      </c>
      <c r="B2684" s="9" t="s">
        <v>136</v>
      </c>
      <c r="C2684" s="7" t="s">
        <v>149</v>
      </c>
      <c r="D2684" s="9" t="s">
        <v>45</v>
      </c>
      <c r="E2684" s="9" t="s">
        <v>44</v>
      </c>
      <c r="F2684" s="5" t="n">
        <v>12</v>
      </c>
      <c r="G2684" s="10"/>
      <c r="H2684" s="11" t="str">
        <f aca="false">IFERROR(IF($D2684="Manual Review","",IF($G2684="","",IF($D2684="Direct Expiry",$G2684,EDATE($G2684,$F2684)))),"Check Date")</f>
        <v/>
      </c>
      <c r="I2684" s="12" t="str">
        <f aca="true">IF($H2684="","",IF(ISNUMBER($H2684),$H2684-TODAY(),""))</f>
        <v/>
      </c>
      <c r="J2684" s="4" t="str">
        <f aca="true">IF($D2684="Manual Review","Manual Review",IF($G2684="","No Data",IF(NOT(ISNUMBER($H2684)),"N/A",IF($H2684&lt;TODAY(),"Overdue",IF($H2684&lt;=TODAY()+30,"Due within 1 Month",IF($H2684&lt;=TODAY()+60,"Due within 2 Months","OK"))))))</f>
        <v>No Data</v>
      </c>
      <c r="K2684" s="13"/>
    </row>
    <row r="2685" customFormat="false" ht="15" hidden="false" customHeight="false" outlineLevel="0" collapsed="false">
      <c r="A2685" s="9" t="str">
        <f aca="false">Vessels!B28</f>
        <v>Vessel 24</v>
      </c>
      <c r="B2685" s="9" t="s">
        <v>136</v>
      </c>
      <c r="C2685" s="7" t="s">
        <v>150</v>
      </c>
      <c r="D2685" s="9" t="s">
        <v>45</v>
      </c>
      <c r="E2685" s="9" t="s">
        <v>44</v>
      </c>
      <c r="F2685" s="5" t="n">
        <v>12</v>
      </c>
      <c r="G2685" s="10"/>
      <c r="H2685" s="11" t="str">
        <f aca="false">IFERROR(IF($D2685="Manual Review","",IF($G2685="","",IF($D2685="Direct Expiry",$G2685,EDATE($G2685,$F2685)))),"Check Date")</f>
        <v/>
      </c>
      <c r="I2685" s="12" t="str">
        <f aca="true">IF($H2685="","",IF(ISNUMBER($H2685),$H2685-TODAY(),""))</f>
        <v/>
      </c>
      <c r="J2685" s="4" t="str">
        <f aca="true">IF($D2685="Manual Review","Manual Review",IF($G2685="","No Data",IF(NOT(ISNUMBER($H2685)),"N/A",IF($H2685&lt;TODAY(),"Overdue",IF($H2685&lt;=TODAY()+30,"Due within 1 Month",IF($H2685&lt;=TODAY()+60,"Due within 2 Months","OK"))))))</f>
        <v>No Data</v>
      </c>
      <c r="K2685" s="13"/>
    </row>
    <row r="2686" customFormat="false" ht="15" hidden="false" customHeight="false" outlineLevel="0" collapsed="false">
      <c r="A2686" s="9" t="str">
        <f aca="false">Vessels!B28</f>
        <v>Vessel 24</v>
      </c>
      <c r="B2686" s="9" t="s">
        <v>136</v>
      </c>
      <c r="C2686" s="7" t="s">
        <v>151</v>
      </c>
      <c r="D2686" s="9" t="s">
        <v>45</v>
      </c>
      <c r="E2686" s="9" t="s">
        <v>44</v>
      </c>
      <c r="F2686" s="5" t="n">
        <v>12</v>
      </c>
      <c r="G2686" s="10"/>
      <c r="H2686" s="11" t="str">
        <f aca="false">IFERROR(IF($D2686="Manual Review","",IF($G2686="","",IF($D2686="Direct Expiry",$G2686,EDATE($G2686,$F2686)))),"Check Date")</f>
        <v/>
      </c>
      <c r="I2686" s="12" t="str">
        <f aca="true">IF($H2686="","",IF(ISNUMBER($H2686),$H2686-TODAY(),""))</f>
        <v/>
      </c>
      <c r="J2686" s="4" t="str">
        <f aca="true">IF($D2686="Manual Review","Manual Review",IF($G2686="","No Data",IF(NOT(ISNUMBER($H2686)),"N/A",IF($H2686&lt;TODAY(),"Overdue",IF($H2686&lt;=TODAY()+30,"Due within 1 Month",IF($H2686&lt;=TODAY()+60,"Due within 2 Months","OK"))))))</f>
        <v>No Data</v>
      </c>
      <c r="K2686" s="13"/>
    </row>
    <row r="2687" customFormat="false" ht="15" hidden="false" customHeight="false" outlineLevel="0" collapsed="false">
      <c r="A2687" s="9" t="str">
        <f aca="false">Vessels!B28</f>
        <v>Vessel 24</v>
      </c>
      <c r="B2687" s="9" t="s">
        <v>136</v>
      </c>
      <c r="C2687" s="7" t="s">
        <v>152</v>
      </c>
      <c r="D2687" s="9" t="s">
        <v>45</v>
      </c>
      <c r="E2687" s="9" t="s">
        <v>44</v>
      </c>
      <c r="F2687" s="5" t="n">
        <v>12</v>
      </c>
      <c r="G2687" s="10"/>
      <c r="H2687" s="11" t="str">
        <f aca="false">IFERROR(IF($D2687="Manual Review","",IF($G2687="","",IF($D2687="Direct Expiry",$G2687,EDATE($G2687,$F2687)))),"Check Date")</f>
        <v/>
      </c>
      <c r="I2687" s="12" t="str">
        <f aca="true">IF($H2687="","",IF(ISNUMBER($H2687),$H2687-TODAY(),""))</f>
        <v/>
      </c>
      <c r="J2687" s="4" t="str">
        <f aca="true">IF($D2687="Manual Review","Manual Review",IF($G2687="","No Data",IF(NOT(ISNUMBER($H2687)),"N/A",IF($H2687&lt;TODAY(),"Overdue",IF($H2687&lt;=TODAY()+30,"Due within 1 Month",IF($H2687&lt;=TODAY()+60,"Due within 2 Months","OK"))))))</f>
        <v>No Data</v>
      </c>
      <c r="K2687" s="13"/>
    </row>
    <row r="2688" customFormat="false" ht="15" hidden="false" customHeight="false" outlineLevel="0" collapsed="false">
      <c r="A2688" s="9" t="str">
        <f aca="false">Vessels!B28</f>
        <v>Vessel 24</v>
      </c>
      <c r="B2688" s="9" t="s">
        <v>136</v>
      </c>
      <c r="C2688" s="7" t="s">
        <v>153</v>
      </c>
      <c r="D2688" s="9" t="s">
        <v>45</v>
      </c>
      <c r="E2688" s="9" t="s">
        <v>44</v>
      </c>
      <c r="F2688" s="5" t="n">
        <v>12</v>
      </c>
      <c r="G2688" s="10"/>
      <c r="H2688" s="11" t="str">
        <f aca="false">IFERROR(IF($D2688="Manual Review","",IF($G2688="","",IF($D2688="Direct Expiry",$G2688,EDATE($G2688,$F2688)))),"Check Date")</f>
        <v/>
      </c>
      <c r="I2688" s="12" t="str">
        <f aca="true">IF($H2688="","",IF(ISNUMBER($H2688),$H2688-TODAY(),""))</f>
        <v/>
      </c>
      <c r="J2688" s="4" t="str">
        <f aca="true">IF($D2688="Manual Review","Manual Review",IF($G2688="","No Data",IF(NOT(ISNUMBER($H2688)),"N/A",IF($H2688&lt;TODAY(),"Overdue",IF($H2688&lt;=TODAY()+30,"Due within 1 Month",IF($H2688&lt;=TODAY()+60,"Due within 2 Months","OK"))))))</f>
        <v>No Data</v>
      </c>
      <c r="K2688" s="13"/>
    </row>
    <row r="2689" customFormat="false" ht="15" hidden="false" customHeight="false" outlineLevel="0" collapsed="false">
      <c r="A2689" s="9" t="str">
        <f aca="false">Vessels!B28</f>
        <v>Vessel 24</v>
      </c>
      <c r="B2689" s="9" t="s">
        <v>136</v>
      </c>
      <c r="C2689" s="7" t="s">
        <v>154</v>
      </c>
      <c r="D2689" s="9" t="s">
        <v>45</v>
      </c>
      <c r="E2689" s="9" t="s">
        <v>44</v>
      </c>
      <c r="F2689" s="5" t="n">
        <v>12</v>
      </c>
      <c r="G2689" s="10"/>
      <c r="H2689" s="11" t="str">
        <f aca="false">IFERROR(IF($D2689="Manual Review","",IF($G2689="","",IF($D2689="Direct Expiry",$G2689,EDATE($G2689,$F2689)))),"Check Date")</f>
        <v/>
      </c>
      <c r="I2689" s="12" t="str">
        <f aca="true">IF($H2689="","",IF(ISNUMBER($H2689),$H2689-TODAY(),""))</f>
        <v/>
      </c>
      <c r="J2689" s="4" t="str">
        <f aca="true">IF($D2689="Manual Review","Manual Review",IF($G2689="","No Data",IF(NOT(ISNUMBER($H2689)),"N/A",IF($H2689&lt;TODAY(),"Overdue",IF($H2689&lt;=TODAY()+30,"Due within 1 Month",IF($H2689&lt;=TODAY()+60,"Due within 2 Months","OK"))))))</f>
        <v>No Data</v>
      </c>
      <c r="K2689" s="13"/>
    </row>
    <row r="2690" customFormat="false" ht="15" hidden="false" customHeight="false" outlineLevel="0" collapsed="false">
      <c r="A2690" s="9" t="str">
        <f aca="false">Vessels!B28</f>
        <v>Vessel 24</v>
      </c>
      <c r="B2690" s="9" t="s">
        <v>136</v>
      </c>
      <c r="C2690" s="7" t="s">
        <v>155</v>
      </c>
      <c r="D2690" s="9" t="s">
        <v>45</v>
      </c>
      <c r="E2690" s="9" t="s">
        <v>44</v>
      </c>
      <c r="F2690" s="5" t="n">
        <v>12</v>
      </c>
      <c r="G2690" s="10"/>
      <c r="H2690" s="11" t="str">
        <f aca="false">IFERROR(IF($D2690="Manual Review","",IF($G2690="","",IF($D2690="Direct Expiry",$G2690,EDATE($G2690,$F2690)))),"Check Date")</f>
        <v/>
      </c>
      <c r="I2690" s="12" t="str">
        <f aca="true">IF($H2690="","",IF(ISNUMBER($H2690),$H2690-TODAY(),""))</f>
        <v/>
      </c>
      <c r="J2690" s="4" t="str">
        <f aca="true">IF($D2690="Manual Review","Manual Review",IF($G2690="","No Data",IF(NOT(ISNUMBER($H2690)),"N/A",IF($H2690&lt;TODAY(),"Overdue",IF($H2690&lt;=TODAY()+30,"Due within 1 Month",IF($H2690&lt;=TODAY()+60,"Due within 2 Months","OK"))))))</f>
        <v>No Data</v>
      </c>
      <c r="K2690" s="13"/>
    </row>
    <row r="2691" customFormat="false" ht="15" hidden="false" customHeight="false" outlineLevel="0" collapsed="false">
      <c r="A2691" s="9" t="str">
        <f aca="false">Vessels!B28</f>
        <v>Vessel 24</v>
      </c>
      <c r="B2691" s="9" t="s">
        <v>136</v>
      </c>
      <c r="C2691" s="7" t="s">
        <v>156</v>
      </c>
      <c r="D2691" s="9" t="s">
        <v>45</v>
      </c>
      <c r="E2691" s="9" t="s">
        <v>44</v>
      </c>
      <c r="F2691" s="5" t="n">
        <v>12</v>
      </c>
      <c r="G2691" s="10"/>
      <c r="H2691" s="11" t="str">
        <f aca="false">IFERROR(IF($D2691="Manual Review","",IF($G2691="","",IF($D2691="Direct Expiry",$G2691,EDATE($G2691,$F2691)))),"Check Date")</f>
        <v/>
      </c>
      <c r="I2691" s="12" t="str">
        <f aca="true">IF($H2691="","",IF(ISNUMBER($H2691),$H2691-TODAY(),""))</f>
        <v/>
      </c>
      <c r="J2691" s="4" t="str">
        <f aca="true">IF($D2691="Manual Review","Manual Review",IF($G2691="","No Data",IF(NOT(ISNUMBER($H2691)),"N/A",IF($H2691&lt;TODAY(),"Overdue",IF($H2691&lt;=TODAY()+30,"Due within 1 Month",IF($H2691&lt;=TODAY()+60,"Due within 2 Months","OK"))))))</f>
        <v>No Data</v>
      </c>
      <c r="K2691" s="13"/>
    </row>
    <row r="2692" customFormat="false" ht="15" hidden="false" customHeight="false" outlineLevel="0" collapsed="false">
      <c r="A2692" s="9" t="str">
        <f aca="false">Vessels!B28</f>
        <v>Vessel 24</v>
      </c>
      <c r="B2692" s="9" t="s">
        <v>136</v>
      </c>
      <c r="C2692" s="7" t="s">
        <v>157</v>
      </c>
      <c r="D2692" s="9" t="s">
        <v>45</v>
      </c>
      <c r="E2692" s="9" t="s">
        <v>44</v>
      </c>
      <c r="F2692" s="5" t="n">
        <v>12</v>
      </c>
      <c r="G2692" s="10"/>
      <c r="H2692" s="11" t="str">
        <f aca="false">IFERROR(IF($D2692="Manual Review","",IF($G2692="","",IF($D2692="Direct Expiry",$G2692,EDATE($G2692,$F2692)))),"Check Date")</f>
        <v/>
      </c>
      <c r="I2692" s="12" t="str">
        <f aca="true">IF($H2692="","",IF(ISNUMBER($H2692),$H2692-TODAY(),""))</f>
        <v/>
      </c>
      <c r="J2692" s="4" t="str">
        <f aca="true">IF($D2692="Manual Review","Manual Review",IF($G2692="","No Data",IF(NOT(ISNUMBER($H2692)),"N/A",IF($H2692&lt;TODAY(),"Overdue",IF($H2692&lt;=TODAY()+30,"Due within 1 Month",IF($H2692&lt;=TODAY()+60,"Due within 2 Months","OK"))))))</f>
        <v>No Data</v>
      </c>
      <c r="K2692" s="13"/>
    </row>
    <row r="2693" customFormat="false" ht="15" hidden="false" customHeight="false" outlineLevel="0" collapsed="false">
      <c r="A2693" s="9" t="str">
        <f aca="false">Vessels!B29</f>
        <v>Vessel 25</v>
      </c>
      <c r="B2693" s="9" t="s">
        <v>42</v>
      </c>
      <c r="C2693" s="7" t="s">
        <v>43</v>
      </c>
      <c r="D2693" s="9" t="s">
        <v>45</v>
      </c>
      <c r="E2693" s="9" t="s">
        <v>44</v>
      </c>
      <c r="F2693" s="5" t="n">
        <v>12</v>
      </c>
      <c r="G2693" s="10"/>
      <c r="H2693" s="11" t="str">
        <f aca="false">IFERROR(IF($D2693="Manual Review","",IF($G2693="","",IF($D2693="Direct Expiry",$G2693,EDATE($G2693,$F2693)))),"Check Date")</f>
        <v/>
      </c>
      <c r="I2693" s="12" t="str">
        <f aca="true">IF($H2693="","",IF(ISNUMBER($H2693),$H2693-TODAY(),""))</f>
        <v/>
      </c>
      <c r="J2693" s="4" t="str">
        <f aca="true">IF($D2693="Manual Review","Manual Review",IF($G2693="","No Data",IF(NOT(ISNUMBER($H2693)),"N/A",IF($H2693&lt;TODAY(),"Overdue",IF($H2693&lt;=TODAY()+30,"Due within 1 Month",IF($H2693&lt;=TODAY()+60,"Due within 2 Months","OK"))))))</f>
        <v>No Data</v>
      </c>
      <c r="K2693" s="13"/>
    </row>
    <row r="2694" customFormat="false" ht="15" hidden="false" customHeight="false" outlineLevel="0" collapsed="false">
      <c r="A2694" s="9" t="str">
        <f aca="false">Vessels!B29</f>
        <v>Vessel 25</v>
      </c>
      <c r="B2694" s="9" t="s">
        <v>42</v>
      </c>
      <c r="C2694" s="7" t="s">
        <v>43</v>
      </c>
      <c r="D2694" s="9" t="s">
        <v>45</v>
      </c>
      <c r="E2694" s="9" t="s">
        <v>46</v>
      </c>
      <c r="F2694" s="5" t="n">
        <v>60</v>
      </c>
      <c r="G2694" s="10"/>
      <c r="H2694" s="11" t="str">
        <f aca="false">IFERROR(IF($D2694="Manual Review","",IF($G2694="","",IF($D2694="Direct Expiry",$G2694,EDATE($G2694,$F2694)))),"Check Date")</f>
        <v/>
      </c>
      <c r="I2694" s="12" t="str">
        <f aca="true">IF($H2694="","",IF(ISNUMBER($H2694),$H2694-TODAY(),""))</f>
        <v/>
      </c>
      <c r="J2694" s="4" t="str">
        <f aca="true">IF($D2694="Manual Review","Manual Review",IF($G2694="","No Data",IF(NOT(ISNUMBER($H2694)),"N/A",IF($H2694&lt;TODAY(),"Overdue",IF($H2694&lt;=TODAY()+30,"Due within 1 Month",IF($H2694&lt;=TODAY()+60,"Due within 2 Months","OK"))))))</f>
        <v>No Data</v>
      </c>
      <c r="K2694" s="13"/>
    </row>
    <row r="2695" customFormat="false" ht="15" hidden="false" customHeight="false" outlineLevel="0" collapsed="false">
      <c r="A2695" s="9" t="str">
        <f aca="false">Vessels!B29</f>
        <v>Vessel 25</v>
      </c>
      <c r="B2695" s="9" t="s">
        <v>42</v>
      </c>
      <c r="C2695" s="7" t="s">
        <v>47</v>
      </c>
      <c r="D2695" s="9" t="s">
        <v>45</v>
      </c>
      <c r="E2695" s="9" t="s">
        <v>44</v>
      </c>
      <c r="F2695" s="5" t="n">
        <v>12</v>
      </c>
      <c r="G2695" s="10"/>
      <c r="H2695" s="11" t="str">
        <f aca="false">IFERROR(IF($D2695="Manual Review","",IF($G2695="","",IF($D2695="Direct Expiry",$G2695,EDATE($G2695,$F2695)))),"Check Date")</f>
        <v/>
      </c>
      <c r="I2695" s="12" t="str">
        <f aca="true">IF($H2695="","",IF(ISNUMBER($H2695),$H2695-TODAY(),""))</f>
        <v/>
      </c>
      <c r="J2695" s="4" t="str">
        <f aca="true">IF($D2695="Manual Review","Manual Review",IF($G2695="","No Data",IF(NOT(ISNUMBER($H2695)),"N/A",IF($H2695&lt;TODAY(),"Overdue",IF($H2695&lt;=TODAY()+30,"Due within 1 Month",IF($H2695&lt;=TODAY()+60,"Due within 2 Months","OK"))))))</f>
        <v>No Data</v>
      </c>
      <c r="K2695" s="13"/>
    </row>
    <row r="2696" customFormat="false" ht="15" hidden="false" customHeight="false" outlineLevel="0" collapsed="false">
      <c r="A2696" s="9" t="str">
        <f aca="false">Vessels!B29</f>
        <v>Vessel 25</v>
      </c>
      <c r="B2696" s="9" t="s">
        <v>42</v>
      </c>
      <c r="C2696" s="7" t="s">
        <v>47</v>
      </c>
      <c r="D2696" s="9" t="s">
        <v>45</v>
      </c>
      <c r="E2696" s="9" t="s">
        <v>46</v>
      </c>
      <c r="F2696" s="5" t="n">
        <v>60</v>
      </c>
      <c r="G2696" s="10"/>
      <c r="H2696" s="11" t="str">
        <f aca="false">IFERROR(IF($D2696="Manual Review","",IF($G2696="","",IF($D2696="Direct Expiry",$G2696,EDATE($G2696,$F2696)))),"Check Date")</f>
        <v/>
      </c>
      <c r="I2696" s="12" t="str">
        <f aca="true">IF($H2696="","",IF(ISNUMBER($H2696),$H2696-TODAY(),""))</f>
        <v/>
      </c>
      <c r="J2696" s="4" t="str">
        <f aca="true">IF($D2696="Manual Review","Manual Review",IF($G2696="","No Data",IF(NOT(ISNUMBER($H2696)),"N/A",IF($H2696&lt;TODAY(),"Overdue",IF($H2696&lt;=TODAY()+30,"Due within 1 Month",IF($H2696&lt;=TODAY()+60,"Due within 2 Months","OK"))))))</f>
        <v>No Data</v>
      </c>
      <c r="K2696" s="13"/>
    </row>
    <row r="2697" customFormat="false" ht="15" hidden="false" customHeight="false" outlineLevel="0" collapsed="false">
      <c r="A2697" s="9" t="str">
        <f aca="false">Vessels!B29</f>
        <v>Vessel 25</v>
      </c>
      <c r="B2697" s="9" t="s">
        <v>42</v>
      </c>
      <c r="C2697" s="7" t="s">
        <v>48</v>
      </c>
      <c r="D2697" s="9" t="s">
        <v>45</v>
      </c>
      <c r="E2697" s="9" t="s">
        <v>44</v>
      </c>
      <c r="F2697" s="5" t="n">
        <v>12</v>
      </c>
      <c r="G2697" s="10"/>
      <c r="H2697" s="11" t="str">
        <f aca="false">IFERROR(IF($D2697="Manual Review","",IF($G2697="","",IF($D2697="Direct Expiry",$G2697,EDATE($G2697,$F2697)))),"Check Date")</f>
        <v/>
      </c>
      <c r="I2697" s="12" t="str">
        <f aca="true">IF($H2697="","",IF(ISNUMBER($H2697),$H2697-TODAY(),""))</f>
        <v/>
      </c>
      <c r="J2697" s="4" t="str">
        <f aca="true">IF($D2697="Manual Review","Manual Review",IF($G2697="","No Data",IF(NOT(ISNUMBER($H2697)),"N/A",IF($H2697&lt;TODAY(),"Overdue",IF($H2697&lt;=TODAY()+30,"Due within 1 Month",IF($H2697&lt;=TODAY()+60,"Due within 2 Months","OK"))))))</f>
        <v>No Data</v>
      </c>
      <c r="K2697" s="13"/>
    </row>
    <row r="2698" customFormat="false" ht="15" hidden="false" customHeight="false" outlineLevel="0" collapsed="false">
      <c r="A2698" s="9" t="str">
        <f aca="false">Vessels!B29</f>
        <v>Vessel 25</v>
      </c>
      <c r="B2698" s="9" t="s">
        <v>42</v>
      </c>
      <c r="C2698" s="7" t="s">
        <v>48</v>
      </c>
      <c r="D2698" s="9" t="s">
        <v>45</v>
      </c>
      <c r="E2698" s="9" t="s">
        <v>49</v>
      </c>
      <c r="F2698" s="5" t="n">
        <v>60</v>
      </c>
      <c r="G2698" s="10"/>
      <c r="H2698" s="11" t="str">
        <f aca="false">IFERROR(IF($D2698="Manual Review","",IF($G2698="","",IF($D2698="Direct Expiry",$G2698,EDATE($G2698,$F2698)))),"Check Date")</f>
        <v/>
      </c>
      <c r="I2698" s="12" t="str">
        <f aca="true">IF($H2698="","",IF(ISNUMBER($H2698),$H2698-TODAY(),""))</f>
        <v/>
      </c>
      <c r="J2698" s="4" t="str">
        <f aca="true">IF($D2698="Manual Review","Manual Review",IF($G2698="","No Data",IF(NOT(ISNUMBER($H2698)),"N/A",IF($H2698&lt;TODAY(),"Overdue",IF($H2698&lt;=TODAY()+30,"Due within 1 Month",IF($H2698&lt;=TODAY()+60,"Due within 2 Months","OK"))))))</f>
        <v>No Data</v>
      </c>
      <c r="K2698" s="13"/>
    </row>
    <row r="2699" customFormat="false" ht="15" hidden="false" customHeight="false" outlineLevel="0" collapsed="false">
      <c r="A2699" s="9" t="str">
        <f aca="false">Vessels!B29</f>
        <v>Vessel 25</v>
      </c>
      <c r="B2699" s="9" t="s">
        <v>42</v>
      </c>
      <c r="C2699" s="7" t="s">
        <v>50</v>
      </c>
      <c r="D2699" s="9" t="s">
        <v>45</v>
      </c>
      <c r="E2699" s="9" t="s">
        <v>44</v>
      </c>
      <c r="F2699" s="5" t="n">
        <v>12</v>
      </c>
      <c r="G2699" s="10"/>
      <c r="H2699" s="11" t="str">
        <f aca="false">IFERROR(IF($D2699="Manual Review","",IF($G2699="","",IF($D2699="Direct Expiry",$G2699,EDATE($G2699,$F2699)))),"Check Date")</f>
        <v/>
      </c>
      <c r="I2699" s="12" t="str">
        <f aca="true">IF($H2699="","",IF(ISNUMBER($H2699),$H2699-TODAY(),""))</f>
        <v/>
      </c>
      <c r="J2699" s="4" t="str">
        <f aca="true">IF($D2699="Manual Review","Manual Review",IF($G2699="","No Data",IF(NOT(ISNUMBER($H2699)),"N/A",IF($H2699&lt;TODAY(),"Overdue",IF($H2699&lt;=TODAY()+30,"Due within 1 Month",IF($H2699&lt;=TODAY()+60,"Due within 2 Months","OK"))))))</f>
        <v>No Data</v>
      </c>
      <c r="K2699" s="13"/>
    </row>
    <row r="2700" customFormat="false" ht="15" hidden="false" customHeight="false" outlineLevel="0" collapsed="false">
      <c r="A2700" s="9" t="str">
        <f aca="false">Vessels!B29</f>
        <v>Vessel 25</v>
      </c>
      <c r="B2700" s="9" t="s">
        <v>42</v>
      </c>
      <c r="C2700" s="7" t="s">
        <v>50</v>
      </c>
      <c r="D2700" s="9" t="s">
        <v>45</v>
      </c>
      <c r="E2700" s="9" t="s">
        <v>49</v>
      </c>
      <c r="F2700" s="5" t="n">
        <v>60</v>
      </c>
      <c r="G2700" s="10"/>
      <c r="H2700" s="11" t="str">
        <f aca="false">IFERROR(IF($D2700="Manual Review","",IF($G2700="","",IF($D2700="Direct Expiry",$G2700,EDATE($G2700,$F2700)))),"Check Date")</f>
        <v/>
      </c>
      <c r="I2700" s="12" t="str">
        <f aca="true">IF($H2700="","",IF(ISNUMBER($H2700),$H2700-TODAY(),""))</f>
        <v/>
      </c>
      <c r="J2700" s="4" t="str">
        <f aca="true">IF($D2700="Manual Review","Manual Review",IF($G2700="","No Data",IF(NOT(ISNUMBER($H2700)),"N/A",IF($H2700&lt;TODAY(),"Overdue",IF($H2700&lt;=TODAY()+30,"Due within 1 Month",IF($H2700&lt;=TODAY()+60,"Due within 2 Months","OK"))))))</f>
        <v>No Data</v>
      </c>
      <c r="K2700" s="13"/>
    </row>
    <row r="2701" customFormat="false" ht="15" hidden="false" customHeight="false" outlineLevel="0" collapsed="false">
      <c r="A2701" s="9" t="str">
        <f aca="false">Vessels!B29</f>
        <v>Vessel 25</v>
      </c>
      <c r="B2701" s="9" t="s">
        <v>42</v>
      </c>
      <c r="C2701" s="7" t="s">
        <v>51</v>
      </c>
      <c r="D2701" s="9" t="s">
        <v>45</v>
      </c>
      <c r="E2701" s="9" t="s">
        <v>46</v>
      </c>
      <c r="F2701" s="5" t="n">
        <v>60</v>
      </c>
      <c r="G2701" s="10"/>
      <c r="H2701" s="11" t="str">
        <f aca="false">IFERROR(IF($D2701="Manual Review","",IF($G2701="","",IF($D2701="Direct Expiry",$G2701,EDATE($G2701,$F2701)))),"Check Date")</f>
        <v/>
      </c>
      <c r="I2701" s="12" t="str">
        <f aca="true">IF($H2701="","",IF(ISNUMBER($H2701),$H2701-TODAY(),""))</f>
        <v/>
      </c>
      <c r="J2701" s="4" t="str">
        <f aca="true">IF($D2701="Manual Review","Manual Review",IF($G2701="","No Data",IF(NOT(ISNUMBER($H2701)),"N/A",IF($H2701&lt;TODAY(),"Overdue",IF($H2701&lt;=TODAY()+30,"Due within 1 Month",IF($H2701&lt;=TODAY()+60,"Due within 2 Months","OK"))))))</f>
        <v>No Data</v>
      </c>
      <c r="K2701" s="13"/>
    </row>
    <row r="2702" customFormat="false" ht="15" hidden="false" customHeight="false" outlineLevel="0" collapsed="false">
      <c r="A2702" s="9" t="str">
        <f aca="false">Vessels!B29</f>
        <v>Vessel 25</v>
      </c>
      <c r="B2702" s="9" t="s">
        <v>42</v>
      </c>
      <c r="C2702" s="7" t="s">
        <v>52</v>
      </c>
      <c r="D2702" s="9" t="s">
        <v>45</v>
      </c>
      <c r="E2702" s="9" t="s">
        <v>46</v>
      </c>
      <c r="F2702" s="5" t="n">
        <v>60</v>
      </c>
      <c r="G2702" s="10"/>
      <c r="H2702" s="11" t="str">
        <f aca="false">IFERROR(IF($D2702="Manual Review","",IF($G2702="","",IF($D2702="Direct Expiry",$G2702,EDATE($G2702,$F2702)))),"Check Date")</f>
        <v/>
      </c>
      <c r="I2702" s="12" t="str">
        <f aca="true">IF($H2702="","",IF(ISNUMBER($H2702),$H2702-TODAY(),""))</f>
        <v/>
      </c>
      <c r="J2702" s="4" t="str">
        <f aca="true">IF($D2702="Manual Review","Manual Review",IF($G2702="","No Data",IF(NOT(ISNUMBER($H2702)),"N/A",IF($H2702&lt;TODAY(),"Overdue",IF($H2702&lt;=TODAY()+30,"Due within 1 Month",IF($H2702&lt;=TODAY()+60,"Due within 2 Months","OK"))))))</f>
        <v>No Data</v>
      </c>
      <c r="K2702" s="13"/>
    </row>
    <row r="2703" customFormat="false" ht="15" hidden="false" customHeight="false" outlineLevel="0" collapsed="false">
      <c r="A2703" s="9" t="str">
        <f aca="false">Vessels!B29</f>
        <v>Vessel 25</v>
      </c>
      <c r="B2703" s="9" t="s">
        <v>42</v>
      </c>
      <c r="C2703" s="7" t="s">
        <v>53</v>
      </c>
      <c r="D2703" s="9" t="s">
        <v>45</v>
      </c>
      <c r="E2703" s="9" t="s">
        <v>46</v>
      </c>
      <c r="F2703" s="5" t="n">
        <v>60</v>
      </c>
      <c r="G2703" s="10"/>
      <c r="H2703" s="11" t="str">
        <f aca="false">IFERROR(IF($D2703="Manual Review","",IF($G2703="","",IF($D2703="Direct Expiry",$G2703,EDATE($G2703,$F2703)))),"Check Date")</f>
        <v/>
      </c>
      <c r="I2703" s="12" t="str">
        <f aca="true">IF($H2703="","",IF(ISNUMBER($H2703),$H2703-TODAY(),""))</f>
        <v/>
      </c>
      <c r="J2703" s="4" t="str">
        <f aca="true">IF($D2703="Manual Review","Manual Review",IF($G2703="","No Data",IF(NOT(ISNUMBER($H2703)),"N/A",IF($H2703&lt;TODAY(),"Overdue",IF($H2703&lt;=TODAY()+30,"Due within 1 Month",IF($H2703&lt;=TODAY()+60,"Due within 2 Months","OK"))))))</f>
        <v>No Data</v>
      </c>
      <c r="K2703" s="13"/>
    </row>
    <row r="2704" customFormat="false" ht="15" hidden="false" customHeight="false" outlineLevel="0" collapsed="false">
      <c r="A2704" s="9" t="str">
        <f aca="false">Vessels!B29</f>
        <v>Vessel 25</v>
      </c>
      <c r="B2704" s="9" t="s">
        <v>42</v>
      </c>
      <c r="C2704" s="7" t="s">
        <v>54</v>
      </c>
      <c r="D2704" s="9" t="s">
        <v>45</v>
      </c>
      <c r="E2704" s="9" t="s">
        <v>46</v>
      </c>
      <c r="F2704" s="5" t="n">
        <v>60</v>
      </c>
      <c r="G2704" s="10"/>
      <c r="H2704" s="11" t="str">
        <f aca="false">IFERROR(IF($D2704="Manual Review","",IF($G2704="","",IF($D2704="Direct Expiry",$G2704,EDATE($G2704,$F2704)))),"Check Date")</f>
        <v/>
      </c>
      <c r="I2704" s="12" t="str">
        <f aca="true">IF($H2704="","",IF(ISNUMBER($H2704),$H2704-TODAY(),""))</f>
        <v/>
      </c>
      <c r="J2704" s="4" t="str">
        <f aca="true">IF($D2704="Manual Review","Manual Review",IF($G2704="","No Data",IF(NOT(ISNUMBER($H2704)),"N/A",IF($H2704&lt;TODAY(),"Overdue",IF($H2704&lt;=TODAY()+30,"Due within 1 Month",IF($H2704&lt;=TODAY()+60,"Due within 2 Months","OK"))))))</f>
        <v>No Data</v>
      </c>
      <c r="K2704" s="13"/>
    </row>
    <row r="2705" customFormat="false" ht="15" hidden="false" customHeight="false" outlineLevel="0" collapsed="false">
      <c r="A2705" s="9" t="str">
        <f aca="false">Vessels!B29</f>
        <v>Vessel 25</v>
      </c>
      <c r="B2705" s="9" t="s">
        <v>42</v>
      </c>
      <c r="C2705" s="7" t="s">
        <v>55</v>
      </c>
      <c r="D2705" s="9" t="s">
        <v>45</v>
      </c>
      <c r="E2705" s="9" t="s">
        <v>46</v>
      </c>
      <c r="F2705" s="5" t="n">
        <v>60</v>
      </c>
      <c r="G2705" s="10"/>
      <c r="H2705" s="11" t="str">
        <f aca="false">IFERROR(IF($D2705="Manual Review","",IF($G2705="","",IF($D2705="Direct Expiry",$G2705,EDATE($G2705,$F2705)))),"Check Date")</f>
        <v/>
      </c>
      <c r="I2705" s="12" t="str">
        <f aca="true">IF($H2705="","",IF(ISNUMBER($H2705),$H2705-TODAY(),""))</f>
        <v/>
      </c>
      <c r="J2705" s="4" t="str">
        <f aca="true">IF($D2705="Manual Review","Manual Review",IF($G2705="","No Data",IF(NOT(ISNUMBER($H2705)),"N/A",IF($H2705&lt;TODAY(),"Overdue",IF($H2705&lt;=TODAY()+30,"Due within 1 Month",IF($H2705&lt;=TODAY()+60,"Due within 2 Months","OK"))))))</f>
        <v>No Data</v>
      </c>
      <c r="K2705" s="13"/>
    </row>
    <row r="2706" customFormat="false" ht="15" hidden="false" customHeight="false" outlineLevel="0" collapsed="false">
      <c r="A2706" s="9" t="str">
        <f aca="false">Vessels!B29</f>
        <v>Vessel 25</v>
      </c>
      <c r="B2706" s="9" t="s">
        <v>42</v>
      </c>
      <c r="C2706" s="7" t="s">
        <v>56</v>
      </c>
      <c r="D2706" s="9" t="s">
        <v>45</v>
      </c>
      <c r="E2706" s="9" t="s">
        <v>46</v>
      </c>
      <c r="F2706" s="5" t="n">
        <v>60</v>
      </c>
      <c r="G2706" s="10"/>
      <c r="H2706" s="11" t="str">
        <f aca="false">IFERROR(IF($D2706="Manual Review","",IF($G2706="","",IF($D2706="Direct Expiry",$G2706,EDATE($G2706,$F2706)))),"Check Date")</f>
        <v/>
      </c>
      <c r="I2706" s="12" t="str">
        <f aca="true">IF($H2706="","",IF(ISNUMBER($H2706),$H2706-TODAY(),""))</f>
        <v/>
      </c>
      <c r="J2706" s="4" t="str">
        <f aca="true">IF($D2706="Manual Review","Manual Review",IF($G2706="","No Data",IF(NOT(ISNUMBER($H2706)),"N/A",IF($H2706&lt;TODAY(),"Overdue",IF($H2706&lt;=TODAY()+30,"Due within 1 Month",IF($H2706&lt;=TODAY()+60,"Due within 2 Months","OK"))))))</f>
        <v>No Data</v>
      </c>
      <c r="K2706" s="13"/>
    </row>
    <row r="2707" customFormat="false" ht="15" hidden="false" customHeight="false" outlineLevel="0" collapsed="false">
      <c r="A2707" s="9" t="str">
        <f aca="false">Vessels!B29</f>
        <v>Vessel 25</v>
      </c>
      <c r="B2707" s="9" t="s">
        <v>42</v>
      </c>
      <c r="C2707" s="7" t="s">
        <v>57</v>
      </c>
      <c r="D2707" s="9" t="s">
        <v>59</v>
      </c>
      <c r="E2707" s="9" t="s">
        <v>58</v>
      </c>
      <c r="F2707" s="5"/>
      <c r="G2707" s="10"/>
      <c r="H2707" s="11" t="str">
        <f aca="false">IFERROR(IF($D2707="Manual Review","",IF($G2707="","",IF($D2707="Direct Expiry",$G2707,EDATE($G2707,$F2707)))),"Check Date")</f>
        <v/>
      </c>
      <c r="I2707" s="12" t="str">
        <f aca="true">IF($H2707="","",IF(ISNUMBER($H2707),$H2707-TODAY(),""))</f>
        <v/>
      </c>
      <c r="J2707" s="4" t="str">
        <f aca="true">IF($D2707="Manual Review","Manual Review",IF($G2707="","No Data",IF(NOT(ISNUMBER($H2707)),"N/A",IF($H2707&lt;TODAY(),"Overdue",IF($H2707&lt;=TODAY()+30,"Due within 1 Month",IF($H2707&lt;=TODAY()+60,"Due within 2 Months","OK"))))))</f>
        <v>No Data</v>
      </c>
      <c r="K2707" s="13"/>
    </row>
    <row r="2708" customFormat="false" ht="15" hidden="false" customHeight="false" outlineLevel="0" collapsed="false">
      <c r="A2708" s="9" t="str">
        <f aca="false">Vessels!B29</f>
        <v>Vessel 25</v>
      </c>
      <c r="B2708" s="9" t="s">
        <v>42</v>
      </c>
      <c r="C2708" s="7" t="s">
        <v>60</v>
      </c>
      <c r="D2708" s="9" t="s">
        <v>45</v>
      </c>
      <c r="E2708" s="9" t="s">
        <v>44</v>
      </c>
      <c r="F2708" s="5" t="n">
        <v>12</v>
      </c>
      <c r="G2708" s="10"/>
      <c r="H2708" s="11" t="str">
        <f aca="false">IFERROR(IF($D2708="Manual Review","",IF($G2708="","",IF($D2708="Direct Expiry",$G2708,EDATE($G2708,$F2708)))),"Check Date")</f>
        <v/>
      </c>
      <c r="I2708" s="12" t="str">
        <f aca="true">IF($H2708="","",IF(ISNUMBER($H2708),$H2708-TODAY(),""))</f>
        <v/>
      </c>
      <c r="J2708" s="4" t="str">
        <f aca="true">IF($D2708="Manual Review","Manual Review",IF($G2708="","No Data",IF(NOT(ISNUMBER($H2708)),"N/A",IF($H2708&lt;TODAY(),"Overdue",IF($H2708&lt;=TODAY()+30,"Due within 1 Month",IF($H2708&lt;=TODAY()+60,"Due within 2 Months","OK"))))))</f>
        <v>No Data</v>
      </c>
      <c r="K2708" s="13"/>
    </row>
    <row r="2709" customFormat="false" ht="15" hidden="false" customHeight="false" outlineLevel="0" collapsed="false">
      <c r="A2709" s="9" t="str">
        <f aca="false">Vessels!B29</f>
        <v>Vessel 25</v>
      </c>
      <c r="B2709" s="9" t="s">
        <v>42</v>
      </c>
      <c r="C2709" s="7" t="s">
        <v>60</v>
      </c>
      <c r="D2709" s="9" t="s">
        <v>45</v>
      </c>
      <c r="E2709" s="9" t="s">
        <v>46</v>
      </c>
      <c r="F2709" s="5" t="n">
        <v>60</v>
      </c>
      <c r="G2709" s="10"/>
      <c r="H2709" s="11" t="str">
        <f aca="false">IFERROR(IF($D2709="Manual Review","",IF($G2709="","",IF($D2709="Direct Expiry",$G2709,EDATE($G2709,$F2709)))),"Check Date")</f>
        <v/>
      </c>
      <c r="I2709" s="12" t="str">
        <f aca="true">IF($H2709="","",IF(ISNUMBER($H2709),$H2709-TODAY(),""))</f>
        <v/>
      </c>
      <c r="J2709" s="4" t="str">
        <f aca="true">IF($D2709="Manual Review","Manual Review",IF($G2709="","No Data",IF(NOT(ISNUMBER($H2709)),"N/A",IF($H2709&lt;TODAY(),"Overdue",IF($H2709&lt;=TODAY()+30,"Due within 1 Month",IF($H2709&lt;=TODAY()+60,"Due within 2 Months","OK"))))))</f>
        <v>No Data</v>
      </c>
      <c r="K2709" s="13"/>
    </row>
    <row r="2710" customFormat="false" ht="15" hidden="false" customHeight="false" outlineLevel="0" collapsed="false">
      <c r="A2710" s="9" t="str">
        <f aca="false">Vessels!B29</f>
        <v>Vessel 25</v>
      </c>
      <c r="B2710" s="9" t="s">
        <v>42</v>
      </c>
      <c r="C2710" s="7" t="s">
        <v>61</v>
      </c>
      <c r="D2710" s="9" t="s">
        <v>45</v>
      </c>
      <c r="E2710" s="9" t="s">
        <v>44</v>
      </c>
      <c r="F2710" s="5" t="n">
        <v>12</v>
      </c>
      <c r="G2710" s="10"/>
      <c r="H2710" s="11" t="str">
        <f aca="false">IFERROR(IF($D2710="Manual Review","",IF($G2710="","",IF($D2710="Direct Expiry",$G2710,EDATE($G2710,$F2710)))),"Check Date")</f>
        <v/>
      </c>
      <c r="I2710" s="12" t="str">
        <f aca="true">IF($H2710="","",IF(ISNUMBER($H2710),$H2710-TODAY(),""))</f>
        <v/>
      </c>
      <c r="J2710" s="4" t="str">
        <f aca="true">IF($D2710="Manual Review","Manual Review",IF($G2710="","No Data",IF(NOT(ISNUMBER($H2710)),"N/A",IF($H2710&lt;TODAY(),"Overdue",IF($H2710&lt;=TODAY()+30,"Due within 1 Month",IF($H2710&lt;=TODAY()+60,"Due within 2 Months","OK"))))))</f>
        <v>No Data</v>
      </c>
      <c r="K2710" s="13"/>
    </row>
    <row r="2711" customFormat="false" ht="15" hidden="false" customHeight="false" outlineLevel="0" collapsed="false">
      <c r="A2711" s="9" t="str">
        <f aca="false">Vessels!B29</f>
        <v>Vessel 25</v>
      </c>
      <c r="B2711" s="9" t="s">
        <v>42</v>
      </c>
      <c r="C2711" s="7" t="s">
        <v>61</v>
      </c>
      <c r="D2711" s="9" t="s">
        <v>45</v>
      </c>
      <c r="E2711" s="9" t="s">
        <v>46</v>
      </c>
      <c r="F2711" s="5" t="n">
        <v>60</v>
      </c>
      <c r="G2711" s="10"/>
      <c r="H2711" s="11" t="str">
        <f aca="false">IFERROR(IF($D2711="Manual Review","",IF($G2711="","",IF($D2711="Direct Expiry",$G2711,EDATE($G2711,$F2711)))),"Check Date")</f>
        <v/>
      </c>
      <c r="I2711" s="12" t="str">
        <f aca="true">IF($H2711="","",IF(ISNUMBER($H2711),$H2711-TODAY(),""))</f>
        <v/>
      </c>
      <c r="J2711" s="4" t="str">
        <f aca="true">IF($D2711="Manual Review","Manual Review",IF($G2711="","No Data",IF(NOT(ISNUMBER($H2711)),"N/A",IF($H2711&lt;TODAY(),"Overdue",IF($H2711&lt;=TODAY()+30,"Due within 1 Month",IF($H2711&lt;=TODAY()+60,"Due within 2 Months","OK"))))))</f>
        <v>No Data</v>
      </c>
      <c r="K2711" s="13"/>
    </row>
    <row r="2712" customFormat="false" ht="15" hidden="false" customHeight="false" outlineLevel="0" collapsed="false">
      <c r="A2712" s="9" t="str">
        <f aca="false">Vessels!B29</f>
        <v>Vessel 25</v>
      </c>
      <c r="B2712" s="9" t="s">
        <v>42</v>
      </c>
      <c r="C2712" s="7" t="s">
        <v>62</v>
      </c>
      <c r="D2712" s="9" t="s">
        <v>45</v>
      </c>
      <c r="E2712" s="9" t="s">
        <v>44</v>
      </c>
      <c r="F2712" s="5" t="n">
        <v>12</v>
      </c>
      <c r="G2712" s="10"/>
      <c r="H2712" s="11" t="str">
        <f aca="false">IFERROR(IF($D2712="Manual Review","",IF($G2712="","",IF($D2712="Direct Expiry",$G2712,EDATE($G2712,$F2712)))),"Check Date")</f>
        <v/>
      </c>
      <c r="I2712" s="12" t="str">
        <f aca="true">IF($H2712="","",IF(ISNUMBER($H2712),$H2712-TODAY(),""))</f>
        <v/>
      </c>
      <c r="J2712" s="4" t="str">
        <f aca="true">IF($D2712="Manual Review","Manual Review",IF($G2712="","No Data",IF(NOT(ISNUMBER($H2712)),"N/A",IF($H2712&lt;TODAY(),"Overdue",IF($H2712&lt;=TODAY()+30,"Due within 1 Month",IF($H2712&lt;=TODAY()+60,"Due within 2 Months","OK"))))))</f>
        <v>No Data</v>
      </c>
      <c r="K2712" s="13"/>
    </row>
    <row r="2713" customFormat="false" ht="15" hidden="false" customHeight="false" outlineLevel="0" collapsed="false">
      <c r="A2713" s="9" t="str">
        <f aca="false">Vessels!B29</f>
        <v>Vessel 25</v>
      </c>
      <c r="B2713" s="9" t="s">
        <v>42</v>
      </c>
      <c r="C2713" s="7" t="s">
        <v>62</v>
      </c>
      <c r="D2713" s="9" t="s">
        <v>45</v>
      </c>
      <c r="E2713" s="9" t="s">
        <v>49</v>
      </c>
      <c r="F2713" s="5" t="n">
        <v>60</v>
      </c>
      <c r="G2713" s="10"/>
      <c r="H2713" s="11" t="str">
        <f aca="false">IFERROR(IF($D2713="Manual Review","",IF($G2713="","",IF($D2713="Direct Expiry",$G2713,EDATE($G2713,$F2713)))),"Check Date")</f>
        <v/>
      </c>
      <c r="I2713" s="12" t="str">
        <f aca="true">IF($H2713="","",IF(ISNUMBER($H2713),$H2713-TODAY(),""))</f>
        <v/>
      </c>
      <c r="J2713" s="4" t="str">
        <f aca="true">IF($D2713="Manual Review","Manual Review",IF($G2713="","No Data",IF(NOT(ISNUMBER($H2713)),"N/A",IF($H2713&lt;TODAY(),"Overdue",IF($H2713&lt;=TODAY()+30,"Due within 1 Month",IF($H2713&lt;=TODAY()+60,"Due within 2 Months","OK"))))))</f>
        <v>No Data</v>
      </c>
      <c r="K2713" s="13"/>
    </row>
    <row r="2714" customFormat="false" ht="15" hidden="false" customHeight="false" outlineLevel="0" collapsed="false">
      <c r="A2714" s="9" t="str">
        <f aca="false">Vessels!B29</f>
        <v>Vessel 25</v>
      </c>
      <c r="B2714" s="9" t="s">
        <v>42</v>
      </c>
      <c r="C2714" s="7" t="s">
        <v>63</v>
      </c>
      <c r="D2714" s="9" t="s">
        <v>45</v>
      </c>
      <c r="E2714" s="9" t="s">
        <v>44</v>
      </c>
      <c r="F2714" s="5" t="n">
        <v>12</v>
      </c>
      <c r="G2714" s="10"/>
      <c r="H2714" s="11" t="str">
        <f aca="false">IFERROR(IF($D2714="Manual Review","",IF($G2714="","",IF($D2714="Direct Expiry",$G2714,EDATE($G2714,$F2714)))),"Check Date")</f>
        <v/>
      </c>
      <c r="I2714" s="12" t="str">
        <f aca="true">IF($H2714="","",IF(ISNUMBER($H2714),$H2714-TODAY(),""))</f>
        <v/>
      </c>
      <c r="J2714" s="4" t="str">
        <f aca="true">IF($D2714="Manual Review","Manual Review",IF($G2714="","No Data",IF(NOT(ISNUMBER($H2714)),"N/A",IF($H2714&lt;TODAY(),"Overdue",IF($H2714&lt;=TODAY()+30,"Due within 1 Month",IF($H2714&lt;=TODAY()+60,"Due within 2 Months","OK"))))))</f>
        <v>No Data</v>
      </c>
      <c r="K2714" s="13"/>
    </row>
    <row r="2715" customFormat="false" ht="15" hidden="false" customHeight="false" outlineLevel="0" collapsed="false">
      <c r="A2715" s="9" t="str">
        <f aca="false">Vessels!B29</f>
        <v>Vessel 25</v>
      </c>
      <c r="B2715" s="9" t="s">
        <v>42</v>
      </c>
      <c r="C2715" s="7" t="s">
        <v>63</v>
      </c>
      <c r="D2715" s="9" t="s">
        <v>45</v>
      </c>
      <c r="E2715" s="9" t="s">
        <v>49</v>
      </c>
      <c r="F2715" s="5" t="n">
        <v>60</v>
      </c>
      <c r="G2715" s="10"/>
      <c r="H2715" s="11" t="str">
        <f aca="false">IFERROR(IF($D2715="Manual Review","",IF($G2715="","",IF($D2715="Direct Expiry",$G2715,EDATE($G2715,$F2715)))),"Check Date")</f>
        <v/>
      </c>
      <c r="I2715" s="12" t="str">
        <f aca="true">IF($H2715="","",IF(ISNUMBER($H2715),$H2715-TODAY(),""))</f>
        <v/>
      </c>
      <c r="J2715" s="4" t="str">
        <f aca="true">IF($D2715="Manual Review","Manual Review",IF($G2715="","No Data",IF(NOT(ISNUMBER($H2715)),"N/A",IF($H2715&lt;TODAY(),"Overdue",IF($H2715&lt;=TODAY()+30,"Due within 1 Month",IF($H2715&lt;=TODAY()+60,"Due within 2 Months","OK"))))))</f>
        <v>No Data</v>
      </c>
      <c r="K2715" s="13"/>
    </row>
    <row r="2716" customFormat="false" ht="15" hidden="false" customHeight="false" outlineLevel="0" collapsed="false">
      <c r="A2716" s="9" t="str">
        <f aca="false">Vessels!B29</f>
        <v>Vessel 25</v>
      </c>
      <c r="B2716" s="9" t="s">
        <v>42</v>
      </c>
      <c r="C2716" s="7" t="s">
        <v>64</v>
      </c>
      <c r="D2716" s="9" t="s">
        <v>45</v>
      </c>
      <c r="E2716" s="9" t="s">
        <v>46</v>
      </c>
      <c r="F2716" s="5" t="n">
        <v>60</v>
      </c>
      <c r="G2716" s="10"/>
      <c r="H2716" s="11" t="str">
        <f aca="false">IFERROR(IF($D2716="Manual Review","",IF($G2716="","",IF($D2716="Direct Expiry",$G2716,EDATE($G2716,$F2716)))),"Check Date")</f>
        <v/>
      </c>
      <c r="I2716" s="12" t="str">
        <f aca="true">IF($H2716="","",IF(ISNUMBER($H2716),$H2716-TODAY(),""))</f>
        <v/>
      </c>
      <c r="J2716" s="4" t="str">
        <f aca="true">IF($D2716="Manual Review","Manual Review",IF($G2716="","No Data",IF(NOT(ISNUMBER($H2716)),"N/A",IF($H2716&lt;TODAY(),"Overdue",IF($H2716&lt;=TODAY()+30,"Due within 1 Month",IF($H2716&lt;=TODAY()+60,"Due within 2 Months","OK"))))))</f>
        <v>No Data</v>
      </c>
      <c r="K2716" s="13"/>
    </row>
    <row r="2717" customFormat="false" ht="15" hidden="false" customHeight="false" outlineLevel="0" collapsed="false">
      <c r="A2717" s="9" t="str">
        <f aca="false">Vessels!B29</f>
        <v>Vessel 25</v>
      </c>
      <c r="B2717" s="9" t="s">
        <v>42</v>
      </c>
      <c r="C2717" s="7" t="s">
        <v>65</v>
      </c>
      <c r="D2717" s="9" t="s">
        <v>45</v>
      </c>
      <c r="E2717" s="9" t="s">
        <v>46</v>
      </c>
      <c r="F2717" s="5" t="n">
        <v>60</v>
      </c>
      <c r="G2717" s="10"/>
      <c r="H2717" s="11" t="str">
        <f aca="false">IFERROR(IF($D2717="Manual Review","",IF($G2717="","",IF($D2717="Direct Expiry",$G2717,EDATE($G2717,$F2717)))),"Check Date")</f>
        <v/>
      </c>
      <c r="I2717" s="12" t="str">
        <f aca="true">IF($H2717="","",IF(ISNUMBER($H2717),$H2717-TODAY(),""))</f>
        <v/>
      </c>
      <c r="J2717" s="4" t="str">
        <f aca="true">IF($D2717="Manual Review","Manual Review",IF($G2717="","No Data",IF(NOT(ISNUMBER($H2717)),"N/A",IF($H2717&lt;TODAY(),"Overdue",IF($H2717&lt;=TODAY()+30,"Due within 1 Month",IF($H2717&lt;=TODAY()+60,"Due within 2 Months","OK"))))))</f>
        <v>No Data</v>
      </c>
      <c r="K2717" s="13"/>
    </row>
    <row r="2718" customFormat="false" ht="15" hidden="false" customHeight="false" outlineLevel="0" collapsed="false">
      <c r="A2718" s="9" t="str">
        <f aca="false">Vessels!B29</f>
        <v>Vessel 25</v>
      </c>
      <c r="B2718" s="9" t="s">
        <v>42</v>
      </c>
      <c r="C2718" s="7" t="s">
        <v>66</v>
      </c>
      <c r="D2718" s="9" t="s">
        <v>45</v>
      </c>
      <c r="E2718" s="9" t="s">
        <v>46</v>
      </c>
      <c r="F2718" s="5" t="n">
        <v>60</v>
      </c>
      <c r="G2718" s="10"/>
      <c r="H2718" s="11" t="str">
        <f aca="false">IFERROR(IF($D2718="Manual Review","",IF($G2718="","",IF($D2718="Direct Expiry",$G2718,EDATE($G2718,$F2718)))),"Check Date")</f>
        <v/>
      </c>
      <c r="I2718" s="12" t="str">
        <f aca="true">IF($H2718="","",IF(ISNUMBER($H2718),$H2718-TODAY(),""))</f>
        <v/>
      </c>
      <c r="J2718" s="4" t="str">
        <f aca="true">IF($D2718="Manual Review","Manual Review",IF($G2718="","No Data",IF(NOT(ISNUMBER($H2718)),"N/A",IF($H2718&lt;TODAY(),"Overdue",IF($H2718&lt;=TODAY()+30,"Due within 1 Month",IF($H2718&lt;=TODAY()+60,"Due within 2 Months","OK"))))))</f>
        <v>No Data</v>
      </c>
      <c r="K2718" s="13"/>
    </row>
    <row r="2719" customFormat="false" ht="15" hidden="false" customHeight="false" outlineLevel="0" collapsed="false">
      <c r="A2719" s="9" t="str">
        <f aca="false">Vessels!B29</f>
        <v>Vessel 25</v>
      </c>
      <c r="B2719" s="9" t="s">
        <v>42</v>
      </c>
      <c r="C2719" s="7" t="s">
        <v>67</v>
      </c>
      <c r="D2719" s="9" t="s">
        <v>45</v>
      </c>
      <c r="E2719" s="9" t="s">
        <v>46</v>
      </c>
      <c r="F2719" s="5" t="n">
        <v>60</v>
      </c>
      <c r="G2719" s="10"/>
      <c r="H2719" s="11" t="str">
        <f aca="false">IFERROR(IF($D2719="Manual Review","",IF($G2719="","",IF($D2719="Direct Expiry",$G2719,EDATE($G2719,$F2719)))),"Check Date")</f>
        <v/>
      </c>
      <c r="I2719" s="12" t="str">
        <f aca="true">IF($H2719="","",IF(ISNUMBER($H2719),$H2719-TODAY(),""))</f>
        <v/>
      </c>
      <c r="J2719" s="4" t="str">
        <f aca="true">IF($D2719="Manual Review","Manual Review",IF($G2719="","No Data",IF(NOT(ISNUMBER($H2719)),"N/A",IF($H2719&lt;TODAY(),"Overdue",IF($H2719&lt;=TODAY()+30,"Due within 1 Month",IF($H2719&lt;=TODAY()+60,"Due within 2 Months","OK"))))))</f>
        <v>No Data</v>
      </c>
      <c r="K2719" s="13"/>
    </row>
    <row r="2720" customFormat="false" ht="15" hidden="false" customHeight="false" outlineLevel="0" collapsed="false">
      <c r="A2720" s="9" t="str">
        <f aca="false">Vessels!B29</f>
        <v>Vessel 25</v>
      </c>
      <c r="B2720" s="9" t="s">
        <v>42</v>
      </c>
      <c r="C2720" s="7" t="s">
        <v>68</v>
      </c>
      <c r="D2720" s="9" t="s">
        <v>45</v>
      </c>
      <c r="E2720" s="9" t="s">
        <v>46</v>
      </c>
      <c r="F2720" s="5" t="n">
        <v>60</v>
      </c>
      <c r="G2720" s="10"/>
      <c r="H2720" s="11" t="str">
        <f aca="false">IFERROR(IF($D2720="Manual Review","",IF($G2720="","",IF($D2720="Direct Expiry",$G2720,EDATE($G2720,$F2720)))),"Check Date")</f>
        <v/>
      </c>
      <c r="I2720" s="12" t="str">
        <f aca="true">IF($H2720="","",IF(ISNUMBER($H2720),$H2720-TODAY(),""))</f>
        <v/>
      </c>
      <c r="J2720" s="4" t="str">
        <f aca="true">IF($D2720="Manual Review","Manual Review",IF($G2720="","No Data",IF(NOT(ISNUMBER($H2720)),"N/A",IF($H2720&lt;TODAY(),"Overdue",IF($H2720&lt;=TODAY()+30,"Due within 1 Month",IF($H2720&lt;=TODAY()+60,"Due within 2 Months","OK"))))))</f>
        <v>No Data</v>
      </c>
      <c r="K2720" s="13"/>
    </row>
    <row r="2721" customFormat="false" ht="15" hidden="false" customHeight="false" outlineLevel="0" collapsed="false">
      <c r="A2721" s="9" t="str">
        <f aca="false">Vessels!B29</f>
        <v>Vessel 25</v>
      </c>
      <c r="B2721" s="9" t="s">
        <v>42</v>
      </c>
      <c r="C2721" s="7" t="s">
        <v>69</v>
      </c>
      <c r="D2721" s="9" t="s">
        <v>45</v>
      </c>
      <c r="E2721" s="9" t="s">
        <v>46</v>
      </c>
      <c r="F2721" s="5" t="n">
        <v>60</v>
      </c>
      <c r="G2721" s="10"/>
      <c r="H2721" s="11" t="str">
        <f aca="false">IFERROR(IF($D2721="Manual Review","",IF($G2721="","",IF($D2721="Direct Expiry",$G2721,EDATE($G2721,$F2721)))),"Check Date")</f>
        <v/>
      </c>
      <c r="I2721" s="12" t="str">
        <f aca="true">IF($H2721="","",IF(ISNUMBER($H2721),$H2721-TODAY(),""))</f>
        <v/>
      </c>
      <c r="J2721" s="4" t="str">
        <f aca="true">IF($D2721="Manual Review","Manual Review",IF($G2721="","No Data",IF(NOT(ISNUMBER($H2721)),"N/A",IF($H2721&lt;TODAY(),"Overdue",IF($H2721&lt;=TODAY()+30,"Due within 1 Month",IF($H2721&lt;=TODAY()+60,"Due within 2 Months","OK"))))))</f>
        <v>No Data</v>
      </c>
      <c r="K2721" s="13"/>
    </row>
    <row r="2722" customFormat="false" ht="15" hidden="false" customHeight="false" outlineLevel="0" collapsed="false">
      <c r="A2722" s="9" t="str">
        <f aca="false">Vessels!B29</f>
        <v>Vessel 25</v>
      </c>
      <c r="B2722" s="9" t="s">
        <v>42</v>
      </c>
      <c r="C2722" s="7" t="s">
        <v>70</v>
      </c>
      <c r="D2722" s="9" t="s">
        <v>59</v>
      </c>
      <c r="E2722" s="9" t="s">
        <v>58</v>
      </c>
      <c r="F2722" s="5"/>
      <c r="G2722" s="10"/>
      <c r="H2722" s="11" t="str">
        <f aca="false">IFERROR(IF($D2722="Manual Review","",IF($G2722="","",IF($D2722="Direct Expiry",$G2722,EDATE($G2722,$F2722)))),"Check Date")</f>
        <v/>
      </c>
      <c r="I2722" s="12" t="str">
        <f aca="true">IF($H2722="","",IF(ISNUMBER($H2722),$H2722-TODAY(),""))</f>
        <v/>
      </c>
      <c r="J2722" s="4" t="str">
        <f aca="true">IF($D2722="Manual Review","Manual Review",IF($G2722="","No Data",IF(NOT(ISNUMBER($H2722)),"N/A",IF($H2722&lt;TODAY(),"Overdue",IF($H2722&lt;=TODAY()+30,"Due within 1 Month",IF($H2722&lt;=TODAY()+60,"Due within 2 Months","OK"))))))</f>
        <v>No Data</v>
      </c>
      <c r="K2722" s="13"/>
    </row>
    <row r="2723" customFormat="false" ht="15" hidden="false" customHeight="false" outlineLevel="0" collapsed="false">
      <c r="A2723" s="9" t="str">
        <f aca="false">Vessels!B29</f>
        <v>Vessel 25</v>
      </c>
      <c r="B2723" s="9" t="s">
        <v>42</v>
      </c>
      <c r="C2723" s="7" t="s">
        <v>71</v>
      </c>
      <c r="D2723" s="9" t="s">
        <v>45</v>
      </c>
      <c r="E2723" s="9" t="s">
        <v>44</v>
      </c>
      <c r="F2723" s="5" t="n">
        <v>12</v>
      </c>
      <c r="G2723" s="10"/>
      <c r="H2723" s="11" t="str">
        <f aca="false">IFERROR(IF($D2723="Manual Review","",IF($G2723="","",IF($D2723="Direct Expiry",$G2723,EDATE($G2723,$F2723)))),"Check Date")</f>
        <v/>
      </c>
      <c r="I2723" s="12" t="str">
        <f aca="true">IF($H2723="","",IF(ISNUMBER($H2723),$H2723-TODAY(),""))</f>
        <v/>
      </c>
      <c r="J2723" s="4" t="str">
        <f aca="true">IF($D2723="Manual Review","Manual Review",IF($G2723="","No Data",IF(NOT(ISNUMBER($H2723)),"N/A",IF($H2723&lt;TODAY(),"Overdue",IF($H2723&lt;=TODAY()+30,"Due within 1 Month",IF($H2723&lt;=TODAY()+60,"Due within 2 Months","OK"))))))</f>
        <v>No Data</v>
      </c>
      <c r="K2723" s="13"/>
    </row>
    <row r="2724" customFormat="false" ht="15" hidden="false" customHeight="false" outlineLevel="0" collapsed="false">
      <c r="A2724" s="9" t="str">
        <f aca="false">Vessels!B29</f>
        <v>Vessel 25</v>
      </c>
      <c r="B2724" s="9" t="s">
        <v>42</v>
      </c>
      <c r="C2724" s="7" t="s">
        <v>72</v>
      </c>
      <c r="D2724" s="9" t="s">
        <v>59</v>
      </c>
      <c r="E2724" s="9" t="s">
        <v>58</v>
      </c>
      <c r="F2724" s="5"/>
      <c r="G2724" s="10"/>
      <c r="H2724" s="11" t="str">
        <f aca="false">IFERROR(IF($D2724="Manual Review","",IF($G2724="","",IF($D2724="Direct Expiry",$G2724,EDATE($G2724,$F2724)))),"Check Date")</f>
        <v/>
      </c>
      <c r="I2724" s="12" t="str">
        <f aca="true">IF($H2724="","",IF(ISNUMBER($H2724),$H2724-TODAY(),""))</f>
        <v/>
      </c>
      <c r="J2724" s="4" t="str">
        <f aca="true">IF($D2724="Manual Review","Manual Review",IF($G2724="","No Data",IF(NOT(ISNUMBER($H2724)),"N/A",IF($H2724&lt;TODAY(),"Overdue",IF($H2724&lt;=TODAY()+30,"Due within 1 Month",IF($H2724&lt;=TODAY()+60,"Due within 2 Months","OK"))))))</f>
        <v>No Data</v>
      </c>
      <c r="K2724" s="13"/>
    </row>
    <row r="2725" customFormat="false" ht="15" hidden="false" customHeight="false" outlineLevel="0" collapsed="false">
      <c r="A2725" s="9" t="str">
        <f aca="false">Vessels!B29</f>
        <v>Vessel 25</v>
      </c>
      <c r="B2725" s="9" t="s">
        <v>42</v>
      </c>
      <c r="C2725" s="7" t="s">
        <v>73</v>
      </c>
      <c r="D2725" s="9" t="s">
        <v>45</v>
      </c>
      <c r="E2725" s="9" t="s">
        <v>44</v>
      </c>
      <c r="F2725" s="5" t="n">
        <v>12</v>
      </c>
      <c r="G2725" s="10"/>
      <c r="H2725" s="11" t="str">
        <f aca="false">IFERROR(IF($D2725="Manual Review","",IF($G2725="","",IF($D2725="Direct Expiry",$G2725,EDATE($G2725,$F2725)))),"Check Date")</f>
        <v/>
      </c>
      <c r="I2725" s="12" t="str">
        <f aca="true">IF($H2725="","",IF(ISNUMBER($H2725),$H2725-TODAY(),""))</f>
        <v/>
      </c>
      <c r="J2725" s="4" t="str">
        <f aca="true">IF($D2725="Manual Review","Manual Review",IF($G2725="","No Data",IF(NOT(ISNUMBER($H2725)),"N/A",IF($H2725&lt;TODAY(),"Overdue",IF($H2725&lt;=TODAY()+30,"Due within 1 Month",IF($H2725&lt;=TODAY()+60,"Due within 2 Months","OK"))))))</f>
        <v>No Data</v>
      </c>
      <c r="K2725" s="13"/>
    </row>
    <row r="2726" customFormat="false" ht="15" hidden="false" customHeight="false" outlineLevel="0" collapsed="false">
      <c r="A2726" s="9" t="str">
        <f aca="false">Vessels!B29</f>
        <v>Vessel 25</v>
      </c>
      <c r="B2726" s="9" t="s">
        <v>42</v>
      </c>
      <c r="C2726" s="7" t="s">
        <v>74</v>
      </c>
      <c r="D2726" s="9" t="s">
        <v>59</v>
      </c>
      <c r="E2726" s="9" t="s">
        <v>58</v>
      </c>
      <c r="F2726" s="5"/>
      <c r="G2726" s="10"/>
      <c r="H2726" s="11" t="str">
        <f aca="false">IFERROR(IF($D2726="Manual Review","",IF($G2726="","",IF($D2726="Direct Expiry",$G2726,EDATE($G2726,$F2726)))),"Check Date")</f>
        <v/>
      </c>
      <c r="I2726" s="12" t="str">
        <f aca="true">IF($H2726="","",IF(ISNUMBER($H2726),$H2726-TODAY(),""))</f>
        <v/>
      </c>
      <c r="J2726" s="4" t="str">
        <f aca="true">IF($D2726="Manual Review","Manual Review",IF($G2726="","No Data",IF(NOT(ISNUMBER($H2726)),"N/A",IF($H2726&lt;TODAY(),"Overdue",IF($H2726&lt;=TODAY()+30,"Due within 1 Month",IF($H2726&lt;=TODAY()+60,"Due within 2 Months","OK"))))))</f>
        <v>No Data</v>
      </c>
      <c r="K2726" s="13"/>
    </row>
    <row r="2727" customFormat="false" ht="15" hidden="false" customHeight="false" outlineLevel="0" collapsed="false">
      <c r="A2727" s="9" t="str">
        <f aca="false">Vessels!B29</f>
        <v>Vessel 25</v>
      </c>
      <c r="B2727" s="9" t="s">
        <v>42</v>
      </c>
      <c r="C2727" s="7" t="s">
        <v>75</v>
      </c>
      <c r="D2727" s="9" t="s">
        <v>45</v>
      </c>
      <c r="E2727" s="9" t="s">
        <v>44</v>
      </c>
      <c r="F2727" s="5" t="n">
        <v>12</v>
      </c>
      <c r="G2727" s="10"/>
      <c r="H2727" s="11" t="str">
        <f aca="false">IFERROR(IF($D2727="Manual Review","",IF($G2727="","",IF($D2727="Direct Expiry",$G2727,EDATE($G2727,$F2727)))),"Check Date")</f>
        <v/>
      </c>
      <c r="I2727" s="12" t="str">
        <f aca="true">IF($H2727="","",IF(ISNUMBER($H2727),$H2727-TODAY(),""))</f>
        <v/>
      </c>
      <c r="J2727" s="4" t="str">
        <f aca="true">IF($D2727="Manual Review","Manual Review",IF($G2727="","No Data",IF(NOT(ISNUMBER($H2727)),"N/A",IF($H2727&lt;TODAY(),"Overdue",IF($H2727&lt;=TODAY()+30,"Due within 1 Month",IF($H2727&lt;=TODAY()+60,"Due within 2 Months","OK"))))))</f>
        <v>No Data</v>
      </c>
      <c r="K2727" s="13"/>
    </row>
    <row r="2728" customFormat="false" ht="15" hidden="false" customHeight="false" outlineLevel="0" collapsed="false">
      <c r="A2728" s="9" t="str">
        <f aca="false">Vessels!B29</f>
        <v>Vessel 25</v>
      </c>
      <c r="B2728" s="9" t="s">
        <v>42</v>
      </c>
      <c r="C2728" s="7" t="s">
        <v>76</v>
      </c>
      <c r="D2728" s="9" t="s">
        <v>59</v>
      </c>
      <c r="E2728" s="9" t="s">
        <v>58</v>
      </c>
      <c r="F2728" s="5"/>
      <c r="G2728" s="10"/>
      <c r="H2728" s="11" t="str">
        <f aca="false">IFERROR(IF($D2728="Manual Review","",IF($G2728="","",IF($D2728="Direct Expiry",$G2728,EDATE($G2728,$F2728)))),"Check Date")</f>
        <v/>
      </c>
      <c r="I2728" s="12" t="str">
        <f aca="true">IF($H2728="","",IF(ISNUMBER($H2728),$H2728-TODAY(),""))</f>
        <v/>
      </c>
      <c r="J2728" s="4" t="str">
        <f aca="true">IF($D2728="Manual Review","Manual Review",IF($G2728="","No Data",IF(NOT(ISNUMBER($H2728)),"N/A",IF($H2728&lt;TODAY(),"Overdue",IF($H2728&lt;=TODAY()+30,"Due within 1 Month",IF($H2728&lt;=TODAY()+60,"Due within 2 Months","OK"))))))</f>
        <v>No Data</v>
      </c>
      <c r="K2728" s="13"/>
    </row>
    <row r="2729" customFormat="false" ht="15" hidden="false" customHeight="false" outlineLevel="0" collapsed="false">
      <c r="A2729" s="9" t="str">
        <f aca="false">Vessels!B29</f>
        <v>Vessel 25</v>
      </c>
      <c r="B2729" s="9" t="s">
        <v>42</v>
      </c>
      <c r="C2729" s="7" t="s">
        <v>77</v>
      </c>
      <c r="D2729" s="9" t="s">
        <v>59</v>
      </c>
      <c r="E2729" s="9" t="s">
        <v>58</v>
      </c>
      <c r="F2729" s="5"/>
      <c r="G2729" s="10"/>
      <c r="H2729" s="11" t="str">
        <f aca="false">IFERROR(IF($D2729="Manual Review","",IF($G2729="","",IF($D2729="Direct Expiry",$G2729,EDATE($G2729,$F2729)))),"Check Date")</f>
        <v/>
      </c>
      <c r="I2729" s="12" t="str">
        <f aca="true">IF($H2729="","",IF(ISNUMBER($H2729),$H2729-TODAY(),""))</f>
        <v/>
      </c>
      <c r="J2729" s="4" t="str">
        <f aca="true">IF($D2729="Manual Review","Manual Review",IF($G2729="","No Data",IF(NOT(ISNUMBER($H2729)),"N/A",IF($H2729&lt;TODAY(),"Overdue",IF($H2729&lt;=TODAY()+30,"Due within 1 Month",IF($H2729&lt;=TODAY()+60,"Due within 2 Months","OK"))))))</f>
        <v>No Data</v>
      </c>
      <c r="K2729" s="13"/>
    </row>
    <row r="2730" customFormat="false" ht="15" hidden="false" customHeight="false" outlineLevel="0" collapsed="false">
      <c r="A2730" s="9" t="str">
        <f aca="false">Vessels!B29</f>
        <v>Vessel 25</v>
      </c>
      <c r="B2730" s="9" t="s">
        <v>42</v>
      </c>
      <c r="C2730" s="7" t="s">
        <v>78</v>
      </c>
      <c r="D2730" s="9" t="s">
        <v>59</v>
      </c>
      <c r="E2730" s="9" t="s">
        <v>58</v>
      </c>
      <c r="F2730" s="5"/>
      <c r="G2730" s="10"/>
      <c r="H2730" s="11" t="str">
        <f aca="false">IFERROR(IF($D2730="Manual Review","",IF($G2730="","",IF($D2730="Direct Expiry",$G2730,EDATE($G2730,$F2730)))),"Check Date")</f>
        <v/>
      </c>
      <c r="I2730" s="12" t="str">
        <f aca="true">IF($H2730="","",IF(ISNUMBER($H2730),$H2730-TODAY(),""))</f>
        <v/>
      </c>
      <c r="J2730" s="4" t="str">
        <f aca="true">IF($D2730="Manual Review","Manual Review",IF($G2730="","No Data",IF(NOT(ISNUMBER($H2730)),"N/A",IF($H2730&lt;TODAY(),"Overdue",IF($H2730&lt;=TODAY()+30,"Due within 1 Month",IF($H2730&lt;=TODAY()+60,"Due within 2 Months","OK"))))))</f>
        <v>No Data</v>
      </c>
      <c r="K2730" s="13"/>
    </row>
    <row r="2731" customFormat="false" ht="15" hidden="false" customHeight="false" outlineLevel="0" collapsed="false">
      <c r="A2731" s="9" t="str">
        <f aca="false">Vessels!B29</f>
        <v>Vessel 25</v>
      </c>
      <c r="B2731" s="9" t="s">
        <v>42</v>
      </c>
      <c r="C2731" s="7" t="s">
        <v>79</v>
      </c>
      <c r="D2731" s="9" t="s">
        <v>45</v>
      </c>
      <c r="E2731" s="9" t="s">
        <v>44</v>
      </c>
      <c r="F2731" s="5" t="n">
        <v>12</v>
      </c>
      <c r="G2731" s="10"/>
      <c r="H2731" s="11" t="str">
        <f aca="false">IFERROR(IF($D2731="Manual Review","",IF($G2731="","",IF($D2731="Direct Expiry",$G2731,EDATE($G2731,$F2731)))),"Check Date")</f>
        <v/>
      </c>
      <c r="I2731" s="12" t="str">
        <f aca="true">IF($H2731="","",IF(ISNUMBER($H2731),$H2731-TODAY(),""))</f>
        <v/>
      </c>
      <c r="J2731" s="4" t="str">
        <f aca="true">IF($D2731="Manual Review","Manual Review",IF($G2731="","No Data",IF(NOT(ISNUMBER($H2731)),"N/A",IF($H2731&lt;TODAY(),"Overdue",IF($H2731&lt;=TODAY()+30,"Due within 1 Month",IF($H2731&lt;=TODAY()+60,"Due within 2 Months","OK"))))))</f>
        <v>No Data</v>
      </c>
      <c r="K2731" s="13"/>
    </row>
    <row r="2732" customFormat="false" ht="15" hidden="false" customHeight="false" outlineLevel="0" collapsed="false">
      <c r="A2732" s="9" t="str">
        <f aca="false">Vessels!B29</f>
        <v>Vessel 25</v>
      </c>
      <c r="B2732" s="9" t="s">
        <v>42</v>
      </c>
      <c r="C2732" s="7" t="s">
        <v>80</v>
      </c>
      <c r="D2732" s="9" t="s">
        <v>45</v>
      </c>
      <c r="E2732" s="9" t="s">
        <v>81</v>
      </c>
      <c r="F2732" s="5" t="n">
        <v>36</v>
      </c>
      <c r="G2732" s="10"/>
      <c r="H2732" s="11" t="str">
        <f aca="false">IFERROR(IF($D2732="Manual Review","",IF($G2732="","",IF($D2732="Direct Expiry",$G2732,EDATE($G2732,$F2732)))),"Check Date")</f>
        <v/>
      </c>
      <c r="I2732" s="12" t="str">
        <f aca="true">IF($H2732="","",IF(ISNUMBER($H2732),$H2732-TODAY(),""))</f>
        <v/>
      </c>
      <c r="J2732" s="4" t="str">
        <f aca="true">IF($D2732="Manual Review","Manual Review",IF($G2732="","No Data",IF(NOT(ISNUMBER($H2732)),"N/A",IF($H2732&lt;TODAY(),"Overdue",IF($H2732&lt;=TODAY()+30,"Due within 1 Month",IF($H2732&lt;=TODAY()+60,"Due within 2 Months","OK"))))))</f>
        <v>No Data</v>
      </c>
      <c r="K2732" s="13"/>
    </row>
    <row r="2733" customFormat="false" ht="15" hidden="false" customHeight="false" outlineLevel="0" collapsed="false">
      <c r="A2733" s="9" t="str">
        <f aca="false">Vessels!B29</f>
        <v>Vessel 25</v>
      </c>
      <c r="B2733" s="9" t="s">
        <v>42</v>
      </c>
      <c r="C2733" s="7" t="s">
        <v>80</v>
      </c>
      <c r="D2733" s="9" t="s">
        <v>45</v>
      </c>
      <c r="E2733" s="9" t="s">
        <v>82</v>
      </c>
      <c r="F2733" s="5" t="n">
        <v>24</v>
      </c>
      <c r="G2733" s="10"/>
      <c r="H2733" s="11" t="str">
        <f aca="false">IFERROR(IF($D2733="Manual Review","",IF($G2733="","",IF($D2733="Direct Expiry",$G2733,EDATE($G2733,$F2733)))),"Check Date")</f>
        <v/>
      </c>
      <c r="I2733" s="12" t="str">
        <f aca="true">IF($H2733="","",IF(ISNUMBER($H2733),$H2733-TODAY(),""))</f>
        <v/>
      </c>
      <c r="J2733" s="4" t="str">
        <f aca="true">IF($D2733="Manual Review","Manual Review",IF($G2733="","No Data",IF(NOT(ISNUMBER($H2733)),"N/A",IF($H2733&lt;TODAY(),"Overdue",IF($H2733&lt;=TODAY()+30,"Due within 1 Month",IF($H2733&lt;=TODAY()+60,"Due within 2 Months","OK"))))))</f>
        <v>No Data</v>
      </c>
      <c r="K2733" s="13"/>
    </row>
    <row r="2734" customFormat="false" ht="15" hidden="false" customHeight="false" outlineLevel="0" collapsed="false">
      <c r="A2734" s="9" t="str">
        <f aca="false">Vessels!B29</f>
        <v>Vessel 25</v>
      </c>
      <c r="B2734" s="9" t="s">
        <v>42</v>
      </c>
      <c r="C2734" s="7" t="s">
        <v>83</v>
      </c>
      <c r="D2734" s="9" t="s">
        <v>45</v>
      </c>
      <c r="E2734" s="9" t="s">
        <v>44</v>
      </c>
      <c r="F2734" s="5" t="n">
        <v>12</v>
      </c>
      <c r="G2734" s="10"/>
      <c r="H2734" s="11" t="str">
        <f aca="false">IFERROR(IF($D2734="Manual Review","",IF($G2734="","",IF($D2734="Direct Expiry",$G2734,EDATE($G2734,$F2734)))),"Check Date")</f>
        <v/>
      </c>
      <c r="I2734" s="12" t="str">
        <f aca="true">IF($H2734="","",IF(ISNUMBER($H2734),$H2734-TODAY(),""))</f>
        <v/>
      </c>
      <c r="J2734" s="4" t="str">
        <f aca="true">IF($D2734="Manual Review","Manual Review",IF($G2734="","No Data",IF(NOT(ISNUMBER($H2734)),"N/A",IF($H2734&lt;TODAY(),"Overdue",IF($H2734&lt;=TODAY()+30,"Due within 1 Month",IF($H2734&lt;=TODAY()+60,"Due within 2 Months","OK"))))))</f>
        <v>No Data</v>
      </c>
      <c r="K2734" s="13"/>
    </row>
    <row r="2735" customFormat="false" ht="15" hidden="false" customHeight="false" outlineLevel="0" collapsed="false">
      <c r="A2735" s="9" t="str">
        <f aca="false">Vessels!B29</f>
        <v>Vessel 25</v>
      </c>
      <c r="B2735" s="9" t="s">
        <v>42</v>
      </c>
      <c r="C2735" s="7" t="s">
        <v>83</v>
      </c>
      <c r="D2735" s="9" t="s">
        <v>45</v>
      </c>
      <c r="E2735" s="9" t="s">
        <v>84</v>
      </c>
      <c r="F2735" s="5" t="n">
        <v>60</v>
      </c>
      <c r="G2735" s="10"/>
      <c r="H2735" s="11" t="str">
        <f aca="false">IFERROR(IF($D2735="Manual Review","",IF($G2735="","",IF($D2735="Direct Expiry",$G2735,EDATE($G2735,$F2735)))),"Check Date")</f>
        <v/>
      </c>
      <c r="I2735" s="12" t="str">
        <f aca="true">IF($H2735="","",IF(ISNUMBER($H2735),$H2735-TODAY(),""))</f>
        <v/>
      </c>
      <c r="J2735" s="4" t="str">
        <f aca="true">IF($D2735="Manual Review","Manual Review",IF($G2735="","No Data",IF(NOT(ISNUMBER($H2735)),"N/A",IF($H2735&lt;TODAY(),"Overdue",IF($H2735&lt;=TODAY()+30,"Due within 1 Month",IF($H2735&lt;=TODAY()+60,"Due within 2 Months","OK"))))))</f>
        <v>No Data</v>
      </c>
      <c r="K2735" s="13"/>
    </row>
    <row r="2736" customFormat="false" ht="15" hidden="false" customHeight="false" outlineLevel="0" collapsed="false">
      <c r="A2736" s="9" t="str">
        <f aca="false">Vessels!B29</f>
        <v>Vessel 25</v>
      </c>
      <c r="B2736" s="9" t="s">
        <v>42</v>
      </c>
      <c r="C2736" s="7" t="s">
        <v>85</v>
      </c>
      <c r="D2736" s="9" t="s">
        <v>45</v>
      </c>
      <c r="E2736" s="9" t="s">
        <v>44</v>
      </c>
      <c r="F2736" s="5" t="n">
        <v>12</v>
      </c>
      <c r="G2736" s="10"/>
      <c r="H2736" s="11" t="str">
        <f aca="false">IFERROR(IF($D2736="Manual Review","",IF($G2736="","",IF($D2736="Direct Expiry",$G2736,EDATE($G2736,$F2736)))),"Check Date")</f>
        <v/>
      </c>
      <c r="I2736" s="12" t="str">
        <f aca="true">IF($H2736="","",IF(ISNUMBER($H2736),$H2736-TODAY(),""))</f>
        <v/>
      </c>
      <c r="J2736" s="4" t="str">
        <f aca="true">IF($D2736="Manual Review","Manual Review",IF($G2736="","No Data",IF(NOT(ISNUMBER($H2736)),"N/A",IF($H2736&lt;TODAY(),"Overdue",IF($H2736&lt;=TODAY()+30,"Due within 1 Month",IF($H2736&lt;=TODAY()+60,"Due within 2 Months","OK"))))))</f>
        <v>No Data</v>
      </c>
      <c r="K2736" s="13"/>
    </row>
    <row r="2737" customFormat="false" ht="15" hidden="false" customHeight="false" outlineLevel="0" collapsed="false">
      <c r="A2737" s="9" t="str">
        <f aca="false">Vessels!B29</f>
        <v>Vessel 25</v>
      </c>
      <c r="B2737" s="9" t="s">
        <v>42</v>
      </c>
      <c r="C2737" s="7" t="s">
        <v>85</v>
      </c>
      <c r="D2737" s="9" t="s">
        <v>45</v>
      </c>
      <c r="E2737" s="9" t="s">
        <v>84</v>
      </c>
      <c r="F2737" s="5" t="n">
        <v>60</v>
      </c>
      <c r="G2737" s="10"/>
      <c r="H2737" s="11" t="str">
        <f aca="false">IFERROR(IF($D2737="Manual Review","",IF($G2737="","",IF($D2737="Direct Expiry",$G2737,EDATE($G2737,$F2737)))),"Check Date")</f>
        <v/>
      </c>
      <c r="I2737" s="12" t="str">
        <f aca="true">IF($H2737="","",IF(ISNUMBER($H2737),$H2737-TODAY(),""))</f>
        <v/>
      </c>
      <c r="J2737" s="4" t="str">
        <f aca="true">IF($D2737="Manual Review","Manual Review",IF($G2737="","No Data",IF(NOT(ISNUMBER($H2737)),"N/A",IF($H2737&lt;TODAY(),"Overdue",IF($H2737&lt;=TODAY()+30,"Due within 1 Month",IF($H2737&lt;=TODAY()+60,"Due within 2 Months","OK"))))))</f>
        <v>No Data</v>
      </c>
      <c r="K2737" s="13"/>
    </row>
    <row r="2738" customFormat="false" ht="15" hidden="false" customHeight="false" outlineLevel="0" collapsed="false">
      <c r="A2738" s="9" t="str">
        <f aca="false">Vessels!B29</f>
        <v>Vessel 25</v>
      </c>
      <c r="B2738" s="9" t="s">
        <v>42</v>
      </c>
      <c r="C2738" s="7" t="s">
        <v>86</v>
      </c>
      <c r="D2738" s="9" t="s">
        <v>45</v>
      </c>
      <c r="E2738" s="9" t="s">
        <v>44</v>
      </c>
      <c r="F2738" s="5" t="n">
        <v>12</v>
      </c>
      <c r="G2738" s="10"/>
      <c r="H2738" s="11" t="str">
        <f aca="false">IFERROR(IF($D2738="Manual Review","",IF($G2738="","",IF($D2738="Direct Expiry",$G2738,EDATE($G2738,$F2738)))),"Check Date")</f>
        <v/>
      </c>
      <c r="I2738" s="12" t="str">
        <f aca="true">IF($H2738="","",IF(ISNUMBER($H2738),$H2738-TODAY(),""))</f>
        <v/>
      </c>
      <c r="J2738" s="4" t="str">
        <f aca="true">IF($D2738="Manual Review","Manual Review",IF($G2738="","No Data",IF(NOT(ISNUMBER($H2738)),"N/A",IF($H2738&lt;TODAY(),"Overdue",IF($H2738&lt;=TODAY()+30,"Due within 1 Month",IF($H2738&lt;=TODAY()+60,"Due within 2 Months","OK"))))))</f>
        <v>No Data</v>
      </c>
      <c r="K2738" s="13"/>
    </row>
    <row r="2739" customFormat="false" ht="15" hidden="false" customHeight="false" outlineLevel="0" collapsed="false">
      <c r="A2739" s="9" t="str">
        <f aca="false">Vessels!B29</f>
        <v>Vessel 25</v>
      </c>
      <c r="B2739" s="9" t="s">
        <v>42</v>
      </c>
      <c r="C2739" s="7" t="s">
        <v>87</v>
      </c>
      <c r="D2739" s="9" t="s">
        <v>45</v>
      </c>
      <c r="E2739" s="9" t="s">
        <v>44</v>
      </c>
      <c r="F2739" s="5" t="n">
        <v>12</v>
      </c>
      <c r="G2739" s="10"/>
      <c r="H2739" s="11" t="str">
        <f aca="false">IFERROR(IF($D2739="Manual Review","",IF($G2739="","",IF($D2739="Direct Expiry",$G2739,EDATE($G2739,$F2739)))),"Check Date")</f>
        <v/>
      </c>
      <c r="I2739" s="12" t="str">
        <f aca="true">IF($H2739="","",IF(ISNUMBER($H2739),$H2739-TODAY(),""))</f>
        <v/>
      </c>
      <c r="J2739" s="4" t="str">
        <f aca="true">IF($D2739="Manual Review","Manual Review",IF($G2739="","No Data",IF(NOT(ISNUMBER($H2739)),"N/A",IF($H2739&lt;TODAY(),"Overdue",IF($H2739&lt;=TODAY()+30,"Due within 1 Month",IF($H2739&lt;=TODAY()+60,"Due within 2 Months","OK"))))))</f>
        <v>No Data</v>
      </c>
      <c r="K2739" s="13"/>
    </row>
    <row r="2740" customFormat="false" ht="15" hidden="false" customHeight="false" outlineLevel="0" collapsed="false">
      <c r="A2740" s="9" t="str">
        <f aca="false">Vessels!B29</f>
        <v>Vessel 25</v>
      </c>
      <c r="B2740" s="9" t="s">
        <v>88</v>
      </c>
      <c r="C2740" s="7" t="s">
        <v>89</v>
      </c>
      <c r="D2740" s="9" t="s">
        <v>45</v>
      </c>
      <c r="E2740" s="9" t="s">
        <v>90</v>
      </c>
      <c r="F2740" s="5" t="n">
        <v>36</v>
      </c>
      <c r="G2740" s="10"/>
      <c r="H2740" s="11" t="str">
        <f aca="false">IFERROR(IF($D2740="Manual Review","",IF($G2740="","",IF($D2740="Direct Expiry",$G2740,EDATE($G2740,$F2740)))),"Check Date")</f>
        <v/>
      </c>
      <c r="I2740" s="12" t="str">
        <f aca="true">IF($H2740="","",IF(ISNUMBER($H2740),$H2740-TODAY(),""))</f>
        <v/>
      </c>
      <c r="J2740" s="4" t="str">
        <f aca="true">IF($D2740="Manual Review","Manual Review",IF($G2740="","No Data",IF(NOT(ISNUMBER($H2740)),"N/A",IF($H2740&lt;TODAY(),"Overdue",IF($H2740&lt;=TODAY()+30,"Due within 1 Month",IF($H2740&lt;=TODAY()+60,"Due within 2 Months","OK"))))))</f>
        <v>No Data</v>
      </c>
      <c r="K2740" s="13"/>
    </row>
    <row r="2741" customFormat="false" ht="15" hidden="false" customHeight="false" outlineLevel="0" collapsed="false">
      <c r="A2741" s="9" t="str">
        <f aca="false">Vessels!B29</f>
        <v>Vessel 25</v>
      </c>
      <c r="B2741" s="9" t="s">
        <v>88</v>
      </c>
      <c r="C2741" s="7" t="s">
        <v>91</v>
      </c>
      <c r="D2741" s="9" t="s">
        <v>45</v>
      </c>
      <c r="E2741" s="9" t="s">
        <v>44</v>
      </c>
      <c r="F2741" s="5" t="n">
        <v>12</v>
      </c>
      <c r="G2741" s="10"/>
      <c r="H2741" s="11" t="str">
        <f aca="false">IFERROR(IF($D2741="Manual Review","",IF($G2741="","",IF($D2741="Direct Expiry",$G2741,EDATE($G2741,$F2741)))),"Check Date")</f>
        <v/>
      </c>
      <c r="I2741" s="12" t="str">
        <f aca="true">IF($H2741="","",IF(ISNUMBER($H2741),$H2741-TODAY(),""))</f>
        <v/>
      </c>
      <c r="J2741" s="4" t="str">
        <f aca="true">IF($D2741="Manual Review","Manual Review",IF($G2741="","No Data",IF(NOT(ISNUMBER($H2741)),"N/A",IF($H2741&lt;TODAY(),"Overdue",IF($H2741&lt;=TODAY()+30,"Due within 1 Month",IF($H2741&lt;=TODAY()+60,"Due within 2 Months","OK"))))))</f>
        <v>No Data</v>
      </c>
      <c r="K2741" s="13"/>
    </row>
    <row r="2742" customFormat="false" ht="15" hidden="false" customHeight="false" outlineLevel="0" collapsed="false">
      <c r="A2742" s="9" t="str">
        <f aca="false">Vessels!B29</f>
        <v>Vessel 25</v>
      </c>
      <c r="B2742" s="9" t="s">
        <v>88</v>
      </c>
      <c r="C2742" s="7" t="s">
        <v>91</v>
      </c>
      <c r="D2742" s="9" t="s">
        <v>45</v>
      </c>
      <c r="E2742" s="9" t="s">
        <v>92</v>
      </c>
      <c r="F2742" s="5" t="n">
        <v>120</v>
      </c>
      <c r="G2742" s="10"/>
      <c r="H2742" s="11" t="str">
        <f aca="false">IFERROR(IF($D2742="Manual Review","",IF($G2742="","",IF($D2742="Direct Expiry",$G2742,EDATE($G2742,$F2742)))),"Check Date")</f>
        <v/>
      </c>
      <c r="I2742" s="12" t="str">
        <f aca="true">IF($H2742="","",IF(ISNUMBER($H2742),$H2742-TODAY(),""))</f>
        <v/>
      </c>
      <c r="J2742" s="4" t="str">
        <f aca="true">IF($D2742="Manual Review","Manual Review",IF($G2742="","No Data",IF(NOT(ISNUMBER($H2742)),"N/A",IF($H2742&lt;TODAY(),"Overdue",IF($H2742&lt;=TODAY()+30,"Due within 1 Month",IF($H2742&lt;=TODAY()+60,"Due within 2 Months","OK"))))))</f>
        <v>No Data</v>
      </c>
      <c r="K2742" s="13"/>
    </row>
    <row r="2743" customFormat="false" ht="15" hidden="false" customHeight="false" outlineLevel="0" collapsed="false">
      <c r="A2743" s="9" t="str">
        <f aca="false">Vessels!B29</f>
        <v>Vessel 25</v>
      </c>
      <c r="B2743" s="9" t="s">
        <v>88</v>
      </c>
      <c r="C2743" s="7" t="s">
        <v>93</v>
      </c>
      <c r="D2743" s="9" t="s">
        <v>45</v>
      </c>
      <c r="E2743" s="9" t="s">
        <v>44</v>
      </c>
      <c r="F2743" s="5" t="n">
        <v>12</v>
      </c>
      <c r="G2743" s="10"/>
      <c r="H2743" s="11" t="str">
        <f aca="false">IFERROR(IF($D2743="Manual Review","",IF($G2743="","",IF($D2743="Direct Expiry",$G2743,EDATE($G2743,$F2743)))),"Check Date")</f>
        <v/>
      </c>
      <c r="I2743" s="12" t="str">
        <f aca="true">IF($H2743="","",IF(ISNUMBER($H2743),$H2743-TODAY(),""))</f>
        <v/>
      </c>
      <c r="J2743" s="4" t="str">
        <f aca="true">IF($D2743="Manual Review","Manual Review",IF($G2743="","No Data",IF(NOT(ISNUMBER($H2743)),"N/A",IF($H2743&lt;TODAY(),"Overdue",IF($H2743&lt;=TODAY()+30,"Due within 1 Month",IF($H2743&lt;=TODAY()+60,"Due within 2 Months","OK"))))))</f>
        <v>No Data</v>
      </c>
      <c r="K2743" s="13"/>
    </row>
    <row r="2744" customFormat="false" ht="15" hidden="false" customHeight="false" outlineLevel="0" collapsed="false">
      <c r="A2744" s="9" t="str">
        <f aca="false">Vessels!B29</f>
        <v>Vessel 25</v>
      </c>
      <c r="B2744" s="9" t="s">
        <v>88</v>
      </c>
      <c r="C2744" s="7" t="s">
        <v>93</v>
      </c>
      <c r="D2744" s="9" t="s">
        <v>45</v>
      </c>
      <c r="E2744" s="9" t="s">
        <v>92</v>
      </c>
      <c r="F2744" s="5" t="n">
        <v>120</v>
      </c>
      <c r="G2744" s="10"/>
      <c r="H2744" s="11" t="str">
        <f aca="false">IFERROR(IF($D2744="Manual Review","",IF($G2744="","",IF($D2744="Direct Expiry",$G2744,EDATE($G2744,$F2744)))),"Check Date")</f>
        <v/>
      </c>
      <c r="I2744" s="12" t="str">
        <f aca="true">IF($H2744="","",IF(ISNUMBER($H2744),$H2744-TODAY(),""))</f>
        <v/>
      </c>
      <c r="J2744" s="4" t="str">
        <f aca="true">IF($D2744="Manual Review","Manual Review",IF($G2744="","No Data",IF(NOT(ISNUMBER($H2744)),"N/A",IF($H2744&lt;TODAY(),"Overdue",IF($H2744&lt;=TODAY()+30,"Due within 1 Month",IF($H2744&lt;=TODAY()+60,"Due within 2 Months","OK"))))))</f>
        <v>No Data</v>
      </c>
      <c r="K2744" s="13"/>
    </row>
    <row r="2745" customFormat="false" ht="15" hidden="false" customHeight="false" outlineLevel="0" collapsed="false">
      <c r="A2745" s="9" t="str">
        <f aca="false">Vessels!B29</f>
        <v>Vessel 25</v>
      </c>
      <c r="B2745" s="9" t="s">
        <v>88</v>
      </c>
      <c r="C2745" s="7" t="s">
        <v>94</v>
      </c>
      <c r="D2745" s="9" t="s">
        <v>45</v>
      </c>
      <c r="E2745" s="9" t="s">
        <v>44</v>
      </c>
      <c r="F2745" s="5" t="n">
        <v>12</v>
      </c>
      <c r="G2745" s="10"/>
      <c r="H2745" s="11" t="str">
        <f aca="false">IFERROR(IF($D2745="Manual Review","",IF($G2745="","",IF($D2745="Direct Expiry",$G2745,EDATE($G2745,$F2745)))),"Check Date")</f>
        <v/>
      </c>
      <c r="I2745" s="12" t="str">
        <f aca="true">IF($H2745="","",IF(ISNUMBER($H2745),$H2745-TODAY(),""))</f>
        <v/>
      </c>
      <c r="J2745" s="4" t="str">
        <f aca="true">IF($D2745="Manual Review","Manual Review",IF($G2745="","No Data",IF(NOT(ISNUMBER($H2745)),"N/A",IF($H2745&lt;TODAY(),"Overdue",IF($H2745&lt;=TODAY()+30,"Due within 1 Month",IF($H2745&lt;=TODAY()+60,"Due within 2 Months","OK"))))))</f>
        <v>No Data</v>
      </c>
      <c r="K2745" s="13"/>
    </row>
    <row r="2746" customFormat="false" ht="15" hidden="false" customHeight="false" outlineLevel="0" collapsed="false">
      <c r="A2746" s="9" t="str">
        <f aca="false">Vessels!B29</f>
        <v>Vessel 25</v>
      </c>
      <c r="B2746" s="9" t="s">
        <v>88</v>
      </c>
      <c r="C2746" s="7" t="s">
        <v>94</v>
      </c>
      <c r="D2746" s="9" t="s">
        <v>45</v>
      </c>
      <c r="E2746" s="9" t="s">
        <v>92</v>
      </c>
      <c r="F2746" s="5" t="n">
        <v>120</v>
      </c>
      <c r="G2746" s="10"/>
      <c r="H2746" s="11" t="str">
        <f aca="false">IFERROR(IF($D2746="Manual Review","",IF($G2746="","",IF($D2746="Direct Expiry",$G2746,EDATE($G2746,$F2746)))),"Check Date")</f>
        <v/>
      </c>
      <c r="I2746" s="12" t="str">
        <f aca="true">IF($H2746="","",IF(ISNUMBER($H2746),$H2746-TODAY(),""))</f>
        <v/>
      </c>
      <c r="J2746" s="4" t="str">
        <f aca="true">IF($D2746="Manual Review","Manual Review",IF($G2746="","No Data",IF(NOT(ISNUMBER($H2746)),"N/A",IF($H2746&lt;TODAY(),"Overdue",IF($H2746&lt;=TODAY()+30,"Due within 1 Month",IF($H2746&lt;=TODAY()+60,"Due within 2 Months","OK"))))))</f>
        <v>No Data</v>
      </c>
      <c r="K2746" s="13"/>
    </row>
    <row r="2747" customFormat="false" ht="15" hidden="false" customHeight="false" outlineLevel="0" collapsed="false">
      <c r="A2747" s="9" t="str">
        <f aca="false">Vessels!B29</f>
        <v>Vessel 25</v>
      </c>
      <c r="B2747" s="9" t="s">
        <v>88</v>
      </c>
      <c r="C2747" s="7" t="s">
        <v>95</v>
      </c>
      <c r="D2747" s="9" t="s">
        <v>45</v>
      </c>
      <c r="E2747" s="9" t="s">
        <v>44</v>
      </c>
      <c r="F2747" s="5" t="n">
        <v>12</v>
      </c>
      <c r="G2747" s="10"/>
      <c r="H2747" s="11" t="str">
        <f aca="false">IFERROR(IF($D2747="Manual Review","",IF($G2747="","",IF($D2747="Direct Expiry",$G2747,EDATE($G2747,$F2747)))),"Check Date")</f>
        <v/>
      </c>
      <c r="I2747" s="12" t="str">
        <f aca="true">IF($H2747="","",IF(ISNUMBER($H2747),$H2747-TODAY(),""))</f>
        <v/>
      </c>
      <c r="J2747" s="4" t="str">
        <f aca="true">IF($D2747="Manual Review","Manual Review",IF($G2747="","No Data",IF(NOT(ISNUMBER($H2747)),"N/A",IF($H2747&lt;TODAY(),"Overdue",IF($H2747&lt;=TODAY()+30,"Due within 1 Month",IF($H2747&lt;=TODAY()+60,"Due within 2 Months","OK"))))))</f>
        <v>No Data</v>
      </c>
      <c r="K2747" s="13"/>
    </row>
    <row r="2748" customFormat="false" ht="15" hidden="false" customHeight="false" outlineLevel="0" collapsed="false">
      <c r="A2748" s="9" t="str">
        <f aca="false">Vessels!B29</f>
        <v>Vessel 25</v>
      </c>
      <c r="B2748" s="9" t="s">
        <v>88</v>
      </c>
      <c r="C2748" s="7" t="s">
        <v>95</v>
      </c>
      <c r="D2748" s="9" t="s">
        <v>45</v>
      </c>
      <c r="E2748" s="9" t="s">
        <v>92</v>
      </c>
      <c r="F2748" s="5" t="n">
        <v>120</v>
      </c>
      <c r="G2748" s="10"/>
      <c r="H2748" s="11" t="str">
        <f aca="false">IFERROR(IF($D2748="Manual Review","",IF($G2748="","",IF($D2748="Direct Expiry",$G2748,EDATE($G2748,$F2748)))),"Check Date")</f>
        <v/>
      </c>
      <c r="I2748" s="12" t="str">
        <f aca="true">IF($H2748="","",IF(ISNUMBER($H2748),$H2748-TODAY(),""))</f>
        <v/>
      </c>
      <c r="J2748" s="4" t="str">
        <f aca="true">IF($D2748="Manual Review","Manual Review",IF($G2748="","No Data",IF(NOT(ISNUMBER($H2748)),"N/A",IF($H2748&lt;TODAY(),"Overdue",IF($H2748&lt;=TODAY()+30,"Due within 1 Month",IF($H2748&lt;=TODAY()+60,"Due within 2 Months","OK"))))))</f>
        <v>No Data</v>
      </c>
      <c r="K2748" s="13"/>
    </row>
    <row r="2749" customFormat="false" ht="15" hidden="false" customHeight="false" outlineLevel="0" collapsed="false">
      <c r="A2749" s="9" t="str">
        <f aca="false">Vessels!B29</f>
        <v>Vessel 25</v>
      </c>
      <c r="B2749" s="9" t="s">
        <v>88</v>
      </c>
      <c r="C2749" s="7" t="s">
        <v>96</v>
      </c>
      <c r="D2749" s="9" t="s">
        <v>45</v>
      </c>
      <c r="E2749" s="9" t="s">
        <v>44</v>
      </c>
      <c r="F2749" s="5" t="n">
        <v>12</v>
      </c>
      <c r="G2749" s="10"/>
      <c r="H2749" s="11" t="str">
        <f aca="false">IFERROR(IF($D2749="Manual Review","",IF($G2749="","",IF($D2749="Direct Expiry",$G2749,EDATE($G2749,$F2749)))),"Check Date")</f>
        <v/>
      </c>
      <c r="I2749" s="12" t="str">
        <f aca="true">IF($H2749="","",IF(ISNUMBER($H2749),$H2749-TODAY(),""))</f>
        <v/>
      </c>
      <c r="J2749" s="4" t="str">
        <f aca="true">IF($D2749="Manual Review","Manual Review",IF($G2749="","No Data",IF(NOT(ISNUMBER($H2749)),"N/A",IF($H2749&lt;TODAY(),"Overdue",IF($H2749&lt;=TODAY()+30,"Due within 1 Month",IF($H2749&lt;=TODAY()+60,"Due within 2 Months","OK"))))))</f>
        <v>No Data</v>
      </c>
      <c r="K2749" s="13"/>
    </row>
    <row r="2750" customFormat="false" ht="15" hidden="false" customHeight="false" outlineLevel="0" collapsed="false">
      <c r="A2750" s="9" t="str">
        <f aca="false">Vessels!B29</f>
        <v>Vessel 25</v>
      </c>
      <c r="B2750" s="9" t="s">
        <v>88</v>
      </c>
      <c r="C2750" s="7" t="s">
        <v>96</v>
      </c>
      <c r="D2750" s="9" t="s">
        <v>45</v>
      </c>
      <c r="E2750" s="9" t="s">
        <v>97</v>
      </c>
      <c r="F2750" s="5" t="n">
        <v>120</v>
      </c>
      <c r="G2750" s="10"/>
      <c r="H2750" s="11" t="str">
        <f aca="false">IFERROR(IF($D2750="Manual Review","",IF($G2750="","",IF($D2750="Direct Expiry",$G2750,EDATE($G2750,$F2750)))),"Check Date")</f>
        <v/>
      </c>
      <c r="I2750" s="12" t="str">
        <f aca="true">IF($H2750="","",IF(ISNUMBER($H2750),$H2750-TODAY(),""))</f>
        <v/>
      </c>
      <c r="J2750" s="4" t="str">
        <f aca="true">IF($D2750="Manual Review","Manual Review",IF($G2750="","No Data",IF(NOT(ISNUMBER($H2750)),"N/A",IF($H2750&lt;TODAY(),"Overdue",IF($H2750&lt;=TODAY()+30,"Due within 1 Month",IF($H2750&lt;=TODAY()+60,"Due within 2 Months","OK"))))))</f>
        <v>No Data</v>
      </c>
      <c r="K2750" s="13"/>
    </row>
    <row r="2751" customFormat="false" ht="15" hidden="false" customHeight="false" outlineLevel="0" collapsed="false">
      <c r="A2751" s="9" t="str">
        <f aca="false">Vessels!B29</f>
        <v>Vessel 25</v>
      </c>
      <c r="B2751" s="9" t="s">
        <v>88</v>
      </c>
      <c r="C2751" s="7" t="s">
        <v>98</v>
      </c>
      <c r="D2751" s="9" t="s">
        <v>45</v>
      </c>
      <c r="E2751" s="9" t="s">
        <v>44</v>
      </c>
      <c r="F2751" s="5" t="n">
        <v>12</v>
      </c>
      <c r="G2751" s="10"/>
      <c r="H2751" s="11" t="str">
        <f aca="false">IFERROR(IF($D2751="Manual Review","",IF($G2751="","",IF($D2751="Direct Expiry",$G2751,EDATE($G2751,$F2751)))),"Check Date")</f>
        <v/>
      </c>
      <c r="I2751" s="12" t="str">
        <f aca="true">IF($H2751="","",IF(ISNUMBER($H2751),$H2751-TODAY(),""))</f>
        <v/>
      </c>
      <c r="J2751" s="4" t="str">
        <f aca="true">IF($D2751="Manual Review","Manual Review",IF($G2751="","No Data",IF(NOT(ISNUMBER($H2751)),"N/A",IF($H2751&lt;TODAY(),"Overdue",IF($H2751&lt;=TODAY()+30,"Due within 1 Month",IF($H2751&lt;=TODAY()+60,"Due within 2 Months","OK"))))))</f>
        <v>No Data</v>
      </c>
      <c r="K2751" s="13"/>
    </row>
    <row r="2752" customFormat="false" ht="15" hidden="false" customHeight="false" outlineLevel="0" collapsed="false">
      <c r="A2752" s="9" t="str">
        <f aca="false">Vessels!B29</f>
        <v>Vessel 25</v>
      </c>
      <c r="B2752" s="9" t="s">
        <v>88</v>
      </c>
      <c r="C2752" s="7" t="s">
        <v>98</v>
      </c>
      <c r="D2752" s="9" t="s">
        <v>45</v>
      </c>
      <c r="E2752" s="9" t="s">
        <v>99</v>
      </c>
      <c r="F2752" s="5" t="n">
        <v>60</v>
      </c>
      <c r="G2752" s="10"/>
      <c r="H2752" s="11" t="str">
        <f aca="false">IFERROR(IF($D2752="Manual Review","",IF($G2752="","",IF($D2752="Direct Expiry",$G2752,EDATE($G2752,$F2752)))),"Check Date")</f>
        <v/>
      </c>
      <c r="I2752" s="12" t="str">
        <f aca="true">IF($H2752="","",IF(ISNUMBER($H2752),$H2752-TODAY(),""))</f>
        <v/>
      </c>
      <c r="J2752" s="4" t="str">
        <f aca="true">IF($D2752="Manual Review","Manual Review",IF($G2752="","No Data",IF(NOT(ISNUMBER($H2752)),"N/A",IF($H2752&lt;TODAY(),"Overdue",IF($H2752&lt;=TODAY()+30,"Due within 1 Month",IF($H2752&lt;=TODAY()+60,"Due within 2 Months","OK"))))))</f>
        <v>No Data</v>
      </c>
      <c r="K2752" s="13"/>
    </row>
    <row r="2753" customFormat="false" ht="15" hidden="false" customHeight="false" outlineLevel="0" collapsed="false">
      <c r="A2753" s="9" t="str">
        <f aca="false">Vessels!B29</f>
        <v>Vessel 25</v>
      </c>
      <c r="B2753" s="9" t="s">
        <v>88</v>
      </c>
      <c r="C2753" s="7" t="s">
        <v>100</v>
      </c>
      <c r="D2753" s="9" t="s">
        <v>45</v>
      </c>
      <c r="E2753" s="9" t="s">
        <v>44</v>
      </c>
      <c r="F2753" s="5" t="n">
        <v>12</v>
      </c>
      <c r="G2753" s="10"/>
      <c r="H2753" s="11" t="str">
        <f aca="false">IFERROR(IF($D2753="Manual Review","",IF($G2753="","",IF($D2753="Direct Expiry",$G2753,EDATE($G2753,$F2753)))),"Check Date")</f>
        <v/>
      </c>
      <c r="I2753" s="12" t="str">
        <f aca="true">IF($H2753="","",IF(ISNUMBER($H2753),$H2753-TODAY(),""))</f>
        <v/>
      </c>
      <c r="J2753" s="4" t="str">
        <f aca="true">IF($D2753="Manual Review","Manual Review",IF($G2753="","No Data",IF(NOT(ISNUMBER($H2753)),"N/A",IF($H2753&lt;TODAY(),"Overdue",IF($H2753&lt;=TODAY()+30,"Due within 1 Month",IF($H2753&lt;=TODAY()+60,"Due within 2 Months","OK"))))))</f>
        <v>No Data</v>
      </c>
      <c r="K2753" s="13"/>
    </row>
    <row r="2754" customFormat="false" ht="15" hidden="false" customHeight="false" outlineLevel="0" collapsed="false">
      <c r="A2754" s="9" t="str">
        <f aca="false">Vessels!B29</f>
        <v>Vessel 25</v>
      </c>
      <c r="B2754" s="9" t="s">
        <v>88</v>
      </c>
      <c r="C2754" s="7" t="s">
        <v>100</v>
      </c>
      <c r="D2754" s="9" t="s">
        <v>45</v>
      </c>
      <c r="E2754" s="9" t="s">
        <v>99</v>
      </c>
      <c r="F2754" s="5" t="n">
        <v>60</v>
      </c>
      <c r="G2754" s="10"/>
      <c r="H2754" s="11" t="str">
        <f aca="false">IFERROR(IF($D2754="Manual Review","",IF($G2754="","",IF($D2754="Direct Expiry",$G2754,EDATE($G2754,$F2754)))),"Check Date")</f>
        <v/>
      </c>
      <c r="I2754" s="12" t="str">
        <f aca="true">IF($H2754="","",IF(ISNUMBER($H2754),$H2754-TODAY(),""))</f>
        <v/>
      </c>
      <c r="J2754" s="4" t="str">
        <f aca="true">IF($D2754="Manual Review","Manual Review",IF($G2754="","No Data",IF(NOT(ISNUMBER($H2754)),"N/A",IF($H2754&lt;TODAY(),"Overdue",IF($H2754&lt;=TODAY()+30,"Due within 1 Month",IF($H2754&lt;=TODAY()+60,"Due within 2 Months","OK"))))))</f>
        <v>No Data</v>
      </c>
      <c r="K2754" s="13"/>
    </row>
    <row r="2755" customFormat="false" ht="15" hidden="false" customHeight="false" outlineLevel="0" collapsed="false">
      <c r="A2755" s="9" t="str">
        <f aca="false">Vessels!B29</f>
        <v>Vessel 25</v>
      </c>
      <c r="B2755" s="9" t="s">
        <v>88</v>
      </c>
      <c r="C2755" s="7" t="s">
        <v>101</v>
      </c>
      <c r="D2755" s="9" t="s">
        <v>45</v>
      </c>
      <c r="E2755" s="9" t="s">
        <v>44</v>
      </c>
      <c r="F2755" s="5" t="n">
        <v>12</v>
      </c>
      <c r="G2755" s="10"/>
      <c r="H2755" s="11" t="str">
        <f aca="false">IFERROR(IF($D2755="Manual Review","",IF($G2755="","",IF($D2755="Direct Expiry",$G2755,EDATE($G2755,$F2755)))),"Check Date")</f>
        <v/>
      </c>
      <c r="I2755" s="12" t="str">
        <f aca="true">IF($H2755="","",IF(ISNUMBER($H2755),$H2755-TODAY(),""))</f>
        <v/>
      </c>
      <c r="J2755" s="4" t="str">
        <f aca="true">IF($D2755="Manual Review","Manual Review",IF($G2755="","No Data",IF(NOT(ISNUMBER($H2755)),"N/A",IF($H2755&lt;TODAY(),"Overdue",IF($H2755&lt;=TODAY()+30,"Due within 1 Month",IF($H2755&lt;=TODAY()+60,"Due within 2 Months","OK"))))))</f>
        <v>No Data</v>
      </c>
      <c r="K2755" s="13"/>
    </row>
    <row r="2756" customFormat="false" ht="23.85" hidden="false" customHeight="false" outlineLevel="0" collapsed="false">
      <c r="A2756" s="9" t="str">
        <f aca="false">Vessels!B29</f>
        <v>Vessel 25</v>
      </c>
      <c r="B2756" s="9" t="s">
        <v>88</v>
      </c>
      <c r="C2756" s="7" t="s">
        <v>102</v>
      </c>
      <c r="D2756" s="9" t="s">
        <v>45</v>
      </c>
      <c r="E2756" s="9" t="s">
        <v>44</v>
      </c>
      <c r="F2756" s="5" t="n">
        <v>12</v>
      </c>
      <c r="G2756" s="10"/>
      <c r="H2756" s="11" t="str">
        <f aca="false">IFERROR(IF($D2756="Manual Review","",IF($G2756="","",IF($D2756="Direct Expiry",$G2756,EDATE($G2756,$F2756)))),"Check Date")</f>
        <v/>
      </c>
      <c r="I2756" s="12" t="str">
        <f aca="true">IF($H2756="","",IF(ISNUMBER($H2756),$H2756-TODAY(),""))</f>
        <v/>
      </c>
      <c r="J2756" s="4" t="str">
        <f aca="true">IF($D2756="Manual Review","Manual Review",IF($G2756="","No Data",IF(NOT(ISNUMBER($H2756)),"N/A",IF($H2756&lt;TODAY(),"Overdue",IF($H2756&lt;=TODAY()+30,"Due within 1 Month",IF($H2756&lt;=TODAY()+60,"Due within 2 Months","OK"))))))</f>
        <v>No Data</v>
      </c>
      <c r="K2756" s="13"/>
    </row>
    <row r="2757" customFormat="false" ht="23.85" hidden="false" customHeight="false" outlineLevel="0" collapsed="false">
      <c r="A2757" s="9" t="str">
        <f aca="false">Vessels!B29</f>
        <v>Vessel 25</v>
      </c>
      <c r="B2757" s="9" t="s">
        <v>88</v>
      </c>
      <c r="C2757" s="7" t="s">
        <v>102</v>
      </c>
      <c r="D2757" s="9" t="s">
        <v>45</v>
      </c>
      <c r="E2757" s="9" t="s">
        <v>97</v>
      </c>
      <c r="F2757" s="5" t="n">
        <v>120</v>
      </c>
      <c r="G2757" s="10"/>
      <c r="H2757" s="11" t="str">
        <f aca="false">IFERROR(IF($D2757="Manual Review","",IF($G2757="","",IF($D2757="Direct Expiry",$G2757,EDATE($G2757,$F2757)))),"Check Date")</f>
        <v/>
      </c>
      <c r="I2757" s="12" t="str">
        <f aca="true">IF($H2757="","",IF(ISNUMBER($H2757),$H2757-TODAY(),""))</f>
        <v/>
      </c>
      <c r="J2757" s="4" t="str">
        <f aca="true">IF($D2757="Manual Review","Manual Review",IF($G2757="","No Data",IF(NOT(ISNUMBER($H2757)),"N/A",IF($H2757&lt;TODAY(),"Overdue",IF($H2757&lt;=TODAY()+30,"Due within 1 Month",IF($H2757&lt;=TODAY()+60,"Due within 2 Months","OK"))))))</f>
        <v>No Data</v>
      </c>
      <c r="K2757" s="13"/>
    </row>
    <row r="2758" customFormat="false" ht="15" hidden="false" customHeight="false" outlineLevel="0" collapsed="false">
      <c r="A2758" s="9" t="str">
        <f aca="false">Vessels!B29</f>
        <v>Vessel 25</v>
      </c>
      <c r="B2758" s="9" t="s">
        <v>88</v>
      </c>
      <c r="C2758" s="7" t="s">
        <v>103</v>
      </c>
      <c r="D2758" s="9" t="s">
        <v>45</v>
      </c>
      <c r="E2758" s="9" t="s">
        <v>44</v>
      </c>
      <c r="F2758" s="5" t="n">
        <v>12</v>
      </c>
      <c r="G2758" s="10"/>
      <c r="H2758" s="11" t="str">
        <f aca="false">IFERROR(IF($D2758="Manual Review","",IF($G2758="","",IF($D2758="Direct Expiry",$G2758,EDATE($G2758,$F2758)))),"Check Date")</f>
        <v/>
      </c>
      <c r="I2758" s="12" t="str">
        <f aca="true">IF($H2758="","",IF(ISNUMBER($H2758),$H2758-TODAY(),""))</f>
        <v/>
      </c>
      <c r="J2758" s="4" t="str">
        <f aca="true">IF($D2758="Manual Review","Manual Review",IF($G2758="","No Data",IF(NOT(ISNUMBER($H2758)),"N/A",IF($H2758&lt;TODAY(),"Overdue",IF($H2758&lt;=TODAY()+30,"Due within 1 Month",IF($H2758&lt;=TODAY()+60,"Due within 2 Months","OK"))))))</f>
        <v>No Data</v>
      </c>
      <c r="K2758" s="13"/>
    </row>
    <row r="2759" customFormat="false" ht="15" hidden="false" customHeight="false" outlineLevel="0" collapsed="false">
      <c r="A2759" s="9" t="str">
        <f aca="false">Vessels!B29</f>
        <v>Vessel 25</v>
      </c>
      <c r="B2759" s="9" t="s">
        <v>88</v>
      </c>
      <c r="C2759" s="7" t="s">
        <v>103</v>
      </c>
      <c r="D2759" s="9" t="s">
        <v>45</v>
      </c>
      <c r="E2759" s="9" t="s">
        <v>97</v>
      </c>
      <c r="F2759" s="5" t="n">
        <v>120</v>
      </c>
      <c r="G2759" s="10"/>
      <c r="H2759" s="11" t="str">
        <f aca="false">IFERROR(IF($D2759="Manual Review","",IF($G2759="","",IF($D2759="Direct Expiry",$G2759,EDATE($G2759,$F2759)))),"Check Date")</f>
        <v/>
      </c>
      <c r="I2759" s="12" t="str">
        <f aca="true">IF($H2759="","",IF(ISNUMBER($H2759),$H2759-TODAY(),""))</f>
        <v/>
      </c>
      <c r="J2759" s="4" t="str">
        <f aca="true">IF($D2759="Manual Review","Manual Review",IF($G2759="","No Data",IF(NOT(ISNUMBER($H2759)),"N/A",IF($H2759&lt;TODAY(),"Overdue",IF($H2759&lt;=TODAY()+30,"Due within 1 Month",IF($H2759&lt;=TODAY()+60,"Due within 2 Months","OK"))))))</f>
        <v>No Data</v>
      </c>
      <c r="K2759" s="13"/>
    </row>
    <row r="2760" customFormat="false" ht="15" hidden="false" customHeight="false" outlineLevel="0" collapsed="false">
      <c r="A2760" s="9" t="str">
        <f aca="false">Vessels!B29</f>
        <v>Vessel 25</v>
      </c>
      <c r="B2760" s="9" t="s">
        <v>88</v>
      </c>
      <c r="C2760" s="7" t="s">
        <v>104</v>
      </c>
      <c r="D2760" s="9" t="s">
        <v>45</v>
      </c>
      <c r="E2760" s="9" t="s">
        <v>44</v>
      </c>
      <c r="F2760" s="5" t="n">
        <v>12</v>
      </c>
      <c r="G2760" s="10"/>
      <c r="H2760" s="11" t="str">
        <f aca="false">IFERROR(IF($D2760="Manual Review","",IF($G2760="","",IF($D2760="Direct Expiry",$G2760,EDATE($G2760,$F2760)))),"Check Date")</f>
        <v/>
      </c>
      <c r="I2760" s="12" t="str">
        <f aca="true">IF($H2760="","",IF(ISNUMBER($H2760),$H2760-TODAY(),""))</f>
        <v/>
      </c>
      <c r="J2760" s="4" t="str">
        <f aca="true">IF($D2760="Manual Review","Manual Review",IF($G2760="","No Data",IF(NOT(ISNUMBER($H2760)),"N/A",IF($H2760&lt;TODAY(),"Overdue",IF($H2760&lt;=TODAY()+30,"Due within 1 Month",IF($H2760&lt;=TODAY()+60,"Due within 2 Months","OK"))))))</f>
        <v>No Data</v>
      </c>
      <c r="K2760" s="13"/>
    </row>
    <row r="2761" customFormat="false" ht="15" hidden="false" customHeight="false" outlineLevel="0" collapsed="false">
      <c r="A2761" s="9" t="str">
        <f aca="false">Vessels!B29</f>
        <v>Vessel 25</v>
      </c>
      <c r="B2761" s="9" t="s">
        <v>88</v>
      </c>
      <c r="C2761" s="7" t="s">
        <v>105</v>
      </c>
      <c r="D2761" s="9" t="s">
        <v>45</v>
      </c>
      <c r="E2761" s="9" t="s">
        <v>44</v>
      </c>
      <c r="F2761" s="5" t="n">
        <v>12</v>
      </c>
      <c r="G2761" s="10"/>
      <c r="H2761" s="11" t="str">
        <f aca="false">IFERROR(IF($D2761="Manual Review","",IF($G2761="","",IF($D2761="Direct Expiry",$G2761,EDATE($G2761,$F2761)))),"Check Date")</f>
        <v/>
      </c>
      <c r="I2761" s="12" t="str">
        <f aca="true">IF($H2761="","",IF(ISNUMBER($H2761),$H2761-TODAY(),""))</f>
        <v/>
      </c>
      <c r="J2761" s="4" t="str">
        <f aca="true">IF($D2761="Manual Review","Manual Review",IF($G2761="","No Data",IF(NOT(ISNUMBER($H2761)),"N/A",IF($H2761&lt;TODAY(),"Overdue",IF($H2761&lt;=TODAY()+30,"Due within 1 Month",IF($H2761&lt;=TODAY()+60,"Due within 2 Months","OK"))))))</f>
        <v>No Data</v>
      </c>
      <c r="K2761" s="13"/>
    </row>
    <row r="2762" customFormat="false" ht="15" hidden="false" customHeight="false" outlineLevel="0" collapsed="false">
      <c r="A2762" s="9" t="str">
        <f aca="false">Vessels!B29</f>
        <v>Vessel 25</v>
      </c>
      <c r="B2762" s="9" t="s">
        <v>88</v>
      </c>
      <c r="C2762" s="7" t="s">
        <v>106</v>
      </c>
      <c r="D2762" s="9" t="s">
        <v>45</v>
      </c>
      <c r="E2762" s="9" t="s">
        <v>44</v>
      </c>
      <c r="F2762" s="5" t="n">
        <v>12</v>
      </c>
      <c r="G2762" s="10"/>
      <c r="H2762" s="11" t="str">
        <f aca="false">IFERROR(IF($D2762="Manual Review","",IF($G2762="","",IF($D2762="Direct Expiry",$G2762,EDATE($G2762,$F2762)))),"Check Date")</f>
        <v/>
      </c>
      <c r="I2762" s="12" t="str">
        <f aca="true">IF($H2762="","",IF(ISNUMBER($H2762),$H2762-TODAY(),""))</f>
        <v/>
      </c>
      <c r="J2762" s="4" t="str">
        <f aca="true">IF($D2762="Manual Review","Manual Review",IF($G2762="","No Data",IF(NOT(ISNUMBER($H2762)),"N/A",IF($H2762&lt;TODAY(),"Overdue",IF($H2762&lt;=TODAY()+30,"Due within 1 Month",IF($H2762&lt;=TODAY()+60,"Due within 2 Months","OK"))))))</f>
        <v>No Data</v>
      </c>
      <c r="K2762" s="13"/>
    </row>
    <row r="2763" customFormat="false" ht="15" hidden="false" customHeight="false" outlineLevel="0" collapsed="false">
      <c r="A2763" s="9" t="str">
        <f aca="false">Vessels!B29</f>
        <v>Vessel 25</v>
      </c>
      <c r="B2763" s="9" t="s">
        <v>88</v>
      </c>
      <c r="C2763" s="7" t="s">
        <v>107</v>
      </c>
      <c r="D2763" s="9" t="s">
        <v>45</v>
      </c>
      <c r="E2763" s="9" t="s">
        <v>44</v>
      </c>
      <c r="F2763" s="5" t="n">
        <v>12</v>
      </c>
      <c r="G2763" s="10"/>
      <c r="H2763" s="11" t="str">
        <f aca="false">IFERROR(IF($D2763="Manual Review","",IF($G2763="","",IF($D2763="Direct Expiry",$G2763,EDATE($G2763,$F2763)))),"Check Date")</f>
        <v/>
      </c>
      <c r="I2763" s="12" t="str">
        <f aca="true">IF($H2763="","",IF(ISNUMBER($H2763),$H2763-TODAY(),""))</f>
        <v/>
      </c>
      <c r="J2763" s="4" t="str">
        <f aca="true">IF($D2763="Manual Review","Manual Review",IF($G2763="","No Data",IF(NOT(ISNUMBER($H2763)),"N/A",IF($H2763&lt;TODAY(),"Overdue",IF($H2763&lt;=TODAY()+30,"Due within 1 Month",IF($H2763&lt;=TODAY()+60,"Due within 2 Months","OK"))))))</f>
        <v>No Data</v>
      </c>
      <c r="K2763" s="13"/>
    </row>
    <row r="2764" customFormat="false" ht="15" hidden="false" customHeight="false" outlineLevel="0" collapsed="false">
      <c r="A2764" s="9" t="str">
        <f aca="false">Vessels!B29</f>
        <v>Vessel 25</v>
      </c>
      <c r="B2764" s="9" t="s">
        <v>88</v>
      </c>
      <c r="C2764" s="7" t="s">
        <v>108</v>
      </c>
      <c r="D2764" s="9" t="s">
        <v>45</v>
      </c>
      <c r="E2764" s="9" t="s">
        <v>109</v>
      </c>
      <c r="F2764" s="5" t="n">
        <v>12</v>
      </c>
      <c r="G2764" s="10"/>
      <c r="H2764" s="11" t="str">
        <f aca="false">IFERROR(IF($D2764="Manual Review","",IF($G2764="","",IF($D2764="Direct Expiry",$G2764,EDATE($G2764,$F2764)))),"Check Date")</f>
        <v/>
      </c>
      <c r="I2764" s="12" t="str">
        <f aca="true">IF($H2764="","",IF(ISNUMBER($H2764),$H2764-TODAY(),""))</f>
        <v/>
      </c>
      <c r="J2764" s="4" t="str">
        <f aca="true">IF($D2764="Manual Review","Manual Review",IF($G2764="","No Data",IF(NOT(ISNUMBER($H2764)),"N/A",IF($H2764&lt;TODAY(),"Overdue",IF($H2764&lt;=TODAY()+30,"Due within 1 Month",IF($H2764&lt;=TODAY()+60,"Due within 2 Months","OK"))))))</f>
        <v>No Data</v>
      </c>
      <c r="K2764" s="13"/>
    </row>
    <row r="2765" customFormat="false" ht="15" hidden="false" customHeight="false" outlineLevel="0" collapsed="false">
      <c r="A2765" s="9" t="str">
        <f aca="false">Vessels!B29</f>
        <v>Vessel 25</v>
      </c>
      <c r="B2765" s="9" t="s">
        <v>88</v>
      </c>
      <c r="C2765" s="7" t="s">
        <v>108</v>
      </c>
      <c r="D2765" s="9" t="s">
        <v>45</v>
      </c>
      <c r="E2765" s="9" t="s">
        <v>110</v>
      </c>
      <c r="F2765" s="5" t="n">
        <v>60</v>
      </c>
      <c r="G2765" s="10"/>
      <c r="H2765" s="11" t="str">
        <f aca="false">IFERROR(IF($D2765="Manual Review","",IF($G2765="","",IF($D2765="Direct Expiry",$G2765,EDATE($G2765,$F2765)))),"Check Date")</f>
        <v/>
      </c>
      <c r="I2765" s="12" t="str">
        <f aca="true">IF($H2765="","",IF(ISNUMBER($H2765),$H2765-TODAY(),""))</f>
        <v/>
      </c>
      <c r="J2765" s="4" t="str">
        <f aca="true">IF($D2765="Manual Review","Manual Review",IF($G2765="","No Data",IF(NOT(ISNUMBER($H2765)),"N/A",IF($H2765&lt;TODAY(),"Overdue",IF($H2765&lt;=TODAY()+30,"Due within 1 Month",IF($H2765&lt;=TODAY()+60,"Due within 2 Months","OK"))))))</f>
        <v>No Data</v>
      </c>
      <c r="K2765" s="13"/>
    </row>
    <row r="2766" customFormat="false" ht="15" hidden="false" customHeight="false" outlineLevel="0" collapsed="false">
      <c r="A2766" s="9" t="str">
        <f aca="false">Vessels!B29</f>
        <v>Vessel 25</v>
      </c>
      <c r="B2766" s="9" t="s">
        <v>88</v>
      </c>
      <c r="C2766" s="7" t="s">
        <v>111</v>
      </c>
      <c r="D2766" s="9" t="s">
        <v>45</v>
      </c>
      <c r="E2766" s="9" t="s">
        <v>44</v>
      </c>
      <c r="F2766" s="5" t="n">
        <v>12</v>
      </c>
      <c r="G2766" s="10"/>
      <c r="H2766" s="11" t="str">
        <f aca="false">IFERROR(IF($D2766="Manual Review","",IF($G2766="","",IF($D2766="Direct Expiry",$G2766,EDATE($G2766,$F2766)))),"Check Date")</f>
        <v/>
      </c>
      <c r="I2766" s="12" t="str">
        <f aca="true">IF($H2766="","",IF(ISNUMBER($H2766),$H2766-TODAY(),""))</f>
        <v/>
      </c>
      <c r="J2766" s="4" t="str">
        <f aca="true">IF($D2766="Manual Review","Manual Review",IF($G2766="","No Data",IF(NOT(ISNUMBER($H2766)),"N/A",IF($H2766&lt;TODAY(),"Overdue",IF($H2766&lt;=TODAY()+30,"Due within 1 Month",IF($H2766&lt;=TODAY()+60,"Due within 2 Months","OK"))))))</f>
        <v>No Data</v>
      </c>
      <c r="K2766" s="13"/>
    </row>
    <row r="2767" customFormat="false" ht="15" hidden="false" customHeight="false" outlineLevel="0" collapsed="false">
      <c r="A2767" s="9" t="str">
        <f aca="false">Vessels!B29</f>
        <v>Vessel 25</v>
      </c>
      <c r="B2767" s="9" t="s">
        <v>88</v>
      </c>
      <c r="C2767" s="7" t="s">
        <v>112</v>
      </c>
      <c r="D2767" s="9" t="s">
        <v>45</v>
      </c>
      <c r="E2767" s="9" t="s">
        <v>44</v>
      </c>
      <c r="F2767" s="5" t="n">
        <v>12</v>
      </c>
      <c r="G2767" s="10"/>
      <c r="H2767" s="11" t="str">
        <f aca="false">IFERROR(IF($D2767="Manual Review","",IF($G2767="","",IF($D2767="Direct Expiry",$G2767,EDATE($G2767,$F2767)))),"Check Date")</f>
        <v/>
      </c>
      <c r="I2767" s="12" t="str">
        <f aca="true">IF($H2767="","",IF(ISNUMBER($H2767),$H2767-TODAY(),""))</f>
        <v/>
      </c>
      <c r="J2767" s="4" t="str">
        <f aca="true">IF($D2767="Manual Review","Manual Review",IF($G2767="","No Data",IF(NOT(ISNUMBER($H2767)),"N/A",IF($H2767&lt;TODAY(),"Overdue",IF($H2767&lt;=TODAY()+30,"Due within 1 Month",IF($H2767&lt;=TODAY()+60,"Due within 2 Months","OK"))))))</f>
        <v>No Data</v>
      </c>
      <c r="K2767" s="13"/>
    </row>
    <row r="2768" customFormat="false" ht="15" hidden="false" customHeight="false" outlineLevel="0" collapsed="false">
      <c r="A2768" s="9" t="str">
        <f aca="false">Vessels!B29</f>
        <v>Vessel 25</v>
      </c>
      <c r="B2768" s="9" t="s">
        <v>88</v>
      </c>
      <c r="C2768" s="7" t="s">
        <v>113</v>
      </c>
      <c r="D2768" s="9" t="s">
        <v>115</v>
      </c>
      <c r="E2768" s="9" t="s">
        <v>114</v>
      </c>
      <c r="F2768" s="5"/>
      <c r="G2768" s="10"/>
      <c r="H2768" s="11" t="str">
        <f aca="false">IFERROR(IF($D2768="Manual Review","",IF($G2768="","",IF($D2768="Direct Expiry",$G2768,EDATE($G2768,$F2768)))),"Check Date")</f>
        <v/>
      </c>
      <c r="I2768" s="12" t="str">
        <f aca="true">IF($H2768="","",IF(ISNUMBER($H2768),$H2768-TODAY(),""))</f>
        <v/>
      </c>
      <c r="J2768" s="4" t="str">
        <f aca="true">IF($D2768="Manual Review","Manual Review",IF($G2768="","No Data",IF(NOT(ISNUMBER($H2768)),"N/A",IF($H2768&lt;TODAY(),"Overdue",IF($H2768&lt;=TODAY()+30,"Due within 1 Month",IF($H2768&lt;=TODAY()+60,"Due within 2 Months","OK"))))))</f>
        <v>Manual Review</v>
      </c>
      <c r="K2768" s="13"/>
    </row>
    <row r="2769" customFormat="false" ht="15" hidden="false" customHeight="false" outlineLevel="0" collapsed="false">
      <c r="A2769" s="9" t="str">
        <f aca="false">Vessels!B29</f>
        <v>Vessel 25</v>
      </c>
      <c r="B2769" s="9" t="s">
        <v>88</v>
      </c>
      <c r="C2769" s="7" t="s">
        <v>116</v>
      </c>
      <c r="D2769" s="9" t="s">
        <v>115</v>
      </c>
      <c r="E2769" s="9" t="s">
        <v>114</v>
      </c>
      <c r="F2769" s="5"/>
      <c r="G2769" s="10"/>
      <c r="H2769" s="11" t="str">
        <f aca="false">IFERROR(IF($D2769="Manual Review","",IF($G2769="","",IF($D2769="Direct Expiry",$G2769,EDATE($G2769,$F2769)))),"Check Date")</f>
        <v/>
      </c>
      <c r="I2769" s="12" t="str">
        <f aca="true">IF($H2769="","",IF(ISNUMBER($H2769),$H2769-TODAY(),""))</f>
        <v/>
      </c>
      <c r="J2769" s="4" t="str">
        <f aca="true">IF($D2769="Manual Review","Manual Review",IF($G2769="","No Data",IF(NOT(ISNUMBER($H2769)),"N/A",IF($H2769&lt;TODAY(),"Overdue",IF($H2769&lt;=TODAY()+30,"Due within 1 Month",IF($H2769&lt;=TODAY()+60,"Due within 2 Months","OK"))))))</f>
        <v>Manual Review</v>
      </c>
      <c r="K2769" s="13"/>
    </row>
    <row r="2770" customFormat="false" ht="15" hidden="false" customHeight="false" outlineLevel="0" collapsed="false">
      <c r="A2770" s="9" t="str">
        <f aca="false">Vessels!B29</f>
        <v>Vessel 25</v>
      </c>
      <c r="B2770" s="9" t="s">
        <v>117</v>
      </c>
      <c r="C2770" s="7" t="s">
        <v>118</v>
      </c>
      <c r="D2770" s="9" t="s">
        <v>59</v>
      </c>
      <c r="E2770" s="9" t="s">
        <v>119</v>
      </c>
      <c r="F2770" s="5"/>
      <c r="G2770" s="10"/>
      <c r="H2770" s="11" t="str">
        <f aca="false">IFERROR(IF($D2770="Manual Review","",IF($G2770="","",IF($D2770="Direct Expiry",$G2770,EDATE($G2770,$F2770)))),"Check Date")</f>
        <v/>
      </c>
      <c r="I2770" s="12" t="str">
        <f aca="true">IF($H2770="","",IF(ISNUMBER($H2770),$H2770-TODAY(),""))</f>
        <v/>
      </c>
      <c r="J2770" s="4" t="str">
        <f aca="true">IF($D2770="Manual Review","Manual Review",IF($G2770="","No Data",IF(NOT(ISNUMBER($H2770)),"N/A",IF($H2770&lt;TODAY(),"Overdue",IF($H2770&lt;=TODAY()+30,"Due within 1 Month",IF($H2770&lt;=TODAY()+60,"Due within 2 Months","OK"))))))</f>
        <v>No Data</v>
      </c>
      <c r="K2770" s="13"/>
    </row>
    <row r="2771" customFormat="false" ht="15" hidden="false" customHeight="false" outlineLevel="0" collapsed="false">
      <c r="A2771" s="9" t="str">
        <f aca="false">Vessels!B29</f>
        <v>Vessel 25</v>
      </c>
      <c r="B2771" s="9" t="s">
        <v>117</v>
      </c>
      <c r="C2771" s="7" t="s">
        <v>120</v>
      </c>
      <c r="D2771" s="9" t="s">
        <v>45</v>
      </c>
      <c r="E2771" s="9" t="s">
        <v>44</v>
      </c>
      <c r="F2771" s="5" t="n">
        <v>12</v>
      </c>
      <c r="G2771" s="10"/>
      <c r="H2771" s="11" t="str">
        <f aca="false">IFERROR(IF($D2771="Manual Review","",IF($G2771="","",IF($D2771="Direct Expiry",$G2771,EDATE($G2771,$F2771)))),"Check Date")</f>
        <v/>
      </c>
      <c r="I2771" s="12" t="str">
        <f aca="true">IF($H2771="","",IF(ISNUMBER($H2771),$H2771-TODAY(),""))</f>
        <v/>
      </c>
      <c r="J2771" s="4" t="str">
        <f aca="true">IF($D2771="Manual Review","Manual Review",IF($G2771="","No Data",IF(NOT(ISNUMBER($H2771)),"N/A",IF($H2771&lt;TODAY(),"Overdue",IF($H2771&lt;=TODAY()+30,"Due within 1 Month",IF($H2771&lt;=TODAY()+60,"Due within 2 Months","OK"))))))</f>
        <v>No Data</v>
      </c>
      <c r="K2771" s="13"/>
    </row>
    <row r="2772" customFormat="false" ht="15" hidden="false" customHeight="false" outlineLevel="0" collapsed="false">
      <c r="A2772" s="9" t="str">
        <f aca="false">Vessels!B29</f>
        <v>Vessel 25</v>
      </c>
      <c r="B2772" s="9" t="s">
        <v>117</v>
      </c>
      <c r="C2772" s="7" t="s">
        <v>121</v>
      </c>
      <c r="D2772" s="9" t="s">
        <v>45</v>
      </c>
      <c r="E2772" s="9" t="s">
        <v>44</v>
      </c>
      <c r="F2772" s="5" t="n">
        <v>12</v>
      </c>
      <c r="G2772" s="10"/>
      <c r="H2772" s="11" t="str">
        <f aca="false">IFERROR(IF($D2772="Manual Review","",IF($G2772="","",IF($D2772="Direct Expiry",$G2772,EDATE($G2772,$F2772)))),"Check Date")</f>
        <v/>
      </c>
      <c r="I2772" s="12" t="str">
        <f aca="true">IF($H2772="","",IF(ISNUMBER($H2772),$H2772-TODAY(),""))</f>
        <v/>
      </c>
      <c r="J2772" s="4" t="str">
        <f aca="true">IF($D2772="Manual Review","Manual Review",IF($G2772="","No Data",IF(NOT(ISNUMBER($H2772)),"N/A",IF($H2772&lt;TODAY(),"Overdue",IF($H2772&lt;=TODAY()+30,"Due within 1 Month",IF($H2772&lt;=TODAY()+60,"Due within 2 Months","OK"))))))</f>
        <v>No Data</v>
      </c>
      <c r="K2772" s="13"/>
    </row>
    <row r="2773" customFormat="false" ht="15" hidden="false" customHeight="false" outlineLevel="0" collapsed="false">
      <c r="A2773" s="9" t="str">
        <f aca="false">Vessels!B29</f>
        <v>Vessel 25</v>
      </c>
      <c r="B2773" s="9" t="s">
        <v>117</v>
      </c>
      <c r="C2773" s="7" t="s">
        <v>122</v>
      </c>
      <c r="D2773" s="9" t="s">
        <v>45</v>
      </c>
      <c r="E2773" s="9" t="s">
        <v>123</v>
      </c>
      <c r="F2773" s="5" t="n">
        <v>24</v>
      </c>
      <c r="G2773" s="10"/>
      <c r="H2773" s="11" t="str">
        <f aca="false">IFERROR(IF($D2773="Manual Review","",IF($G2773="","",IF($D2773="Direct Expiry",$G2773,EDATE($G2773,$F2773)))),"Check Date")</f>
        <v/>
      </c>
      <c r="I2773" s="12" t="str">
        <f aca="true">IF($H2773="","",IF(ISNUMBER($H2773),$H2773-TODAY(),""))</f>
        <v/>
      </c>
      <c r="J2773" s="4" t="str">
        <f aca="true">IF($D2773="Manual Review","Manual Review",IF($G2773="","No Data",IF(NOT(ISNUMBER($H2773)),"N/A",IF($H2773&lt;TODAY(),"Overdue",IF($H2773&lt;=TODAY()+30,"Due within 1 Month",IF($H2773&lt;=TODAY()+60,"Due within 2 Months","OK"))))))</f>
        <v>No Data</v>
      </c>
      <c r="K2773" s="13"/>
    </row>
    <row r="2774" customFormat="false" ht="15" hidden="false" customHeight="false" outlineLevel="0" collapsed="false">
      <c r="A2774" s="9" t="str">
        <f aca="false">Vessels!B29</f>
        <v>Vessel 25</v>
      </c>
      <c r="B2774" s="9" t="s">
        <v>117</v>
      </c>
      <c r="C2774" s="7" t="s">
        <v>124</v>
      </c>
      <c r="D2774" s="9" t="s">
        <v>59</v>
      </c>
      <c r="E2774" s="9" t="s">
        <v>58</v>
      </c>
      <c r="F2774" s="5"/>
      <c r="G2774" s="10"/>
      <c r="H2774" s="11" t="str">
        <f aca="false">IFERROR(IF($D2774="Manual Review","",IF($G2774="","",IF($D2774="Direct Expiry",$G2774,EDATE($G2774,$F2774)))),"Check Date")</f>
        <v/>
      </c>
      <c r="I2774" s="12" t="str">
        <f aca="true">IF($H2774="","",IF(ISNUMBER($H2774),$H2774-TODAY(),""))</f>
        <v/>
      </c>
      <c r="J2774" s="4" t="str">
        <f aca="true">IF($D2774="Manual Review","Manual Review",IF($G2774="","No Data",IF(NOT(ISNUMBER($H2774)),"N/A",IF($H2774&lt;TODAY(),"Overdue",IF($H2774&lt;=TODAY()+30,"Due within 1 Month",IF($H2774&lt;=TODAY()+60,"Due within 2 Months","OK"))))))</f>
        <v>No Data</v>
      </c>
      <c r="K2774" s="13"/>
    </row>
    <row r="2775" customFormat="false" ht="15" hidden="false" customHeight="false" outlineLevel="0" collapsed="false">
      <c r="A2775" s="9" t="str">
        <f aca="false">Vessels!B29</f>
        <v>Vessel 25</v>
      </c>
      <c r="B2775" s="9" t="s">
        <v>117</v>
      </c>
      <c r="C2775" s="7" t="s">
        <v>125</v>
      </c>
      <c r="D2775" s="9" t="s">
        <v>59</v>
      </c>
      <c r="E2775" s="9" t="s">
        <v>58</v>
      </c>
      <c r="F2775" s="5"/>
      <c r="G2775" s="10"/>
      <c r="H2775" s="11" t="str">
        <f aca="false">IFERROR(IF($D2775="Manual Review","",IF($G2775="","",IF($D2775="Direct Expiry",$G2775,EDATE($G2775,$F2775)))),"Check Date")</f>
        <v/>
      </c>
      <c r="I2775" s="12" t="str">
        <f aca="true">IF($H2775="","",IF(ISNUMBER($H2775),$H2775-TODAY(),""))</f>
        <v/>
      </c>
      <c r="J2775" s="4" t="str">
        <f aca="true">IF($D2775="Manual Review","Manual Review",IF($G2775="","No Data",IF(NOT(ISNUMBER($H2775)),"N/A",IF($H2775&lt;TODAY(),"Overdue",IF($H2775&lt;=TODAY()+30,"Due within 1 Month",IF($H2775&lt;=TODAY()+60,"Due within 2 Months","OK"))))))</f>
        <v>No Data</v>
      </c>
      <c r="K2775" s="13"/>
    </row>
    <row r="2776" customFormat="false" ht="15" hidden="false" customHeight="false" outlineLevel="0" collapsed="false">
      <c r="A2776" s="9" t="str">
        <f aca="false">Vessels!B29</f>
        <v>Vessel 25</v>
      </c>
      <c r="B2776" s="9" t="s">
        <v>117</v>
      </c>
      <c r="C2776" s="7" t="s">
        <v>126</v>
      </c>
      <c r="D2776" s="9" t="s">
        <v>45</v>
      </c>
      <c r="E2776" s="9" t="s">
        <v>44</v>
      </c>
      <c r="F2776" s="5" t="n">
        <v>12</v>
      </c>
      <c r="G2776" s="10"/>
      <c r="H2776" s="11" t="str">
        <f aca="false">IFERROR(IF($D2776="Manual Review","",IF($G2776="","",IF($D2776="Direct Expiry",$G2776,EDATE($G2776,$F2776)))),"Check Date")</f>
        <v/>
      </c>
      <c r="I2776" s="12" t="str">
        <f aca="true">IF($H2776="","",IF(ISNUMBER($H2776),$H2776-TODAY(),""))</f>
        <v/>
      </c>
      <c r="J2776" s="4" t="str">
        <f aca="true">IF($D2776="Manual Review","Manual Review",IF($G2776="","No Data",IF(NOT(ISNUMBER($H2776)),"N/A",IF($H2776&lt;TODAY(),"Overdue",IF($H2776&lt;=TODAY()+30,"Due within 1 Month",IF($H2776&lt;=TODAY()+60,"Due within 2 Months","OK"))))))</f>
        <v>No Data</v>
      </c>
      <c r="K2776" s="13"/>
    </row>
    <row r="2777" customFormat="false" ht="15" hidden="false" customHeight="false" outlineLevel="0" collapsed="false">
      <c r="A2777" s="9" t="str">
        <f aca="false">Vessels!B29</f>
        <v>Vessel 25</v>
      </c>
      <c r="B2777" s="9" t="s">
        <v>117</v>
      </c>
      <c r="C2777" s="7" t="s">
        <v>127</v>
      </c>
      <c r="D2777" s="9" t="s">
        <v>59</v>
      </c>
      <c r="E2777" s="9" t="s">
        <v>58</v>
      </c>
      <c r="F2777" s="5"/>
      <c r="G2777" s="10"/>
      <c r="H2777" s="11" t="str">
        <f aca="false">IFERROR(IF($D2777="Manual Review","",IF($G2777="","",IF($D2777="Direct Expiry",$G2777,EDATE($G2777,$F2777)))),"Check Date")</f>
        <v/>
      </c>
      <c r="I2777" s="12" t="str">
        <f aca="true">IF($H2777="","",IF(ISNUMBER($H2777),$H2777-TODAY(),""))</f>
        <v/>
      </c>
      <c r="J2777" s="4" t="str">
        <f aca="true">IF($D2777="Manual Review","Manual Review",IF($G2777="","No Data",IF(NOT(ISNUMBER($H2777)),"N/A",IF($H2777&lt;TODAY(),"Overdue",IF($H2777&lt;=TODAY()+30,"Due within 1 Month",IF($H2777&lt;=TODAY()+60,"Due within 2 Months","OK"))))))</f>
        <v>No Data</v>
      </c>
      <c r="K2777" s="13"/>
    </row>
    <row r="2778" customFormat="false" ht="15" hidden="false" customHeight="false" outlineLevel="0" collapsed="false">
      <c r="A2778" s="9" t="str">
        <f aca="false">Vessels!B29</f>
        <v>Vessel 25</v>
      </c>
      <c r="B2778" s="9" t="s">
        <v>117</v>
      </c>
      <c r="C2778" s="7" t="s">
        <v>128</v>
      </c>
      <c r="D2778" s="9" t="s">
        <v>59</v>
      </c>
      <c r="E2778" s="9" t="s">
        <v>58</v>
      </c>
      <c r="F2778" s="5"/>
      <c r="G2778" s="10"/>
      <c r="H2778" s="11" t="str">
        <f aca="false">IFERROR(IF($D2778="Manual Review","",IF($G2778="","",IF($D2778="Direct Expiry",$G2778,EDATE($G2778,$F2778)))),"Check Date")</f>
        <v/>
      </c>
      <c r="I2778" s="12" t="str">
        <f aca="true">IF($H2778="","",IF(ISNUMBER($H2778),$H2778-TODAY(),""))</f>
        <v/>
      </c>
      <c r="J2778" s="4" t="str">
        <f aca="true">IF($D2778="Manual Review","Manual Review",IF($G2778="","No Data",IF(NOT(ISNUMBER($H2778)),"N/A",IF($H2778&lt;TODAY(),"Overdue",IF($H2778&lt;=TODAY()+30,"Due within 1 Month",IF($H2778&lt;=TODAY()+60,"Due within 2 Months","OK"))))))</f>
        <v>No Data</v>
      </c>
      <c r="K2778" s="13"/>
    </row>
    <row r="2779" customFormat="false" ht="15" hidden="false" customHeight="false" outlineLevel="0" collapsed="false">
      <c r="A2779" s="9" t="str">
        <f aca="false">Vessels!B29</f>
        <v>Vessel 25</v>
      </c>
      <c r="B2779" s="9" t="s">
        <v>117</v>
      </c>
      <c r="C2779" s="7" t="s">
        <v>129</v>
      </c>
      <c r="D2779" s="9" t="s">
        <v>59</v>
      </c>
      <c r="E2779" s="9" t="s">
        <v>58</v>
      </c>
      <c r="F2779" s="5"/>
      <c r="G2779" s="10"/>
      <c r="H2779" s="11" t="str">
        <f aca="false">IFERROR(IF($D2779="Manual Review","",IF($G2779="","",IF($D2779="Direct Expiry",$G2779,EDATE($G2779,$F2779)))),"Check Date")</f>
        <v/>
      </c>
      <c r="I2779" s="12" t="str">
        <f aca="true">IF($H2779="","",IF(ISNUMBER($H2779),$H2779-TODAY(),""))</f>
        <v/>
      </c>
      <c r="J2779" s="4" t="str">
        <f aca="true">IF($D2779="Manual Review","Manual Review",IF($G2779="","No Data",IF(NOT(ISNUMBER($H2779)),"N/A",IF($H2779&lt;TODAY(),"Overdue",IF($H2779&lt;=TODAY()+30,"Due within 1 Month",IF($H2779&lt;=TODAY()+60,"Due within 2 Months","OK"))))))</f>
        <v>No Data</v>
      </c>
      <c r="K2779" s="13"/>
    </row>
    <row r="2780" customFormat="false" ht="15" hidden="false" customHeight="false" outlineLevel="0" collapsed="false">
      <c r="A2780" s="9" t="str">
        <f aca="false">Vessels!B29</f>
        <v>Vessel 25</v>
      </c>
      <c r="B2780" s="9" t="s">
        <v>117</v>
      </c>
      <c r="C2780" s="7" t="s">
        <v>130</v>
      </c>
      <c r="D2780" s="9" t="s">
        <v>45</v>
      </c>
      <c r="E2780" s="9" t="s">
        <v>44</v>
      </c>
      <c r="F2780" s="5" t="n">
        <v>12</v>
      </c>
      <c r="G2780" s="10"/>
      <c r="H2780" s="11" t="str">
        <f aca="false">IFERROR(IF($D2780="Manual Review","",IF($G2780="","",IF($D2780="Direct Expiry",$G2780,EDATE($G2780,$F2780)))),"Check Date")</f>
        <v/>
      </c>
      <c r="I2780" s="12" t="str">
        <f aca="true">IF($H2780="","",IF(ISNUMBER($H2780),$H2780-TODAY(),""))</f>
        <v/>
      </c>
      <c r="J2780" s="4" t="str">
        <f aca="true">IF($D2780="Manual Review","Manual Review",IF($G2780="","No Data",IF(NOT(ISNUMBER($H2780)),"N/A",IF($H2780&lt;TODAY(),"Overdue",IF($H2780&lt;=TODAY()+30,"Due within 1 Month",IF($H2780&lt;=TODAY()+60,"Due within 2 Months","OK"))))))</f>
        <v>No Data</v>
      </c>
      <c r="K2780" s="13"/>
    </row>
    <row r="2781" customFormat="false" ht="15" hidden="false" customHeight="false" outlineLevel="0" collapsed="false">
      <c r="A2781" s="9" t="str">
        <f aca="false">Vessels!B29</f>
        <v>Vessel 25</v>
      </c>
      <c r="B2781" s="9" t="s">
        <v>117</v>
      </c>
      <c r="C2781" s="7" t="s">
        <v>131</v>
      </c>
      <c r="D2781" s="9" t="s">
        <v>45</v>
      </c>
      <c r="E2781" s="9" t="s">
        <v>44</v>
      </c>
      <c r="F2781" s="5" t="n">
        <v>12</v>
      </c>
      <c r="G2781" s="10"/>
      <c r="H2781" s="11" t="str">
        <f aca="false">IFERROR(IF($D2781="Manual Review","",IF($G2781="","",IF($D2781="Direct Expiry",$G2781,EDATE($G2781,$F2781)))),"Check Date")</f>
        <v/>
      </c>
      <c r="I2781" s="12" t="str">
        <f aca="true">IF($H2781="","",IF(ISNUMBER($H2781),$H2781-TODAY(),""))</f>
        <v/>
      </c>
      <c r="J2781" s="4" t="str">
        <f aca="true">IF($D2781="Manual Review","Manual Review",IF($G2781="","No Data",IF(NOT(ISNUMBER($H2781)),"N/A",IF($H2781&lt;TODAY(),"Overdue",IF($H2781&lt;=TODAY()+30,"Due within 1 Month",IF($H2781&lt;=TODAY()+60,"Due within 2 Months","OK"))))))</f>
        <v>No Data</v>
      </c>
      <c r="K2781" s="13"/>
    </row>
    <row r="2782" customFormat="false" ht="15" hidden="false" customHeight="false" outlineLevel="0" collapsed="false">
      <c r="A2782" s="9" t="str">
        <f aca="false">Vessels!B29</f>
        <v>Vessel 25</v>
      </c>
      <c r="B2782" s="9" t="s">
        <v>117</v>
      </c>
      <c r="C2782" s="7" t="s">
        <v>132</v>
      </c>
      <c r="D2782" s="9" t="s">
        <v>45</v>
      </c>
      <c r="E2782" s="9" t="s">
        <v>44</v>
      </c>
      <c r="F2782" s="5" t="n">
        <v>12</v>
      </c>
      <c r="G2782" s="10"/>
      <c r="H2782" s="11" t="str">
        <f aca="false">IFERROR(IF($D2782="Manual Review","",IF($G2782="","",IF($D2782="Direct Expiry",$G2782,EDATE($G2782,$F2782)))),"Check Date")</f>
        <v/>
      </c>
      <c r="I2782" s="12" t="str">
        <f aca="true">IF($H2782="","",IF(ISNUMBER($H2782),$H2782-TODAY(),""))</f>
        <v/>
      </c>
      <c r="J2782" s="4" t="str">
        <f aca="true">IF($D2782="Manual Review","Manual Review",IF($G2782="","No Data",IF(NOT(ISNUMBER($H2782)),"N/A",IF($H2782&lt;TODAY(),"Overdue",IF($H2782&lt;=TODAY()+30,"Due within 1 Month",IF($H2782&lt;=TODAY()+60,"Due within 2 Months","OK"))))))</f>
        <v>No Data</v>
      </c>
      <c r="K2782" s="13"/>
    </row>
    <row r="2783" customFormat="false" ht="15" hidden="false" customHeight="false" outlineLevel="0" collapsed="false">
      <c r="A2783" s="9" t="str">
        <f aca="false">Vessels!B29</f>
        <v>Vessel 25</v>
      </c>
      <c r="B2783" s="9" t="s">
        <v>117</v>
      </c>
      <c r="C2783" s="7" t="s">
        <v>133</v>
      </c>
      <c r="D2783" s="9" t="s">
        <v>45</v>
      </c>
      <c r="E2783" s="9" t="s">
        <v>44</v>
      </c>
      <c r="F2783" s="5" t="n">
        <v>12</v>
      </c>
      <c r="G2783" s="10"/>
      <c r="H2783" s="11" t="str">
        <f aca="false">IFERROR(IF($D2783="Manual Review","",IF($G2783="","",IF($D2783="Direct Expiry",$G2783,EDATE($G2783,$F2783)))),"Check Date")</f>
        <v/>
      </c>
      <c r="I2783" s="12" t="str">
        <f aca="true">IF($H2783="","",IF(ISNUMBER($H2783),$H2783-TODAY(),""))</f>
        <v/>
      </c>
      <c r="J2783" s="4" t="str">
        <f aca="true">IF($D2783="Manual Review","Manual Review",IF($G2783="","No Data",IF(NOT(ISNUMBER($H2783)),"N/A",IF($H2783&lt;TODAY(),"Overdue",IF($H2783&lt;=TODAY()+30,"Due within 1 Month",IF($H2783&lt;=TODAY()+60,"Due within 2 Months","OK"))))))</f>
        <v>No Data</v>
      </c>
      <c r="K2783" s="13"/>
    </row>
    <row r="2784" customFormat="false" ht="15" hidden="false" customHeight="false" outlineLevel="0" collapsed="false">
      <c r="A2784" s="9" t="str">
        <f aca="false">Vessels!B29</f>
        <v>Vessel 25</v>
      </c>
      <c r="B2784" s="9" t="s">
        <v>117</v>
      </c>
      <c r="C2784" s="7" t="s">
        <v>134</v>
      </c>
      <c r="D2784" s="9" t="s">
        <v>45</v>
      </c>
      <c r="E2784" s="9" t="s">
        <v>44</v>
      </c>
      <c r="F2784" s="5" t="n">
        <v>12</v>
      </c>
      <c r="G2784" s="10"/>
      <c r="H2784" s="11" t="str">
        <f aca="false">IFERROR(IF($D2784="Manual Review","",IF($G2784="","",IF($D2784="Direct Expiry",$G2784,EDATE($G2784,$F2784)))),"Check Date")</f>
        <v/>
      </c>
      <c r="I2784" s="12" t="str">
        <f aca="true">IF($H2784="","",IF(ISNUMBER($H2784),$H2784-TODAY(),""))</f>
        <v/>
      </c>
      <c r="J2784" s="4" t="str">
        <f aca="true">IF($D2784="Manual Review","Manual Review",IF($G2784="","No Data",IF(NOT(ISNUMBER($H2784)),"N/A",IF($H2784&lt;TODAY(),"Overdue",IF($H2784&lt;=TODAY()+30,"Due within 1 Month",IF($H2784&lt;=TODAY()+60,"Due within 2 Months","OK"))))))</f>
        <v>No Data</v>
      </c>
      <c r="K2784" s="13"/>
    </row>
    <row r="2785" customFormat="false" ht="15" hidden="false" customHeight="false" outlineLevel="0" collapsed="false">
      <c r="A2785" s="9" t="str">
        <f aca="false">Vessels!B29</f>
        <v>Vessel 25</v>
      </c>
      <c r="B2785" s="9" t="s">
        <v>117</v>
      </c>
      <c r="C2785" s="7" t="s">
        <v>135</v>
      </c>
      <c r="D2785" s="9" t="s">
        <v>45</v>
      </c>
      <c r="E2785" s="9" t="s">
        <v>44</v>
      </c>
      <c r="F2785" s="5" t="n">
        <v>12</v>
      </c>
      <c r="G2785" s="10"/>
      <c r="H2785" s="11" t="str">
        <f aca="false">IFERROR(IF($D2785="Manual Review","",IF($G2785="","",IF($D2785="Direct Expiry",$G2785,EDATE($G2785,$F2785)))),"Check Date")</f>
        <v/>
      </c>
      <c r="I2785" s="12" t="str">
        <f aca="true">IF($H2785="","",IF(ISNUMBER($H2785),$H2785-TODAY(),""))</f>
        <v/>
      </c>
      <c r="J2785" s="4" t="str">
        <f aca="true">IF($D2785="Manual Review","Manual Review",IF($G2785="","No Data",IF(NOT(ISNUMBER($H2785)),"N/A",IF($H2785&lt;TODAY(),"Overdue",IF($H2785&lt;=TODAY()+30,"Due within 1 Month",IF($H2785&lt;=TODAY()+60,"Due within 2 Months","OK"))))))</f>
        <v>No Data</v>
      </c>
      <c r="K2785" s="13"/>
    </row>
    <row r="2786" customFormat="false" ht="15" hidden="false" customHeight="false" outlineLevel="0" collapsed="false">
      <c r="A2786" s="9" t="str">
        <f aca="false">Vessels!B29</f>
        <v>Vessel 25</v>
      </c>
      <c r="B2786" s="9" t="s">
        <v>136</v>
      </c>
      <c r="C2786" s="7" t="s">
        <v>137</v>
      </c>
      <c r="D2786" s="9" t="s">
        <v>45</v>
      </c>
      <c r="E2786" s="9" t="s">
        <v>44</v>
      </c>
      <c r="F2786" s="5" t="n">
        <v>12</v>
      </c>
      <c r="G2786" s="10"/>
      <c r="H2786" s="11" t="str">
        <f aca="false">IFERROR(IF($D2786="Manual Review","",IF($G2786="","",IF($D2786="Direct Expiry",$G2786,EDATE($G2786,$F2786)))),"Check Date")</f>
        <v/>
      </c>
      <c r="I2786" s="12" t="str">
        <f aca="true">IF($H2786="","",IF(ISNUMBER($H2786),$H2786-TODAY(),""))</f>
        <v/>
      </c>
      <c r="J2786" s="4" t="str">
        <f aca="true">IF($D2786="Manual Review","Manual Review",IF($G2786="","No Data",IF(NOT(ISNUMBER($H2786)),"N/A",IF($H2786&lt;TODAY(),"Overdue",IF($H2786&lt;=TODAY()+30,"Due within 1 Month",IF($H2786&lt;=TODAY()+60,"Due within 2 Months","OK"))))))</f>
        <v>No Data</v>
      </c>
      <c r="K2786" s="13"/>
    </row>
    <row r="2787" customFormat="false" ht="15" hidden="false" customHeight="false" outlineLevel="0" collapsed="false">
      <c r="A2787" s="9" t="str">
        <f aca="false">Vessels!B29</f>
        <v>Vessel 25</v>
      </c>
      <c r="B2787" s="9" t="s">
        <v>136</v>
      </c>
      <c r="C2787" s="7" t="s">
        <v>138</v>
      </c>
      <c r="D2787" s="9" t="s">
        <v>45</v>
      </c>
      <c r="E2787" s="9" t="s">
        <v>44</v>
      </c>
      <c r="F2787" s="5" t="n">
        <v>12</v>
      </c>
      <c r="G2787" s="10"/>
      <c r="H2787" s="11" t="str">
        <f aca="false">IFERROR(IF($D2787="Manual Review","",IF($G2787="","",IF($D2787="Direct Expiry",$G2787,EDATE($G2787,$F2787)))),"Check Date")</f>
        <v/>
      </c>
      <c r="I2787" s="12" t="str">
        <f aca="true">IF($H2787="","",IF(ISNUMBER($H2787),$H2787-TODAY(),""))</f>
        <v/>
      </c>
      <c r="J2787" s="4" t="str">
        <f aca="true">IF($D2787="Manual Review","Manual Review",IF($G2787="","No Data",IF(NOT(ISNUMBER($H2787)),"N/A",IF($H2787&lt;TODAY(),"Overdue",IF($H2787&lt;=TODAY()+30,"Due within 1 Month",IF($H2787&lt;=TODAY()+60,"Due within 2 Months","OK"))))))</f>
        <v>No Data</v>
      </c>
      <c r="K2787" s="13"/>
    </row>
    <row r="2788" customFormat="false" ht="15" hidden="false" customHeight="false" outlineLevel="0" collapsed="false">
      <c r="A2788" s="9" t="str">
        <f aca="false">Vessels!B29</f>
        <v>Vessel 25</v>
      </c>
      <c r="B2788" s="9" t="s">
        <v>136</v>
      </c>
      <c r="C2788" s="7" t="s">
        <v>139</v>
      </c>
      <c r="D2788" s="9" t="s">
        <v>45</v>
      </c>
      <c r="E2788" s="9" t="s">
        <v>140</v>
      </c>
      <c r="F2788" s="5" t="n">
        <v>12</v>
      </c>
      <c r="G2788" s="10"/>
      <c r="H2788" s="11" t="str">
        <f aca="false">IFERROR(IF($D2788="Manual Review","",IF($G2788="","",IF($D2788="Direct Expiry",$G2788,EDATE($G2788,$F2788)))),"Check Date")</f>
        <v/>
      </c>
      <c r="I2788" s="12" t="str">
        <f aca="true">IF($H2788="","",IF(ISNUMBER($H2788),$H2788-TODAY(),""))</f>
        <v/>
      </c>
      <c r="J2788" s="4" t="str">
        <f aca="true">IF($D2788="Manual Review","Manual Review",IF($G2788="","No Data",IF(NOT(ISNUMBER($H2788)),"N/A",IF($H2788&lt;TODAY(),"Overdue",IF($H2788&lt;=TODAY()+30,"Due within 1 Month",IF($H2788&lt;=TODAY()+60,"Due within 2 Months","OK"))))))</f>
        <v>No Data</v>
      </c>
      <c r="K2788" s="13"/>
    </row>
    <row r="2789" customFormat="false" ht="15" hidden="false" customHeight="false" outlineLevel="0" collapsed="false">
      <c r="A2789" s="9" t="str">
        <f aca="false">Vessels!B29</f>
        <v>Vessel 25</v>
      </c>
      <c r="B2789" s="9" t="s">
        <v>136</v>
      </c>
      <c r="C2789" s="7" t="s">
        <v>141</v>
      </c>
      <c r="D2789" s="9" t="s">
        <v>45</v>
      </c>
      <c r="E2789" s="9" t="s">
        <v>44</v>
      </c>
      <c r="F2789" s="5" t="n">
        <v>12</v>
      </c>
      <c r="G2789" s="10"/>
      <c r="H2789" s="11" t="str">
        <f aca="false">IFERROR(IF($D2789="Manual Review","",IF($G2789="","",IF($D2789="Direct Expiry",$G2789,EDATE($G2789,$F2789)))),"Check Date")</f>
        <v/>
      </c>
      <c r="I2789" s="12" t="str">
        <f aca="true">IF($H2789="","",IF(ISNUMBER($H2789),$H2789-TODAY(),""))</f>
        <v/>
      </c>
      <c r="J2789" s="4" t="str">
        <f aca="true">IF($D2789="Manual Review","Manual Review",IF($G2789="","No Data",IF(NOT(ISNUMBER($H2789)),"N/A",IF($H2789&lt;TODAY(),"Overdue",IF($H2789&lt;=TODAY()+30,"Due within 1 Month",IF($H2789&lt;=TODAY()+60,"Due within 2 Months","OK"))))))</f>
        <v>No Data</v>
      </c>
      <c r="K2789" s="13"/>
    </row>
    <row r="2790" customFormat="false" ht="15" hidden="false" customHeight="false" outlineLevel="0" collapsed="false">
      <c r="A2790" s="9" t="str">
        <f aca="false">Vessels!B29</f>
        <v>Vessel 25</v>
      </c>
      <c r="B2790" s="9" t="s">
        <v>136</v>
      </c>
      <c r="C2790" s="7" t="s">
        <v>142</v>
      </c>
      <c r="D2790" s="9" t="s">
        <v>115</v>
      </c>
      <c r="E2790" s="9" t="s">
        <v>143</v>
      </c>
      <c r="F2790" s="5"/>
      <c r="G2790" s="10"/>
      <c r="H2790" s="11" t="str">
        <f aca="false">IFERROR(IF($D2790="Manual Review","",IF($G2790="","",IF($D2790="Direct Expiry",$G2790,EDATE($G2790,$F2790)))),"Check Date")</f>
        <v/>
      </c>
      <c r="I2790" s="12" t="str">
        <f aca="true">IF($H2790="","",IF(ISNUMBER($H2790),$H2790-TODAY(),""))</f>
        <v/>
      </c>
      <c r="J2790" s="4" t="str">
        <f aca="true">IF($D2790="Manual Review","Manual Review",IF($G2790="","No Data",IF(NOT(ISNUMBER($H2790)),"N/A",IF($H2790&lt;TODAY(),"Overdue",IF($H2790&lt;=TODAY()+30,"Due within 1 Month",IF($H2790&lt;=TODAY()+60,"Due within 2 Months","OK"))))))</f>
        <v>Manual Review</v>
      </c>
      <c r="K2790" s="13"/>
    </row>
    <row r="2791" customFormat="false" ht="15" hidden="false" customHeight="false" outlineLevel="0" collapsed="false">
      <c r="A2791" s="9" t="str">
        <f aca="false">Vessels!B29</f>
        <v>Vessel 25</v>
      </c>
      <c r="B2791" s="9" t="s">
        <v>136</v>
      </c>
      <c r="C2791" s="7" t="s">
        <v>144</v>
      </c>
      <c r="D2791" s="9" t="s">
        <v>45</v>
      </c>
      <c r="E2791" s="9" t="s">
        <v>44</v>
      </c>
      <c r="F2791" s="5" t="n">
        <v>12</v>
      </c>
      <c r="G2791" s="10"/>
      <c r="H2791" s="11" t="str">
        <f aca="false">IFERROR(IF($D2791="Manual Review","",IF($G2791="","",IF($D2791="Direct Expiry",$G2791,EDATE($G2791,$F2791)))),"Check Date")</f>
        <v/>
      </c>
      <c r="I2791" s="12" t="str">
        <f aca="true">IF($H2791="","",IF(ISNUMBER($H2791),$H2791-TODAY(),""))</f>
        <v/>
      </c>
      <c r="J2791" s="4" t="str">
        <f aca="true">IF($D2791="Manual Review","Manual Review",IF($G2791="","No Data",IF(NOT(ISNUMBER($H2791)),"N/A",IF($H2791&lt;TODAY(),"Overdue",IF($H2791&lt;=TODAY()+30,"Due within 1 Month",IF($H2791&lt;=TODAY()+60,"Due within 2 Months","OK"))))))</f>
        <v>No Data</v>
      </c>
      <c r="K2791" s="13"/>
    </row>
    <row r="2792" customFormat="false" ht="15" hidden="false" customHeight="false" outlineLevel="0" collapsed="false">
      <c r="A2792" s="9" t="str">
        <f aca="false">Vessels!B29</f>
        <v>Vessel 25</v>
      </c>
      <c r="B2792" s="9" t="s">
        <v>136</v>
      </c>
      <c r="C2792" s="7" t="s">
        <v>145</v>
      </c>
      <c r="D2792" s="9" t="s">
        <v>45</v>
      </c>
      <c r="E2792" s="9" t="s">
        <v>44</v>
      </c>
      <c r="F2792" s="5" t="n">
        <v>12</v>
      </c>
      <c r="G2792" s="10"/>
      <c r="H2792" s="11" t="str">
        <f aca="false">IFERROR(IF($D2792="Manual Review","",IF($G2792="","",IF($D2792="Direct Expiry",$G2792,EDATE($G2792,$F2792)))),"Check Date")</f>
        <v/>
      </c>
      <c r="I2792" s="12" t="str">
        <f aca="true">IF($H2792="","",IF(ISNUMBER($H2792),$H2792-TODAY(),""))</f>
        <v/>
      </c>
      <c r="J2792" s="4" t="str">
        <f aca="true">IF($D2792="Manual Review","Manual Review",IF($G2792="","No Data",IF(NOT(ISNUMBER($H2792)),"N/A",IF($H2792&lt;TODAY(),"Overdue",IF($H2792&lt;=TODAY()+30,"Due within 1 Month",IF($H2792&lt;=TODAY()+60,"Due within 2 Months","OK"))))))</f>
        <v>No Data</v>
      </c>
      <c r="K2792" s="13"/>
    </row>
    <row r="2793" customFormat="false" ht="15" hidden="false" customHeight="false" outlineLevel="0" collapsed="false">
      <c r="A2793" s="9" t="str">
        <f aca="false">Vessels!B29</f>
        <v>Vessel 25</v>
      </c>
      <c r="B2793" s="9" t="s">
        <v>136</v>
      </c>
      <c r="C2793" s="7" t="s">
        <v>146</v>
      </c>
      <c r="D2793" s="9" t="s">
        <v>45</v>
      </c>
      <c r="E2793" s="9" t="s">
        <v>44</v>
      </c>
      <c r="F2793" s="5" t="n">
        <v>12</v>
      </c>
      <c r="G2793" s="10"/>
      <c r="H2793" s="11" t="str">
        <f aca="false">IFERROR(IF($D2793="Manual Review","",IF($G2793="","",IF($D2793="Direct Expiry",$G2793,EDATE($G2793,$F2793)))),"Check Date")</f>
        <v/>
      </c>
      <c r="I2793" s="12" t="str">
        <f aca="true">IF($H2793="","",IF(ISNUMBER($H2793),$H2793-TODAY(),""))</f>
        <v/>
      </c>
      <c r="J2793" s="4" t="str">
        <f aca="true">IF($D2793="Manual Review","Manual Review",IF($G2793="","No Data",IF(NOT(ISNUMBER($H2793)),"N/A",IF($H2793&lt;TODAY(),"Overdue",IF($H2793&lt;=TODAY()+30,"Due within 1 Month",IF($H2793&lt;=TODAY()+60,"Due within 2 Months","OK"))))))</f>
        <v>No Data</v>
      </c>
      <c r="K2793" s="13"/>
    </row>
    <row r="2794" customFormat="false" ht="15" hidden="false" customHeight="false" outlineLevel="0" collapsed="false">
      <c r="A2794" s="9" t="str">
        <f aca="false">Vessels!B29</f>
        <v>Vessel 25</v>
      </c>
      <c r="B2794" s="9" t="s">
        <v>136</v>
      </c>
      <c r="C2794" s="7" t="s">
        <v>147</v>
      </c>
      <c r="D2794" s="9" t="s">
        <v>45</v>
      </c>
      <c r="E2794" s="9" t="s">
        <v>44</v>
      </c>
      <c r="F2794" s="5" t="n">
        <v>12</v>
      </c>
      <c r="G2794" s="10"/>
      <c r="H2794" s="11" t="str">
        <f aca="false">IFERROR(IF($D2794="Manual Review","",IF($G2794="","",IF($D2794="Direct Expiry",$G2794,EDATE($G2794,$F2794)))),"Check Date")</f>
        <v/>
      </c>
      <c r="I2794" s="12" t="str">
        <f aca="true">IF($H2794="","",IF(ISNUMBER($H2794),$H2794-TODAY(),""))</f>
        <v/>
      </c>
      <c r="J2794" s="4" t="str">
        <f aca="true">IF($D2794="Manual Review","Manual Review",IF($G2794="","No Data",IF(NOT(ISNUMBER($H2794)),"N/A",IF($H2794&lt;TODAY(),"Overdue",IF($H2794&lt;=TODAY()+30,"Due within 1 Month",IF($H2794&lt;=TODAY()+60,"Due within 2 Months","OK"))))))</f>
        <v>No Data</v>
      </c>
      <c r="K2794" s="13"/>
    </row>
    <row r="2795" customFormat="false" ht="15" hidden="false" customHeight="false" outlineLevel="0" collapsed="false">
      <c r="A2795" s="9" t="str">
        <f aca="false">Vessels!B29</f>
        <v>Vessel 25</v>
      </c>
      <c r="B2795" s="9" t="s">
        <v>136</v>
      </c>
      <c r="C2795" s="7" t="s">
        <v>148</v>
      </c>
      <c r="D2795" s="9" t="s">
        <v>45</v>
      </c>
      <c r="E2795" s="9" t="s">
        <v>44</v>
      </c>
      <c r="F2795" s="5" t="n">
        <v>12</v>
      </c>
      <c r="G2795" s="10"/>
      <c r="H2795" s="11" t="str">
        <f aca="false">IFERROR(IF($D2795="Manual Review","",IF($G2795="","",IF($D2795="Direct Expiry",$G2795,EDATE($G2795,$F2795)))),"Check Date")</f>
        <v/>
      </c>
      <c r="I2795" s="12" t="str">
        <f aca="true">IF($H2795="","",IF(ISNUMBER($H2795),$H2795-TODAY(),""))</f>
        <v/>
      </c>
      <c r="J2795" s="4" t="str">
        <f aca="true">IF($D2795="Manual Review","Manual Review",IF($G2795="","No Data",IF(NOT(ISNUMBER($H2795)),"N/A",IF($H2795&lt;TODAY(),"Overdue",IF($H2795&lt;=TODAY()+30,"Due within 1 Month",IF($H2795&lt;=TODAY()+60,"Due within 2 Months","OK"))))))</f>
        <v>No Data</v>
      </c>
      <c r="K2795" s="13"/>
    </row>
    <row r="2796" customFormat="false" ht="15" hidden="false" customHeight="false" outlineLevel="0" collapsed="false">
      <c r="A2796" s="9" t="str">
        <f aca="false">Vessels!B29</f>
        <v>Vessel 25</v>
      </c>
      <c r="B2796" s="9" t="s">
        <v>136</v>
      </c>
      <c r="C2796" s="7" t="s">
        <v>149</v>
      </c>
      <c r="D2796" s="9" t="s">
        <v>45</v>
      </c>
      <c r="E2796" s="9" t="s">
        <v>44</v>
      </c>
      <c r="F2796" s="5" t="n">
        <v>12</v>
      </c>
      <c r="G2796" s="10"/>
      <c r="H2796" s="11" t="str">
        <f aca="false">IFERROR(IF($D2796="Manual Review","",IF($G2796="","",IF($D2796="Direct Expiry",$G2796,EDATE($G2796,$F2796)))),"Check Date")</f>
        <v/>
      </c>
      <c r="I2796" s="12" t="str">
        <f aca="true">IF($H2796="","",IF(ISNUMBER($H2796),$H2796-TODAY(),""))</f>
        <v/>
      </c>
      <c r="J2796" s="4" t="str">
        <f aca="true">IF($D2796="Manual Review","Manual Review",IF($G2796="","No Data",IF(NOT(ISNUMBER($H2796)),"N/A",IF($H2796&lt;TODAY(),"Overdue",IF($H2796&lt;=TODAY()+30,"Due within 1 Month",IF($H2796&lt;=TODAY()+60,"Due within 2 Months","OK"))))))</f>
        <v>No Data</v>
      </c>
      <c r="K2796" s="13"/>
    </row>
    <row r="2797" customFormat="false" ht="15" hidden="false" customHeight="false" outlineLevel="0" collapsed="false">
      <c r="A2797" s="9" t="str">
        <f aca="false">Vessels!B29</f>
        <v>Vessel 25</v>
      </c>
      <c r="B2797" s="9" t="s">
        <v>136</v>
      </c>
      <c r="C2797" s="7" t="s">
        <v>150</v>
      </c>
      <c r="D2797" s="9" t="s">
        <v>45</v>
      </c>
      <c r="E2797" s="9" t="s">
        <v>44</v>
      </c>
      <c r="F2797" s="5" t="n">
        <v>12</v>
      </c>
      <c r="G2797" s="10"/>
      <c r="H2797" s="11" t="str">
        <f aca="false">IFERROR(IF($D2797="Manual Review","",IF($G2797="","",IF($D2797="Direct Expiry",$G2797,EDATE($G2797,$F2797)))),"Check Date")</f>
        <v/>
      </c>
      <c r="I2797" s="12" t="str">
        <f aca="true">IF($H2797="","",IF(ISNUMBER($H2797),$H2797-TODAY(),""))</f>
        <v/>
      </c>
      <c r="J2797" s="4" t="str">
        <f aca="true">IF($D2797="Manual Review","Manual Review",IF($G2797="","No Data",IF(NOT(ISNUMBER($H2797)),"N/A",IF($H2797&lt;TODAY(),"Overdue",IF($H2797&lt;=TODAY()+30,"Due within 1 Month",IF($H2797&lt;=TODAY()+60,"Due within 2 Months","OK"))))))</f>
        <v>No Data</v>
      </c>
      <c r="K2797" s="13"/>
    </row>
    <row r="2798" customFormat="false" ht="15" hidden="false" customHeight="false" outlineLevel="0" collapsed="false">
      <c r="A2798" s="9" t="str">
        <f aca="false">Vessels!B29</f>
        <v>Vessel 25</v>
      </c>
      <c r="B2798" s="9" t="s">
        <v>136</v>
      </c>
      <c r="C2798" s="7" t="s">
        <v>151</v>
      </c>
      <c r="D2798" s="9" t="s">
        <v>45</v>
      </c>
      <c r="E2798" s="9" t="s">
        <v>44</v>
      </c>
      <c r="F2798" s="5" t="n">
        <v>12</v>
      </c>
      <c r="G2798" s="10"/>
      <c r="H2798" s="11" t="str">
        <f aca="false">IFERROR(IF($D2798="Manual Review","",IF($G2798="","",IF($D2798="Direct Expiry",$G2798,EDATE($G2798,$F2798)))),"Check Date")</f>
        <v/>
      </c>
      <c r="I2798" s="12" t="str">
        <f aca="true">IF($H2798="","",IF(ISNUMBER($H2798),$H2798-TODAY(),""))</f>
        <v/>
      </c>
      <c r="J2798" s="4" t="str">
        <f aca="true">IF($D2798="Manual Review","Manual Review",IF($G2798="","No Data",IF(NOT(ISNUMBER($H2798)),"N/A",IF($H2798&lt;TODAY(),"Overdue",IF($H2798&lt;=TODAY()+30,"Due within 1 Month",IF($H2798&lt;=TODAY()+60,"Due within 2 Months","OK"))))))</f>
        <v>No Data</v>
      </c>
      <c r="K2798" s="13"/>
    </row>
    <row r="2799" customFormat="false" ht="15" hidden="false" customHeight="false" outlineLevel="0" collapsed="false">
      <c r="A2799" s="9" t="str">
        <f aca="false">Vessels!B29</f>
        <v>Vessel 25</v>
      </c>
      <c r="B2799" s="9" t="s">
        <v>136</v>
      </c>
      <c r="C2799" s="7" t="s">
        <v>152</v>
      </c>
      <c r="D2799" s="9" t="s">
        <v>45</v>
      </c>
      <c r="E2799" s="9" t="s">
        <v>44</v>
      </c>
      <c r="F2799" s="5" t="n">
        <v>12</v>
      </c>
      <c r="G2799" s="10"/>
      <c r="H2799" s="11" t="str">
        <f aca="false">IFERROR(IF($D2799="Manual Review","",IF($G2799="","",IF($D2799="Direct Expiry",$G2799,EDATE($G2799,$F2799)))),"Check Date")</f>
        <v/>
      </c>
      <c r="I2799" s="12" t="str">
        <f aca="true">IF($H2799="","",IF(ISNUMBER($H2799),$H2799-TODAY(),""))</f>
        <v/>
      </c>
      <c r="J2799" s="4" t="str">
        <f aca="true">IF($D2799="Manual Review","Manual Review",IF($G2799="","No Data",IF(NOT(ISNUMBER($H2799)),"N/A",IF($H2799&lt;TODAY(),"Overdue",IF($H2799&lt;=TODAY()+30,"Due within 1 Month",IF($H2799&lt;=TODAY()+60,"Due within 2 Months","OK"))))))</f>
        <v>No Data</v>
      </c>
      <c r="K2799" s="13"/>
    </row>
    <row r="2800" customFormat="false" ht="15" hidden="false" customHeight="false" outlineLevel="0" collapsed="false">
      <c r="A2800" s="9" t="str">
        <f aca="false">Vessels!B29</f>
        <v>Vessel 25</v>
      </c>
      <c r="B2800" s="9" t="s">
        <v>136</v>
      </c>
      <c r="C2800" s="7" t="s">
        <v>153</v>
      </c>
      <c r="D2800" s="9" t="s">
        <v>45</v>
      </c>
      <c r="E2800" s="9" t="s">
        <v>44</v>
      </c>
      <c r="F2800" s="5" t="n">
        <v>12</v>
      </c>
      <c r="G2800" s="10"/>
      <c r="H2800" s="11" t="str">
        <f aca="false">IFERROR(IF($D2800="Manual Review","",IF($G2800="","",IF($D2800="Direct Expiry",$G2800,EDATE($G2800,$F2800)))),"Check Date")</f>
        <v/>
      </c>
      <c r="I2800" s="12" t="str">
        <f aca="true">IF($H2800="","",IF(ISNUMBER($H2800),$H2800-TODAY(),""))</f>
        <v/>
      </c>
      <c r="J2800" s="4" t="str">
        <f aca="true">IF($D2800="Manual Review","Manual Review",IF($G2800="","No Data",IF(NOT(ISNUMBER($H2800)),"N/A",IF($H2800&lt;TODAY(),"Overdue",IF($H2800&lt;=TODAY()+30,"Due within 1 Month",IF($H2800&lt;=TODAY()+60,"Due within 2 Months","OK"))))))</f>
        <v>No Data</v>
      </c>
      <c r="K2800" s="13"/>
    </row>
    <row r="2801" customFormat="false" ht="15" hidden="false" customHeight="false" outlineLevel="0" collapsed="false">
      <c r="A2801" s="9" t="str">
        <f aca="false">Vessels!B29</f>
        <v>Vessel 25</v>
      </c>
      <c r="B2801" s="9" t="s">
        <v>136</v>
      </c>
      <c r="C2801" s="7" t="s">
        <v>154</v>
      </c>
      <c r="D2801" s="9" t="s">
        <v>45</v>
      </c>
      <c r="E2801" s="9" t="s">
        <v>44</v>
      </c>
      <c r="F2801" s="5" t="n">
        <v>12</v>
      </c>
      <c r="G2801" s="10"/>
      <c r="H2801" s="11" t="str">
        <f aca="false">IFERROR(IF($D2801="Manual Review","",IF($G2801="","",IF($D2801="Direct Expiry",$G2801,EDATE($G2801,$F2801)))),"Check Date")</f>
        <v/>
      </c>
      <c r="I2801" s="12" t="str">
        <f aca="true">IF($H2801="","",IF(ISNUMBER($H2801),$H2801-TODAY(),""))</f>
        <v/>
      </c>
      <c r="J2801" s="4" t="str">
        <f aca="true">IF($D2801="Manual Review","Manual Review",IF($G2801="","No Data",IF(NOT(ISNUMBER($H2801)),"N/A",IF($H2801&lt;TODAY(),"Overdue",IF($H2801&lt;=TODAY()+30,"Due within 1 Month",IF($H2801&lt;=TODAY()+60,"Due within 2 Months","OK"))))))</f>
        <v>No Data</v>
      </c>
      <c r="K2801" s="13"/>
    </row>
    <row r="2802" customFormat="false" ht="15" hidden="false" customHeight="false" outlineLevel="0" collapsed="false">
      <c r="A2802" s="9" t="str">
        <f aca="false">Vessels!B29</f>
        <v>Vessel 25</v>
      </c>
      <c r="B2802" s="9" t="s">
        <v>136</v>
      </c>
      <c r="C2802" s="7" t="s">
        <v>155</v>
      </c>
      <c r="D2802" s="9" t="s">
        <v>45</v>
      </c>
      <c r="E2802" s="9" t="s">
        <v>44</v>
      </c>
      <c r="F2802" s="5" t="n">
        <v>12</v>
      </c>
      <c r="G2802" s="10"/>
      <c r="H2802" s="11" t="str">
        <f aca="false">IFERROR(IF($D2802="Manual Review","",IF($G2802="","",IF($D2802="Direct Expiry",$G2802,EDATE($G2802,$F2802)))),"Check Date")</f>
        <v/>
      </c>
      <c r="I2802" s="12" t="str">
        <f aca="true">IF($H2802="","",IF(ISNUMBER($H2802),$H2802-TODAY(),""))</f>
        <v/>
      </c>
      <c r="J2802" s="4" t="str">
        <f aca="true">IF($D2802="Manual Review","Manual Review",IF($G2802="","No Data",IF(NOT(ISNUMBER($H2802)),"N/A",IF($H2802&lt;TODAY(),"Overdue",IF($H2802&lt;=TODAY()+30,"Due within 1 Month",IF($H2802&lt;=TODAY()+60,"Due within 2 Months","OK"))))))</f>
        <v>No Data</v>
      </c>
      <c r="K2802" s="13"/>
    </row>
    <row r="2803" customFormat="false" ht="15" hidden="false" customHeight="false" outlineLevel="0" collapsed="false">
      <c r="A2803" s="9" t="str">
        <f aca="false">Vessels!B29</f>
        <v>Vessel 25</v>
      </c>
      <c r="B2803" s="9" t="s">
        <v>136</v>
      </c>
      <c r="C2803" s="7" t="s">
        <v>156</v>
      </c>
      <c r="D2803" s="9" t="s">
        <v>45</v>
      </c>
      <c r="E2803" s="9" t="s">
        <v>44</v>
      </c>
      <c r="F2803" s="5" t="n">
        <v>12</v>
      </c>
      <c r="G2803" s="10"/>
      <c r="H2803" s="11" t="str">
        <f aca="false">IFERROR(IF($D2803="Manual Review","",IF($G2803="","",IF($D2803="Direct Expiry",$G2803,EDATE($G2803,$F2803)))),"Check Date")</f>
        <v/>
      </c>
      <c r="I2803" s="12" t="str">
        <f aca="true">IF($H2803="","",IF(ISNUMBER($H2803),$H2803-TODAY(),""))</f>
        <v/>
      </c>
      <c r="J2803" s="4" t="str">
        <f aca="true">IF($D2803="Manual Review","Manual Review",IF($G2803="","No Data",IF(NOT(ISNUMBER($H2803)),"N/A",IF($H2803&lt;TODAY(),"Overdue",IF($H2803&lt;=TODAY()+30,"Due within 1 Month",IF($H2803&lt;=TODAY()+60,"Due within 2 Months","OK"))))))</f>
        <v>No Data</v>
      </c>
      <c r="K2803" s="13"/>
    </row>
    <row r="2804" customFormat="false" ht="15" hidden="false" customHeight="false" outlineLevel="0" collapsed="false">
      <c r="A2804" s="9" t="str">
        <f aca="false">Vessels!B29</f>
        <v>Vessel 25</v>
      </c>
      <c r="B2804" s="9" t="s">
        <v>136</v>
      </c>
      <c r="C2804" s="7" t="s">
        <v>157</v>
      </c>
      <c r="D2804" s="9" t="s">
        <v>45</v>
      </c>
      <c r="E2804" s="9" t="s">
        <v>44</v>
      </c>
      <c r="F2804" s="5" t="n">
        <v>12</v>
      </c>
      <c r="G2804" s="10"/>
      <c r="H2804" s="11" t="str">
        <f aca="false">IFERROR(IF($D2804="Manual Review","",IF($G2804="","",IF($D2804="Direct Expiry",$G2804,EDATE($G2804,$F2804)))),"Check Date")</f>
        <v/>
      </c>
      <c r="I2804" s="12" t="str">
        <f aca="true">IF($H2804="","",IF(ISNUMBER($H2804),$H2804-TODAY(),""))</f>
        <v/>
      </c>
      <c r="J2804" s="4" t="str">
        <f aca="true">IF($D2804="Manual Review","Manual Review",IF($G2804="","No Data",IF(NOT(ISNUMBER($H2804)),"N/A",IF($H2804&lt;TODAY(),"Overdue",IF($H2804&lt;=TODAY()+30,"Due within 1 Month",IF($H2804&lt;=TODAY()+60,"Due within 2 Months","OK"))))))</f>
        <v>No Data</v>
      </c>
      <c r="K2804" s="13"/>
    </row>
    <row r="2805" customFormat="false" ht="15" hidden="false" customHeight="false" outlineLevel="0" collapsed="false">
      <c r="A2805" s="9" t="str">
        <f aca="false">Vessels!B30</f>
        <v>Vessel 26</v>
      </c>
      <c r="B2805" s="9" t="s">
        <v>42</v>
      </c>
      <c r="C2805" s="7" t="s">
        <v>43</v>
      </c>
      <c r="D2805" s="9" t="s">
        <v>45</v>
      </c>
      <c r="E2805" s="9" t="s">
        <v>44</v>
      </c>
      <c r="F2805" s="5" t="n">
        <v>12</v>
      </c>
      <c r="G2805" s="10"/>
      <c r="H2805" s="11" t="str">
        <f aca="false">IFERROR(IF($D2805="Manual Review","",IF($G2805="","",IF($D2805="Direct Expiry",$G2805,EDATE($G2805,$F2805)))),"Check Date")</f>
        <v/>
      </c>
      <c r="I2805" s="12" t="str">
        <f aca="true">IF($H2805="","",IF(ISNUMBER($H2805),$H2805-TODAY(),""))</f>
        <v/>
      </c>
      <c r="J2805" s="4" t="str">
        <f aca="true">IF($D2805="Manual Review","Manual Review",IF($G2805="","No Data",IF(NOT(ISNUMBER($H2805)),"N/A",IF($H2805&lt;TODAY(),"Overdue",IF($H2805&lt;=TODAY()+30,"Due within 1 Month",IF($H2805&lt;=TODAY()+60,"Due within 2 Months","OK"))))))</f>
        <v>No Data</v>
      </c>
      <c r="K2805" s="13"/>
    </row>
    <row r="2806" customFormat="false" ht="15" hidden="false" customHeight="false" outlineLevel="0" collapsed="false">
      <c r="A2806" s="9" t="str">
        <f aca="false">Vessels!B30</f>
        <v>Vessel 26</v>
      </c>
      <c r="B2806" s="9" t="s">
        <v>42</v>
      </c>
      <c r="C2806" s="7" t="s">
        <v>43</v>
      </c>
      <c r="D2806" s="9" t="s">
        <v>45</v>
      </c>
      <c r="E2806" s="9" t="s">
        <v>46</v>
      </c>
      <c r="F2806" s="5" t="n">
        <v>60</v>
      </c>
      <c r="G2806" s="10"/>
      <c r="H2806" s="11" t="str">
        <f aca="false">IFERROR(IF($D2806="Manual Review","",IF($G2806="","",IF($D2806="Direct Expiry",$G2806,EDATE($G2806,$F2806)))),"Check Date")</f>
        <v/>
      </c>
      <c r="I2806" s="12" t="str">
        <f aca="true">IF($H2806="","",IF(ISNUMBER($H2806),$H2806-TODAY(),""))</f>
        <v/>
      </c>
      <c r="J2806" s="4" t="str">
        <f aca="true">IF($D2806="Manual Review","Manual Review",IF($G2806="","No Data",IF(NOT(ISNUMBER($H2806)),"N/A",IF($H2806&lt;TODAY(),"Overdue",IF($H2806&lt;=TODAY()+30,"Due within 1 Month",IF($H2806&lt;=TODAY()+60,"Due within 2 Months","OK"))))))</f>
        <v>No Data</v>
      </c>
      <c r="K2806" s="13"/>
    </row>
    <row r="2807" customFormat="false" ht="15" hidden="false" customHeight="false" outlineLevel="0" collapsed="false">
      <c r="A2807" s="9" t="str">
        <f aca="false">Vessels!B30</f>
        <v>Vessel 26</v>
      </c>
      <c r="B2807" s="9" t="s">
        <v>42</v>
      </c>
      <c r="C2807" s="7" t="s">
        <v>47</v>
      </c>
      <c r="D2807" s="9" t="s">
        <v>45</v>
      </c>
      <c r="E2807" s="9" t="s">
        <v>44</v>
      </c>
      <c r="F2807" s="5" t="n">
        <v>12</v>
      </c>
      <c r="G2807" s="10"/>
      <c r="H2807" s="11" t="str">
        <f aca="false">IFERROR(IF($D2807="Manual Review","",IF($G2807="","",IF($D2807="Direct Expiry",$G2807,EDATE($G2807,$F2807)))),"Check Date")</f>
        <v/>
      </c>
      <c r="I2807" s="12" t="str">
        <f aca="true">IF($H2807="","",IF(ISNUMBER($H2807),$H2807-TODAY(),""))</f>
        <v/>
      </c>
      <c r="J2807" s="4" t="str">
        <f aca="true">IF($D2807="Manual Review","Manual Review",IF($G2807="","No Data",IF(NOT(ISNUMBER($H2807)),"N/A",IF($H2807&lt;TODAY(),"Overdue",IF($H2807&lt;=TODAY()+30,"Due within 1 Month",IF($H2807&lt;=TODAY()+60,"Due within 2 Months","OK"))))))</f>
        <v>No Data</v>
      </c>
      <c r="K2807" s="13"/>
    </row>
    <row r="2808" customFormat="false" ht="15" hidden="false" customHeight="false" outlineLevel="0" collapsed="false">
      <c r="A2808" s="9" t="str">
        <f aca="false">Vessels!B30</f>
        <v>Vessel 26</v>
      </c>
      <c r="B2808" s="9" t="s">
        <v>42</v>
      </c>
      <c r="C2808" s="7" t="s">
        <v>47</v>
      </c>
      <c r="D2808" s="9" t="s">
        <v>45</v>
      </c>
      <c r="E2808" s="9" t="s">
        <v>46</v>
      </c>
      <c r="F2808" s="5" t="n">
        <v>60</v>
      </c>
      <c r="G2808" s="10"/>
      <c r="H2808" s="11" t="str">
        <f aca="false">IFERROR(IF($D2808="Manual Review","",IF($G2808="","",IF($D2808="Direct Expiry",$G2808,EDATE($G2808,$F2808)))),"Check Date")</f>
        <v/>
      </c>
      <c r="I2808" s="12" t="str">
        <f aca="true">IF($H2808="","",IF(ISNUMBER($H2808),$H2808-TODAY(),""))</f>
        <v/>
      </c>
      <c r="J2808" s="4" t="str">
        <f aca="true">IF($D2808="Manual Review","Manual Review",IF($G2808="","No Data",IF(NOT(ISNUMBER($H2808)),"N/A",IF($H2808&lt;TODAY(),"Overdue",IF($H2808&lt;=TODAY()+30,"Due within 1 Month",IF($H2808&lt;=TODAY()+60,"Due within 2 Months","OK"))))))</f>
        <v>No Data</v>
      </c>
      <c r="K2808" s="13"/>
    </row>
    <row r="2809" customFormat="false" ht="15" hidden="false" customHeight="false" outlineLevel="0" collapsed="false">
      <c r="A2809" s="9" t="str">
        <f aca="false">Vessels!B30</f>
        <v>Vessel 26</v>
      </c>
      <c r="B2809" s="9" t="s">
        <v>42</v>
      </c>
      <c r="C2809" s="7" t="s">
        <v>48</v>
      </c>
      <c r="D2809" s="9" t="s">
        <v>45</v>
      </c>
      <c r="E2809" s="9" t="s">
        <v>44</v>
      </c>
      <c r="F2809" s="5" t="n">
        <v>12</v>
      </c>
      <c r="G2809" s="10"/>
      <c r="H2809" s="11" t="str">
        <f aca="false">IFERROR(IF($D2809="Manual Review","",IF($G2809="","",IF($D2809="Direct Expiry",$G2809,EDATE($G2809,$F2809)))),"Check Date")</f>
        <v/>
      </c>
      <c r="I2809" s="12" t="str">
        <f aca="true">IF($H2809="","",IF(ISNUMBER($H2809),$H2809-TODAY(),""))</f>
        <v/>
      </c>
      <c r="J2809" s="4" t="str">
        <f aca="true">IF($D2809="Manual Review","Manual Review",IF($G2809="","No Data",IF(NOT(ISNUMBER($H2809)),"N/A",IF($H2809&lt;TODAY(),"Overdue",IF($H2809&lt;=TODAY()+30,"Due within 1 Month",IF($H2809&lt;=TODAY()+60,"Due within 2 Months","OK"))))))</f>
        <v>No Data</v>
      </c>
      <c r="K2809" s="13"/>
    </row>
    <row r="2810" customFormat="false" ht="15" hidden="false" customHeight="false" outlineLevel="0" collapsed="false">
      <c r="A2810" s="9" t="str">
        <f aca="false">Vessels!B30</f>
        <v>Vessel 26</v>
      </c>
      <c r="B2810" s="9" t="s">
        <v>42</v>
      </c>
      <c r="C2810" s="7" t="s">
        <v>48</v>
      </c>
      <c r="D2810" s="9" t="s">
        <v>45</v>
      </c>
      <c r="E2810" s="9" t="s">
        <v>49</v>
      </c>
      <c r="F2810" s="5" t="n">
        <v>60</v>
      </c>
      <c r="G2810" s="10"/>
      <c r="H2810" s="11" t="str">
        <f aca="false">IFERROR(IF($D2810="Manual Review","",IF($G2810="","",IF($D2810="Direct Expiry",$G2810,EDATE($G2810,$F2810)))),"Check Date")</f>
        <v/>
      </c>
      <c r="I2810" s="12" t="str">
        <f aca="true">IF($H2810="","",IF(ISNUMBER($H2810),$H2810-TODAY(),""))</f>
        <v/>
      </c>
      <c r="J2810" s="4" t="str">
        <f aca="true">IF($D2810="Manual Review","Manual Review",IF($G2810="","No Data",IF(NOT(ISNUMBER($H2810)),"N/A",IF($H2810&lt;TODAY(),"Overdue",IF($H2810&lt;=TODAY()+30,"Due within 1 Month",IF($H2810&lt;=TODAY()+60,"Due within 2 Months","OK"))))))</f>
        <v>No Data</v>
      </c>
      <c r="K2810" s="13"/>
    </row>
    <row r="2811" customFormat="false" ht="15" hidden="false" customHeight="false" outlineLevel="0" collapsed="false">
      <c r="A2811" s="9" t="str">
        <f aca="false">Vessels!B30</f>
        <v>Vessel 26</v>
      </c>
      <c r="B2811" s="9" t="s">
        <v>42</v>
      </c>
      <c r="C2811" s="7" t="s">
        <v>50</v>
      </c>
      <c r="D2811" s="9" t="s">
        <v>45</v>
      </c>
      <c r="E2811" s="9" t="s">
        <v>44</v>
      </c>
      <c r="F2811" s="5" t="n">
        <v>12</v>
      </c>
      <c r="G2811" s="10"/>
      <c r="H2811" s="11" t="str">
        <f aca="false">IFERROR(IF($D2811="Manual Review","",IF($G2811="","",IF($D2811="Direct Expiry",$G2811,EDATE($G2811,$F2811)))),"Check Date")</f>
        <v/>
      </c>
      <c r="I2811" s="12" t="str">
        <f aca="true">IF($H2811="","",IF(ISNUMBER($H2811),$H2811-TODAY(),""))</f>
        <v/>
      </c>
      <c r="J2811" s="4" t="str">
        <f aca="true">IF($D2811="Manual Review","Manual Review",IF($G2811="","No Data",IF(NOT(ISNUMBER($H2811)),"N/A",IF($H2811&lt;TODAY(),"Overdue",IF($H2811&lt;=TODAY()+30,"Due within 1 Month",IF($H2811&lt;=TODAY()+60,"Due within 2 Months","OK"))))))</f>
        <v>No Data</v>
      </c>
      <c r="K2811" s="13"/>
    </row>
    <row r="2812" customFormat="false" ht="15" hidden="false" customHeight="false" outlineLevel="0" collapsed="false">
      <c r="A2812" s="9" t="str">
        <f aca="false">Vessels!B30</f>
        <v>Vessel 26</v>
      </c>
      <c r="B2812" s="9" t="s">
        <v>42</v>
      </c>
      <c r="C2812" s="7" t="s">
        <v>50</v>
      </c>
      <c r="D2812" s="9" t="s">
        <v>45</v>
      </c>
      <c r="E2812" s="9" t="s">
        <v>49</v>
      </c>
      <c r="F2812" s="5" t="n">
        <v>60</v>
      </c>
      <c r="G2812" s="10"/>
      <c r="H2812" s="11" t="str">
        <f aca="false">IFERROR(IF($D2812="Manual Review","",IF($G2812="","",IF($D2812="Direct Expiry",$G2812,EDATE($G2812,$F2812)))),"Check Date")</f>
        <v/>
      </c>
      <c r="I2812" s="12" t="str">
        <f aca="true">IF($H2812="","",IF(ISNUMBER($H2812),$H2812-TODAY(),""))</f>
        <v/>
      </c>
      <c r="J2812" s="4" t="str">
        <f aca="true">IF($D2812="Manual Review","Manual Review",IF($G2812="","No Data",IF(NOT(ISNUMBER($H2812)),"N/A",IF($H2812&lt;TODAY(),"Overdue",IF($H2812&lt;=TODAY()+30,"Due within 1 Month",IF($H2812&lt;=TODAY()+60,"Due within 2 Months","OK"))))))</f>
        <v>No Data</v>
      </c>
      <c r="K2812" s="13"/>
    </row>
    <row r="2813" customFormat="false" ht="15" hidden="false" customHeight="false" outlineLevel="0" collapsed="false">
      <c r="A2813" s="9" t="str">
        <f aca="false">Vessels!B30</f>
        <v>Vessel 26</v>
      </c>
      <c r="B2813" s="9" t="s">
        <v>42</v>
      </c>
      <c r="C2813" s="7" t="s">
        <v>51</v>
      </c>
      <c r="D2813" s="9" t="s">
        <v>45</v>
      </c>
      <c r="E2813" s="9" t="s">
        <v>46</v>
      </c>
      <c r="F2813" s="5" t="n">
        <v>60</v>
      </c>
      <c r="G2813" s="10"/>
      <c r="H2813" s="11" t="str">
        <f aca="false">IFERROR(IF($D2813="Manual Review","",IF($G2813="","",IF($D2813="Direct Expiry",$G2813,EDATE($G2813,$F2813)))),"Check Date")</f>
        <v/>
      </c>
      <c r="I2813" s="12" t="str">
        <f aca="true">IF($H2813="","",IF(ISNUMBER($H2813),$H2813-TODAY(),""))</f>
        <v/>
      </c>
      <c r="J2813" s="4" t="str">
        <f aca="true">IF($D2813="Manual Review","Manual Review",IF($G2813="","No Data",IF(NOT(ISNUMBER($H2813)),"N/A",IF($H2813&lt;TODAY(),"Overdue",IF($H2813&lt;=TODAY()+30,"Due within 1 Month",IF($H2813&lt;=TODAY()+60,"Due within 2 Months","OK"))))))</f>
        <v>No Data</v>
      </c>
      <c r="K2813" s="13"/>
    </row>
    <row r="2814" customFormat="false" ht="15" hidden="false" customHeight="false" outlineLevel="0" collapsed="false">
      <c r="A2814" s="9" t="str">
        <f aca="false">Vessels!B30</f>
        <v>Vessel 26</v>
      </c>
      <c r="B2814" s="9" t="s">
        <v>42</v>
      </c>
      <c r="C2814" s="7" t="s">
        <v>52</v>
      </c>
      <c r="D2814" s="9" t="s">
        <v>45</v>
      </c>
      <c r="E2814" s="9" t="s">
        <v>46</v>
      </c>
      <c r="F2814" s="5" t="n">
        <v>60</v>
      </c>
      <c r="G2814" s="10"/>
      <c r="H2814" s="11" t="str">
        <f aca="false">IFERROR(IF($D2814="Manual Review","",IF($G2814="","",IF($D2814="Direct Expiry",$G2814,EDATE($G2814,$F2814)))),"Check Date")</f>
        <v/>
      </c>
      <c r="I2814" s="12" t="str">
        <f aca="true">IF($H2814="","",IF(ISNUMBER($H2814),$H2814-TODAY(),""))</f>
        <v/>
      </c>
      <c r="J2814" s="4" t="str">
        <f aca="true">IF($D2814="Manual Review","Manual Review",IF($G2814="","No Data",IF(NOT(ISNUMBER($H2814)),"N/A",IF($H2814&lt;TODAY(),"Overdue",IF($H2814&lt;=TODAY()+30,"Due within 1 Month",IF($H2814&lt;=TODAY()+60,"Due within 2 Months","OK"))))))</f>
        <v>No Data</v>
      </c>
      <c r="K2814" s="13"/>
    </row>
    <row r="2815" customFormat="false" ht="15" hidden="false" customHeight="false" outlineLevel="0" collapsed="false">
      <c r="A2815" s="9" t="str">
        <f aca="false">Vessels!B30</f>
        <v>Vessel 26</v>
      </c>
      <c r="B2815" s="9" t="s">
        <v>42</v>
      </c>
      <c r="C2815" s="7" t="s">
        <v>53</v>
      </c>
      <c r="D2815" s="9" t="s">
        <v>45</v>
      </c>
      <c r="E2815" s="9" t="s">
        <v>46</v>
      </c>
      <c r="F2815" s="5" t="n">
        <v>60</v>
      </c>
      <c r="G2815" s="10"/>
      <c r="H2815" s="11" t="str">
        <f aca="false">IFERROR(IF($D2815="Manual Review","",IF($G2815="","",IF($D2815="Direct Expiry",$G2815,EDATE($G2815,$F2815)))),"Check Date")</f>
        <v/>
      </c>
      <c r="I2815" s="12" t="str">
        <f aca="true">IF($H2815="","",IF(ISNUMBER($H2815),$H2815-TODAY(),""))</f>
        <v/>
      </c>
      <c r="J2815" s="4" t="str">
        <f aca="true">IF($D2815="Manual Review","Manual Review",IF($G2815="","No Data",IF(NOT(ISNUMBER($H2815)),"N/A",IF($H2815&lt;TODAY(),"Overdue",IF($H2815&lt;=TODAY()+30,"Due within 1 Month",IF($H2815&lt;=TODAY()+60,"Due within 2 Months","OK"))))))</f>
        <v>No Data</v>
      </c>
      <c r="K2815" s="13"/>
    </row>
    <row r="2816" customFormat="false" ht="15" hidden="false" customHeight="false" outlineLevel="0" collapsed="false">
      <c r="A2816" s="9" t="str">
        <f aca="false">Vessels!B30</f>
        <v>Vessel 26</v>
      </c>
      <c r="B2816" s="9" t="s">
        <v>42</v>
      </c>
      <c r="C2816" s="7" t="s">
        <v>54</v>
      </c>
      <c r="D2816" s="9" t="s">
        <v>45</v>
      </c>
      <c r="E2816" s="9" t="s">
        <v>46</v>
      </c>
      <c r="F2816" s="5" t="n">
        <v>60</v>
      </c>
      <c r="G2816" s="10"/>
      <c r="H2816" s="11" t="str">
        <f aca="false">IFERROR(IF($D2816="Manual Review","",IF($G2816="","",IF($D2816="Direct Expiry",$G2816,EDATE($G2816,$F2816)))),"Check Date")</f>
        <v/>
      </c>
      <c r="I2816" s="12" t="str">
        <f aca="true">IF($H2816="","",IF(ISNUMBER($H2816),$H2816-TODAY(),""))</f>
        <v/>
      </c>
      <c r="J2816" s="4" t="str">
        <f aca="true">IF($D2816="Manual Review","Manual Review",IF($G2816="","No Data",IF(NOT(ISNUMBER($H2816)),"N/A",IF($H2816&lt;TODAY(),"Overdue",IF($H2816&lt;=TODAY()+30,"Due within 1 Month",IF($H2816&lt;=TODAY()+60,"Due within 2 Months","OK"))))))</f>
        <v>No Data</v>
      </c>
      <c r="K2816" s="13"/>
    </row>
    <row r="2817" customFormat="false" ht="15" hidden="false" customHeight="false" outlineLevel="0" collapsed="false">
      <c r="A2817" s="9" t="str">
        <f aca="false">Vessels!B30</f>
        <v>Vessel 26</v>
      </c>
      <c r="B2817" s="9" t="s">
        <v>42</v>
      </c>
      <c r="C2817" s="7" t="s">
        <v>55</v>
      </c>
      <c r="D2817" s="9" t="s">
        <v>45</v>
      </c>
      <c r="E2817" s="9" t="s">
        <v>46</v>
      </c>
      <c r="F2817" s="5" t="n">
        <v>60</v>
      </c>
      <c r="G2817" s="10"/>
      <c r="H2817" s="11" t="str">
        <f aca="false">IFERROR(IF($D2817="Manual Review","",IF($G2817="","",IF($D2817="Direct Expiry",$G2817,EDATE($G2817,$F2817)))),"Check Date")</f>
        <v/>
      </c>
      <c r="I2817" s="12" t="str">
        <f aca="true">IF($H2817="","",IF(ISNUMBER($H2817),$H2817-TODAY(),""))</f>
        <v/>
      </c>
      <c r="J2817" s="4" t="str">
        <f aca="true">IF($D2817="Manual Review","Manual Review",IF($G2817="","No Data",IF(NOT(ISNUMBER($H2817)),"N/A",IF($H2817&lt;TODAY(),"Overdue",IF($H2817&lt;=TODAY()+30,"Due within 1 Month",IF($H2817&lt;=TODAY()+60,"Due within 2 Months","OK"))))))</f>
        <v>No Data</v>
      </c>
      <c r="K2817" s="13"/>
    </row>
    <row r="2818" customFormat="false" ht="15" hidden="false" customHeight="false" outlineLevel="0" collapsed="false">
      <c r="A2818" s="9" t="str">
        <f aca="false">Vessels!B30</f>
        <v>Vessel 26</v>
      </c>
      <c r="B2818" s="9" t="s">
        <v>42</v>
      </c>
      <c r="C2818" s="7" t="s">
        <v>56</v>
      </c>
      <c r="D2818" s="9" t="s">
        <v>45</v>
      </c>
      <c r="E2818" s="9" t="s">
        <v>46</v>
      </c>
      <c r="F2818" s="5" t="n">
        <v>60</v>
      </c>
      <c r="G2818" s="10"/>
      <c r="H2818" s="11" t="str">
        <f aca="false">IFERROR(IF($D2818="Manual Review","",IF($G2818="","",IF($D2818="Direct Expiry",$G2818,EDATE($G2818,$F2818)))),"Check Date")</f>
        <v/>
      </c>
      <c r="I2818" s="12" t="str">
        <f aca="true">IF($H2818="","",IF(ISNUMBER($H2818),$H2818-TODAY(),""))</f>
        <v/>
      </c>
      <c r="J2818" s="4" t="str">
        <f aca="true">IF($D2818="Manual Review","Manual Review",IF($G2818="","No Data",IF(NOT(ISNUMBER($H2818)),"N/A",IF($H2818&lt;TODAY(),"Overdue",IF($H2818&lt;=TODAY()+30,"Due within 1 Month",IF($H2818&lt;=TODAY()+60,"Due within 2 Months","OK"))))))</f>
        <v>No Data</v>
      </c>
      <c r="K2818" s="13"/>
    </row>
    <row r="2819" customFormat="false" ht="15" hidden="false" customHeight="false" outlineLevel="0" collapsed="false">
      <c r="A2819" s="9" t="str">
        <f aca="false">Vessels!B30</f>
        <v>Vessel 26</v>
      </c>
      <c r="B2819" s="9" t="s">
        <v>42</v>
      </c>
      <c r="C2819" s="7" t="s">
        <v>57</v>
      </c>
      <c r="D2819" s="9" t="s">
        <v>59</v>
      </c>
      <c r="E2819" s="9" t="s">
        <v>58</v>
      </c>
      <c r="F2819" s="5"/>
      <c r="G2819" s="10"/>
      <c r="H2819" s="11" t="str">
        <f aca="false">IFERROR(IF($D2819="Manual Review","",IF($G2819="","",IF($D2819="Direct Expiry",$G2819,EDATE($G2819,$F2819)))),"Check Date")</f>
        <v/>
      </c>
      <c r="I2819" s="12" t="str">
        <f aca="true">IF($H2819="","",IF(ISNUMBER($H2819),$H2819-TODAY(),""))</f>
        <v/>
      </c>
      <c r="J2819" s="4" t="str">
        <f aca="true">IF($D2819="Manual Review","Manual Review",IF($G2819="","No Data",IF(NOT(ISNUMBER($H2819)),"N/A",IF($H2819&lt;TODAY(),"Overdue",IF($H2819&lt;=TODAY()+30,"Due within 1 Month",IF($H2819&lt;=TODAY()+60,"Due within 2 Months","OK"))))))</f>
        <v>No Data</v>
      </c>
      <c r="K2819" s="13"/>
    </row>
    <row r="2820" customFormat="false" ht="15" hidden="false" customHeight="false" outlineLevel="0" collapsed="false">
      <c r="A2820" s="9" t="str">
        <f aca="false">Vessels!B30</f>
        <v>Vessel 26</v>
      </c>
      <c r="B2820" s="9" t="s">
        <v>42</v>
      </c>
      <c r="C2820" s="7" t="s">
        <v>60</v>
      </c>
      <c r="D2820" s="9" t="s">
        <v>45</v>
      </c>
      <c r="E2820" s="9" t="s">
        <v>44</v>
      </c>
      <c r="F2820" s="5" t="n">
        <v>12</v>
      </c>
      <c r="G2820" s="10"/>
      <c r="H2820" s="11" t="str">
        <f aca="false">IFERROR(IF($D2820="Manual Review","",IF($G2820="","",IF($D2820="Direct Expiry",$G2820,EDATE($G2820,$F2820)))),"Check Date")</f>
        <v/>
      </c>
      <c r="I2820" s="12" t="str">
        <f aca="true">IF($H2820="","",IF(ISNUMBER($H2820),$H2820-TODAY(),""))</f>
        <v/>
      </c>
      <c r="J2820" s="4" t="str">
        <f aca="true">IF($D2820="Manual Review","Manual Review",IF($G2820="","No Data",IF(NOT(ISNUMBER($H2820)),"N/A",IF($H2820&lt;TODAY(),"Overdue",IF($H2820&lt;=TODAY()+30,"Due within 1 Month",IF($H2820&lt;=TODAY()+60,"Due within 2 Months","OK"))))))</f>
        <v>No Data</v>
      </c>
      <c r="K2820" s="13"/>
    </row>
    <row r="2821" customFormat="false" ht="15" hidden="false" customHeight="false" outlineLevel="0" collapsed="false">
      <c r="A2821" s="9" t="str">
        <f aca="false">Vessels!B30</f>
        <v>Vessel 26</v>
      </c>
      <c r="B2821" s="9" t="s">
        <v>42</v>
      </c>
      <c r="C2821" s="7" t="s">
        <v>60</v>
      </c>
      <c r="D2821" s="9" t="s">
        <v>45</v>
      </c>
      <c r="E2821" s="9" t="s">
        <v>46</v>
      </c>
      <c r="F2821" s="5" t="n">
        <v>60</v>
      </c>
      <c r="G2821" s="10"/>
      <c r="H2821" s="11" t="str">
        <f aca="false">IFERROR(IF($D2821="Manual Review","",IF($G2821="","",IF($D2821="Direct Expiry",$G2821,EDATE($G2821,$F2821)))),"Check Date")</f>
        <v/>
      </c>
      <c r="I2821" s="12" t="str">
        <f aca="true">IF($H2821="","",IF(ISNUMBER($H2821),$H2821-TODAY(),""))</f>
        <v/>
      </c>
      <c r="J2821" s="4" t="str">
        <f aca="true">IF($D2821="Manual Review","Manual Review",IF($G2821="","No Data",IF(NOT(ISNUMBER($H2821)),"N/A",IF($H2821&lt;TODAY(),"Overdue",IF($H2821&lt;=TODAY()+30,"Due within 1 Month",IF($H2821&lt;=TODAY()+60,"Due within 2 Months","OK"))))))</f>
        <v>No Data</v>
      </c>
      <c r="K2821" s="13"/>
    </row>
    <row r="2822" customFormat="false" ht="15" hidden="false" customHeight="false" outlineLevel="0" collapsed="false">
      <c r="A2822" s="9" t="str">
        <f aca="false">Vessels!B30</f>
        <v>Vessel 26</v>
      </c>
      <c r="B2822" s="9" t="s">
        <v>42</v>
      </c>
      <c r="C2822" s="7" t="s">
        <v>61</v>
      </c>
      <c r="D2822" s="9" t="s">
        <v>45</v>
      </c>
      <c r="E2822" s="9" t="s">
        <v>44</v>
      </c>
      <c r="F2822" s="5" t="n">
        <v>12</v>
      </c>
      <c r="G2822" s="10"/>
      <c r="H2822" s="11" t="str">
        <f aca="false">IFERROR(IF($D2822="Manual Review","",IF($G2822="","",IF($D2822="Direct Expiry",$G2822,EDATE($G2822,$F2822)))),"Check Date")</f>
        <v/>
      </c>
      <c r="I2822" s="12" t="str">
        <f aca="true">IF($H2822="","",IF(ISNUMBER($H2822),$H2822-TODAY(),""))</f>
        <v/>
      </c>
      <c r="J2822" s="4" t="str">
        <f aca="true">IF($D2822="Manual Review","Manual Review",IF($G2822="","No Data",IF(NOT(ISNUMBER($H2822)),"N/A",IF($H2822&lt;TODAY(),"Overdue",IF($H2822&lt;=TODAY()+30,"Due within 1 Month",IF($H2822&lt;=TODAY()+60,"Due within 2 Months","OK"))))))</f>
        <v>No Data</v>
      </c>
      <c r="K2822" s="13"/>
    </row>
    <row r="2823" customFormat="false" ht="15" hidden="false" customHeight="false" outlineLevel="0" collapsed="false">
      <c r="A2823" s="9" t="str">
        <f aca="false">Vessels!B30</f>
        <v>Vessel 26</v>
      </c>
      <c r="B2823" s="9" t="s">
        <v>42</v>
      </c>
      <c r="C2823" s="7" t="s">
        <v>61</v>
      </c>
      <c r="D2823" s="9" t="s">
        <v>45</v>
      </c>
      <c r="E2823" s="9" t="s">
        <v>46</v>
      </c>
      <c r="F2823" s="5" t="n">
        <v>60</v>
      </c>
      <c r="G2823" s="10"/>
      <c r="H2823" s="11" t="str">
        <f aca="false">IFERROR(IF($D2823="Manual Review","",IF($G2823="","",IF($D2823="Direct Expiry",$G2823,EDATE($G2823,$F2823)))),"Check Date")</f>
        <v/>
      </c>
      <c r="I2823" s="12" t="str">
        <f aca="true">IF($H2823="","",IF(ISNUMBER($H2823),$H2823-TODAY(),""))</f>
        <v/>
      </c>
      <c r="J2823" s="4" t="str">
        <f aca="true">IF($D2823="Manual Review","Manual Review",IF($G2823="","No Data",IF(NOT(ISNUMBER($H2823)),"N/A",IF($H2823&lt;TODAY(),"Overdue",IF($H2823&lt;=TODAY()+30,"Due within 1 Month",IF($H2823&lt;=TODAY()+60,"Due within 2 Months","OK"))))))</f>
        <v>No Data</v>
      </c>
      <c r="K2823" s="13"/>
    </row>
    <row r="2824" customFormat="false" ht="15" hidden="false" customHeight="false" outlineLevel="0" collapsed="false">
      <c r="A2824" s="9" t="str">
        <f aca="false">Vessels!B30</f>
        <v>Vessel 26</v>
      </c>
      <c r="B2824" s="9" t="s">
        <v>42</v>
      </c>
      <c r="C2824" s="7" t="s">
        <v>62</v>
      </c>
      <c r="D2824" s="9" t="s">
        <v>45</v>
      </c>
      <c r="E2824" s="9" t="s">
        <v>44</v>
      </c>
      <c r="F2824" s="5" t="n">
        <v>12</v>
      </c>
      <c r="G2824" s="10"/>
      <c r="H2824" s="11" t="str">
        <f aca="false">IFERROR(IF($D2824="Manual Review","",IF($G2824="","",IF($D2824="Direct Expiry",$G2824,EDATE($G2824,$F2824)))),"Check Date")</f>
        <v/>
      </c>
      <c r="I2824" s="12" t="str">
        <f aca="true">IF($H2824="","",IF(ISNUMBER($H2824),$H2824-TODAY(),""))</f>
        <v/>
      </c>
      <c r="J2824" s="4" t="str">
        <f aca="true">IF($D2824="Manual Review","Manual Review",IF($G2824="","No Data",IF(NOT(ISNUMBER($H2824)),"N/A",IF($H2824&lt;TODAY(),"Overdue",IF($H2824&lt;=TODAY()+30,"Due within 1 Month",IF($H2824&lt;=TODAY()+60,"Due within 2 Months","OK"))))))</f>
        <v>No Data</v>
      </c>
      <c r="K2824" s="13"/>
    </row>
    <row r="2825" customFormat="false" ht="15" hidden="false" customHeight="false" outlineLevel="0" collapsed="false">
      <c r="A2825" s="9" t="str">
        <f aca="false">Vessels!B30</f>
        <v>Vessel 26</v>
      </c>
      <c r="B2825" s="9" t="s">
        <v>42</v>
      </c>
      <c r="C2825" s="7" t="s">
        <v>62</v>
      </c>
      <c r="D2825" s="9" t="s">
        <v>45</v>
      </c>
      <c r="E2825" s="9" t="s">
        <v>49</v>
      </c>
      <c r="F2825" s="5" t="n">
        <v>60</v>
      </c>
      <c r="G2825" s="10"/>
      <c r="H2825" s="11" t="str">
        <f aca="false">IFERROR(IF($D2825="Manual Review","",IF($G2825="","",IF($D2825="Direct Expiry",$G2825,EDATE($G2825,$F2825)))),"Check Date")</f>
        <v/>
      </c>
      <c r="I2825" s="12" t="str">
        <f aca="true">IF($H2825="","",IF(ISNUMBER($H2825),$H2825-TODAY(),""))</f>
        <v/>
      </c>
      <c r="J2825" s="4" t="str">
        <f aca="true">IF($D2825="Manual Review","Manual Review",IF($G2825="","No Data",IF(NOT(ISNUMBER($H2825)),"N/A",IF($H2825&lt;TODAY(),"Overdue",IF($H2825&lt;=TODAY()+30,"Due within 1 Month",IF($H2825&lt;=TODAY()+60,"Due within 2 Months","OK"))))))</f>
        <v>No Data</v>
      </c>
      <c r="K2825" s="13"/>
    </row>
    <row r="2826" customFormat="false" ht="15" hidden="false" customHeight="false" outlineLevel="0" collapsed="false">
      <c r="A2826" s="9" t="str">
        <f aca="false">Vessels!B30</f>
        <v>Vessel 26</v>
      </c>
      <c r="B2826" s="9" t="s">
        <v>42</v>
      </c>
      <c r="C2826" s="7" t="s">
        <v>63</v>
      </c>
      <c r="D2826" s="9" t="s">
        <v>45</v>
      </c>
      <c r="E2826" s="9" t="s">
        <v>44</v>
      </c>
      <c r="F2826" s="5" t="n">
        <v>12</v>
      </c>
      <c r="G2826" s="10"/>
      <c r="H2826" s="11" t="str">
        <f aca="false">IFERROR(IF($D2826="Manual Review","",IF($G2826="","",IF($D2826="Direct Expiry",$G2826,EDATE($G2826,$F2826)))),"Check Date")</f>
        <v/>
      </c>
      <c r="I2826" s="12" t="str">
        <f aca="true">IF($H2826="","",IF(ISNUMBER($H2826),$H2826-TODAY(),""))</f>
        <v/>
      </c>
      <c r="J2826" s="4" t="str">
        <f aca="true">IF($D2826="Manual Review","Manual Review",IF($G2826="","No Data",IF(NOT(ISNUMBER($H2826)),"N/A",IF($H2826&lt;TODAY(),"Overdue",IF($H2826&lt;=TODAY()+30,"Due within 1 Month",IF($H2826&lt;=TODAY()+60,"Due within 2 Months","OK"))))))</f>
        <v>No Data</v>
      </c>
      <c r="K2826" s="13"/>
    </row>
    <row r="2827" customFormat="false" ht="15" hidden="false" customHeight="false" outlineLevel="0" collapsed="false">
      <c r="A2827" s="9" t="str">
        <f aca="false">Vessels!B30</f>
        <v>Vessel 26</v>
      </c>
      <c r="B2827" s="9" t="s">
        <v>42</v>
      </c>
      <c r="C2827" s="7" t="s">
        <v>63</v>
      </c>
      <c r="D2827" s="9" t="s">
        <v>45</v>
      </c>
      <c r="E2827" s="9" t="s">
        <v>49</v>
      </c>
      <c r="F2827" s="5" t="n">
        <v>60</v>
      </c>
      <c r="G2827" s="10"/>
      <c r="H2827" s="11" t="str">
        <f aca="false">IFERROR(IF($D2827="Manual Review","",IF($G2827="","",IF($D2827="Direct Expiry",$G2827,EDATE($G2827,$F2827)))),"Check Date")</f>
        <v/>
      </c>
      <c r="I2827" s="12" t="str">
        <f aca="true">IF($H2827="","",IF(ISNUMBER($H2827),$H2827-TODAY(),""))</f>
        <v/>
      </c>
      <c r="J2827" s="4" t="str">
        <f aca="true">IF($D2827="Manual Review","Manual Review",IF($G2827="","No Data",IF(NOT(ISNUMBER($H2827)),"N/A",IF($H2827&lt;TODAY(),"Overdue",IF($H2827&lt;=TODAY()+30,"Due within 1 Month",IF($H2827&lt;=TODAY()+60,"Due within 2 Months","OK"))))))</f>
        <v>No Data</v>
      </c>
      <c r="K2827" s="13"/>
    </row>
    <row r="2828" customFormat="false" ht="15" hidden="false" customHeight="false" outlineLevel="0" collapsed="false">
      <c r="A2828" s="9" t="str">
        <f aca="false">Vessels!B30</f>
        <v>Vessel 26</v>
      </c>
      <c r="B2828" s="9" t="s">
        <v>42</v>
      </c>
      <c r="C2828" s="7" t="s">
        <v>64</v>
      </c>
      <c r="D2828" s="9" t="s">
        <v>45</v>
      </c>
      <c r="E2828" s="9" t="s">
        <v>46</v>
      </c>
      <c r="F2828" s="5" t="n">
        <v>60</v>
      </c>
      <c r="G2828" s="10"/>
      <c r="H2828" s="11" t="str">
        <f aca="false">IFERROR(IF($D2828="Manual Review","",IF($G2828="","",IF($D2828="Direct Expiry",$G2828,EDATE($G2828,$F2828)))),"Check Date")</f>
        <v/>
      </c>
      <c r="I2828" s="12" t="str">
        <f aca="true">IF($H2828="","",IF(ISNUMBER($H2828),$H2828-TODAY(),""))</f>
        <v/>
      </c>
      <c r="J2828" s="4" t="str">
        <f aca="true">IF($D2828="Manual Review","Manual Review",IF($G2828="","No Data",IF(NOT(ISNUMBER($H2828)),"N/A",IF($H2828&lt;TODAY(),"Overdue",IF($H2828&lt;=TODAY()+30,"Due within 1 Month",IF($H2828&lt;=TODAY()+60,"Due within 2 Months","OK"))))))</f>
        <v>No Data</v>
      </c>
      <c r="K2828" s="13"/>
    </row>
    <row r="2829" customFormat="false" ht="15" hidden="false" customHeight="false" outlineLevel="0" collapsed="false">
      <c r="A2829" s="9" t="str">
        <f aca="false">Vessels!B30</f>
        <v>Vessel 26</v>
      </c>
      <c r="B2829" s="9" t="s">
        <v>42</v>
      </c>
      <c r="C2829" s="7" t="s">
        <v>65</v>
      </c>
      <c r="D2829" s="9" t="s">
        <v>45</v>
      </c>
      <c r="E2829" s="9" t="s">
        <v>46</v>
      </c>
      <c r="F2829" s="5" t="n">
        <v>60</v>
      </c>
      <c r="G2829" s="10"/>
      <c r="H2829" s="11" t="str">
        <f aca="false">IFERROR(IF($D2829="Manual Review","",IF($G2829="","",IF($D2829="Direct Expiry",$G2829,EDATE($G2829,$F2829)))),"Check Date")</f>
        <v/>
      </c>
      <c r="I2829" s="12" t="str">
        <f aca="true">IF($H2829="","",IF(ISNUMBER($H2829),$H2829-TODAY(),""))</f>
        <v/>
      </c>
      <c r="J2829" s="4" t="str">
        <f aca="true">IF($D2829="Manual Review","Manual Review",IF($G2829="","No Data",IF(NOT(ISNUMBER($H2829)),"N/A",IF($H2829&lt;TODAY(),"Overdue",IF($H2829&lt;=TODAY()+30,"Due within 1 Month",IF($H2829&lt;=TODAY()+60,"Due within 2 Months","OK"))))))</f>
        <v>No Data</v>
      </c>
      <c r="K2829" s="13"/>
    </row>
    <row r="2830" customFormat="false" ht="15" hidden="false" customHeight="false" outlineLevel="0" collapsed="false">
      <c r="A2830" s="9" t="str">
        <f aca="false">Vessels!B30</f>
        <v>Vessel 26</v>
      </c>
      <c r="B2830" s="9" t="s">
        <v>42</v>
      </c>
      <c r="C2830" s="7" t="s">
        <v>66</v>
      </c>
      <c r="D2830" s="9" t="s">
        <v>45</v>
      </c>
      <c r="E2830" s="9" t="s">
        <v>46</v>
      </c>
      <c r="F2830" s="5" t="n">
        <v>60</v>
      </c>
      <c r="G2830" s="10"/>
      <c r="H2830" s="11" t="str">
        <f aca="false">IFERROR(IF($D2830="Manual Review","",IF($G2830="","",IF($D2830="Direct Expiry",$G2830,EDATE($G2830,$F2830)))),"Check Date")</f>
        <v/>
      </c>
      <c r="I2830" s="12" t="str">
        <f aca="true">IF($H2830="","",IF(ISNUMBER($H2830),$H2830-TODAY(),""))</f>
        <v/>
      </c>
      <c r="J2830" s="4" t="str">
        <f aca="true">IF($D2830="Manual Review","Manual Review",IF($G2830="","No Data",IF(NOT(ISNUMBER($H2830)),"N/A",IF($H2830&lt;TODAY(),"Overdue",IF($H2830&lt;=TODAY()+30,"Due within 1 Month",IF($H2830&lt;=TODAY()+60,"Due within 2 Months","OK"))))))</f>
        <v>No Data</v>
      </c>
      <c r="K2830" s="13"/>
    </row>
    <row r="2831" customFormat="false" ht="15" hidden="false" customHeight="false" outlineLevel="0" collapsed="false">
      <c r="A2831" s="9" t="str">
        <f aca="false">Vessels!B30</f>
        <v>Vessel 26</v>
      </c>
      <c r="B2831" s="9" t="s">
        <v>42</v>
      </c>
      <c r="C2831" s="7" t="s">
        <v>67</v>
      </c>
      <c r="D2831" s="9" t="s">
        <v>45</v>
      </c>
      <c r="E2831" s="9" t="s">
        <v>46</v>
      </c>
      <c r="F2831" s="5" t="n">
        <v>60</v>
      </c>
      <c r="G2831" s="10"/>
      <c r="H2831" s="11" t="str">
        <f aca="false">IFERROR(IF($D2831="Manual Review","",IF($G2831="","",IF($D2831="Direct Expiry",$G2831,EDATE($G2831,$F2831)))),"Check Date")</f>
        <v/>
      </c>
      <c r="I2831" s="12" t="str">
        <f aca="true">IF($H2831="","",IF(ISNUMBER($H2831),$H2831-TODAY(),""))</f>
        <v/>
      </c>
      <c r="J2831" s="4" t="str">
        <f aca="true">IF($D2831="Manual Review","Manual Review",IF($G2831="","No Data",IF(NOT(ISNUMBER($H2831)),"N/A",IF($H2831&lt;TODAY(),"Overdue",IF($H2831&lt;=TODAY()+30,"Due within 1 Month",IF($H2831&lt;=TODAY()+60,"Due within 2 Months","OK"))))))</f>
        <v>No Data</v>
      </c>
      <c r="K2831" s="13"/>
    </row>
    <row r="2832" customFormat="false" ht="15" hidden="false" customHeight="false" outlineLevel="0" collapsed="false">
      <c r="A2832" s="9" t="str">
        <f aca="false">Vessels!B30</f>
        <v>Vessel 26</v>
      </c>
      <c r="B2832" s="9" t="s">
        <v>42</v>
      </c>
      <c r="C2832" s="7" t="s">
        <v>68</v>
      </c>
      <c r="D2832" s="9" t="s">
        <v>45</v>
      </c>
      <c r="E2832" s="9" t="s">
        <v>46</v>
      </c>
      <c r="F2832" s="5" t="n">
        <v>60</v>
      </c>
      <c r="G2832" s="10"/>
      <c r="H2832" s="11" t="str">
        <f aca="false">IFERROR(IF($D2832="Manual Review","",IF($G2832="","",IF($D2832="Direct Expiry",$G2832,EDATE($G2832,$F2832)))),"Check Date")</f>
        <v/>
      </c>
      <c r="I2832" s="12" t="str">
        <f aca="true">IF($H2832="","",IF(ISNUMBER($H2832),$H2832-TODAY(),""))</f>
        <v/>
      </c>
      <c r="J2832" s="4" t="str">
        <f aca="true">IF($D2832="Manual Review","Manual Review",IF($G2832="","No Data",IF(NOT(ISNUMBER($H2832)),"N/A",IF($H2832&lt;TODAY(),"Overdue",IF($H2832&lt;=TODAY()+30,"Due within 1 Month",IF($H2832&lt;=TODAY()+60,"Due within 2 Months","OK"))))))</f>
        <v>No Data</v>
      </c>
      <c r="K2832" s="13"/>
    </row>
    <row r="2833" customFormat="false" ht="15" hidden="false" customHeight="false" outlineLevel="0" collapsed="false">
      <c r="A2833" s="9" t="str">
        <f aca="false">Vessels!B30</f>
        <v>Vessel 26</v>
      </c>
      <c r="B2833" s="9" t="s">
        <v>42</v>
      </c>
      <c r="C2833" s="7" t="s">
        <v>69</v>
      </c>
      <c r="D2833" s="9" t="s">
        <v>45</v>
      </c>
      <c r="E2833" s="9" t="s">
        <v>46</v>
      </c>
      <c r="F2833" s="5" t="n">
        <v>60</v>
      </c>
      <c r="G2833" s="10"/>
      <c r="H2833" s="11" t="str">
        <f aca="false">IFERROR(IF($D2833="Manual Review","",IF($G2833="","",IF($D2833="Direct Expiry",$G2833,EDATE($G2833,$F2833)))),"Check Date")</f>
        <v/>
      </c>
      <c r="I2833" s="12" t="str">
        <f aca="true">IF($H2833="","",IF(ISNUMBER($H2833),$H2833-TODAY(),""))</f>
        <v/>
      </c>
      <c r="J2833" s="4" t="str">
        <f aca="true">IF($D2833="Manual Review","Manual Review",IF($G2833="","No Data",IF(NOT(ISNUMBER($H2833)),"N/A",IF($H2833&lt;TODAY(),"Overdue",IF($H2833&lt;=TODAY()+30,"Due within 1 Month",IF($H2833&lt;=TODAY()+60,"Due within 2 Months","OK"))))))</f>
        <v>No Data</v>
      </c>
      <c r="K2833" s="13"/>
    </row>
    <row r="2834" customFormat="false" ht="15" hidden="false" customHeight="false" outlineLevel="0" collapsed="false">
      <c r="A2834" s="9" t="str">
        <f aca="false">Vessels!B30</f>
        <v>Vessel 26</v>
      </c>
      <c r="B2834" s="9" t="s">
        <v>42</v>
      </c>
      <c r="C2834" s="7" t="s">
        <v>70</v>
      </c>
      <c r="D2834" s="9" t="s">
        <v>59</v>
      </c>
      <c r="E2834" s="9" t="s">
        <v>58</v>
      </c>
      <c r="F2834" s="5"/>
      <c r="G2834" s="10"/>
      <c r="H2834" s="11" t="str">
        <f aca="false">IFERROR(IF($D2834="Manual Review","",IF($G2834="","",IF($D2834="Direct Expiry",$G2834,EDATE($G2834,$F2834)))),"Check Date")</f>
        <v/>
      </c>
      <c r="I2834" s="12" t="str">
        <f aca="true">IF($H2834="","",IF(ISNUMBER($H2834),$H2834-TODAY(),""))</f>
        <v/>
      </c>
      <c r="J2834" s="4" t="str">
        <f aca="true">IF($D2834="Manual Review","Manual Review",IF($G2834="","No Data",IF(NOT(ISNUMBER($H2834)),"N/A",IF($H2834&lt;TODAY(),"Overdue",IF($H2834&lt;=TODAY()+30,"Due within 1 Month",IF($H2834&lt;=TODAY()+60,"Due within 2 Months","OK"))))))</f>
        <v>No Data</v>
      </c>
      <c r="K2834" s="13"/>
    </row>
    <row r="2835" customFormat="false" ht="15" hidden="false" customHeight="false" outlineLevel="0" collapsed="false">
      <c r="A2835" s="9" t="str">
        <f aca="false">Vessels!B30</f>
        <v>Vessel 26</v>
      </c>
      <c r="B2835" s="9" t="s">
        <v>42</v>
      </c>
      <c r="C2835" s="7" t="s">
        <v>71</v>
      </c>
      <c r="D2835" s="9" t="s">
        <v>45</v>
      </c>
      <c r="E2835" s="9" t="s">
        <v>44</v>
      </c>
      <c r="F2835" s="5" t="n">
        <v>12</v>
      </c>
      <c r="G2835" s="10"/>
      <c r="H2835" s="11" t="str">
        <f aca="false">IFERROR(IF($D2835="Manual Review","",IF($G2835="","",IF($D2835="Direct Expiry",$G2835,EDATE($G2835,$F2835)))),"Check Date")</f>
        <v/>
      </c>
      <c r="I2835" s="12" t="str">
        <f aca="true">IF($H2835="","",IF(ISNUMBER($H2835),$H2835-TODAY(),""))</f>
        <v/>
      </c>
      <c r="J2835" s="4" t="str">
        <f aca="true">IF($D2835="Manual Review","Manual Review",IF($G2835="","No Data",IF(NOT(ISNUMBER($H2835)),"N/A",IF($H2835&lt;TODAY(),"Overdue",IF($H2835&lt;=TODAY()+30,"Due within 1 Month",IF($H2835&lt;=TODAY()+60,"Due within 2 Months","OK"))))))</f>
        <v>No Data</v>
      </c>
      <c r="K2835" s="13"/>
    </row>
    <row r="2836" customFormat="false" ht="15" hidden="false" customHeight="false" outlineLevel="0" collapsed="false">
      <c r="A2836" s="9" t="str">
        <f aca="false">Vessels!B30</f>
        <v>Vessel 26</v>
      </c>
      <c r="B2836" s="9" t="s">
        <v>42</v>
      </c>
      <c r="C2836" s="7" t="s">
        <v>72</v>
      </c>
      <c r="D2836" s="9" t="s">
        <v>59</v>
      </c>
      <c r="E2836" s="9" t="s">
        <v>58</v>
      </c>
      <c r="F2836" s="5"/>
      <c r="G2836" s="10"/>
      <c r="H2836" s="11" t="str">
        <f aca="false">IFERROR(IF($D2836="Manual Review","",IF($G2836="","",IF($D2836="Direct Expiry",$G2836,EDATE($G2836,$F2836)))),"Check Date")</f>
        <v/>
      </c>
      <c r="I2836" s="12" t="str">
        <f aca="true">IF($H2836="","",IF(ISNUMBER($H2836),$H2836-TODAY(),""))</f>
        <v/>
      </c>
      <c r="J2836" s="4" t="str">
        <f aca="true">IF($D2836="Manual Review","Manual Review",IF($G2836="","No Data",IF(NOT(ISNUMBER($H2836)),"N/A",IF($H2836&lt;TODAY(),"Overdue",IF($H2836&lt;=TODAY()+30,"Due within 1 Month",IF($H2836&lt;=TODAY()+60,"Due within 2 Months","OK"))))))</f>
        <v>No Data</v>
      </c>
      <c r="K2836" s="13"/>
    </row>
    <row r="2837" customFormat="false" ht="15" hidden="false" customHeight="false" outlineLevel="0" collapsed="false">
      <c r="A2837" s="9" t="str">
        <f aca="false">Vessels!B30</f>
        <v>Vessel 26</v>
      </c>
      <c r="B2837" s="9" t="s">
        <v>42</v>
      </c>
      <c r="C2837" s="7" t="s">
        <v>73</v>
      </c>
      <c r="D2837" s="9" t="s">
        <v>45</v>
      </c>
      <c r="E2837" s="9" t="s">
        <v>44</v>
      </c>
      <c r="F2837" s="5" t="n">
        <v>12</v>
      </c>
      <c r="G2837" s="10"/>
      <c r="H2837" s="11" t="str">
        <f aca="false">IFERROR(IF($D2837="Manual Review","",IF($G2837="","",IF($D2837="Direct Expiry",$G2837,EDATE($G2837,$F2837)))),"Check Date")</f>
        <v/>
      </c>
      <c r="I2837" s="12" t="str">
        <f aca="true">IF($H2837="","",IF(ISNUMBER($H2837),$H2837-TODAY(),""))</f>
        <v/>
      </c>
      <c r="J2837" s="4" t="str">
        <f aca="true">IF($D2837="Manual Review","Manual Review",IF($G2837="","No Data",IF(NOT(ISNUMBER($H2837)),"N/A",IF($H2837&lt;TODAY(),"Overdue",IF($H2837&lt;=TODAY()+30,"Due within 1 Month",IF($H2837&lt;=TODAY()+60,"Due within 2 Months","OK"))))))</f>
        <v>No Data</v>
      </c>
      <c r="K2837" s="13"/>
    </row>
    <row r="2838" customFormat="false" ht="15" hidden="false" customHeight="false" outlineLevel="0" collapsed="false">
      <c r="A2838" s="9" t="str">
        <f aca="false">Vessels!B30</f>
        <v>Vessel 26</v>
      </c>
      <c r="B2838" s="9" t="s">
        <v>42</v>
      </c>
      <c r="C2838" s="7" t="s">
        <v>74</v>
      </c>
      <c r="D2838" s="9" t="s">
        <v>59</v>
      </c>
      <c r="E2838" s="9" t="s">
        <v>58</v>
      </c>
      <c r="F2838" s="5"/>
      <c r="G2838" s="10"/>
      <c r="H2838" s="11" t="str">
        <f aca="false">IFERROR(IF($D2838="Manual Review","",IF($G2838="","",IF($D2838="Direct Expiry",$G2838,EDATE($G2838,$F2838)))),"Check Date")</f>
        <v/>
      </c>
      <c r="I2838" s="12" t="str">
        <f aca="true">IF($H2838="","",IF(ISNUMBER($H2838),$H2838-TODAY(),""))</f>
        <v/>
      </c>
      <c r="J2838" s="4" t="str">
        <f aca="true">IF($D2838="Manual Review","Manual Review",IF($G2838="","No Data",IF(NOT(ISNUMBER($H2838)),"N/A",IF($H2838&lt;TODAY(),"Overdue",IF($H2838&lt;=TODAY()+30,"Due within 1 Month",IF($H2838&lt;=TODAY()+60,"Due within 2 Months","OK"))))))</f>
        <v>No Data</v>
      </c>
      <c r="K2838" s="13"/>
    </row>
    <row r="2839" customFormat="false" ht="15" hidden="false" customHeight="false" outlineLevel="0" collapsed="false">
      <c r="A2839" s="9" t="str">
        <f aca="false">Vessels!B30</f>
        <v>Vessel 26</v>
      </c>
      <c r="B2839" s="9" t="s">
        <v>42</v>
      </c>
      <c r="C2839" s="7" t="s">
        <v>75</v>
      </c>
      <c r="D2839" s="9" t="s">
        <v>45</v>
      </c>
      <c r="E2839" s="9" t="s">
        <v>44</v>
      </c>
      <c r="F2839" s="5" t="n">
        <v>12</v>
      </c>
      <c r="G2839" s="10"/>
      <c r="H2839" s="11" t="str">
        <f aca="false">IFERROR(IF($D2839="Manual Review","",IF($G2839="","",IF($D2839="Direct Expiry",$G2839,EDATE($G2839,$F2839)))),"Check Date")</f>
        <v/>
      </c>
      <c r="I2839" s="12" t="str">
        <f aca="true">IF($H2839="","",IF(ISNUMBER($H2839),$H2839-TODAY(),""))</f>
        <v/>
      </c>
      <c r="J2839" s="4" t="str">
        <f aca="true">IF($D2839="Manual Review","Manual Review",IF($G2839="","No Data",IF(NOT(ISNUMBER($H2839)),"N/A",IF($H2839&lt;TODAY(),"Overdue",IF($H2839&lt;=TODAY()+30,"Due within 1 Month",IF($H2839&lt;=TODAY()+60,"Due within 2 Months","OK"))))))</f>
        <v>No Data</v>
      </c>
      <c r="K2839" s="13"/>
    </row>
    <row r="2840" customFormat="false" ht="15" hidden="false" customHeight="false" outlineLevel="0" collapsed="false">
      <c r="A2840" s="9" t="str">
        <f aca="false">Vessels!B30</f>
        <v>Vessel 26</v>
      </c>
      <c r="B2840" s="9" t="s">
        <v>42</v>
      </c>
      <c r="C2840" s="7" t="s">
        <v>76</v>
      </c>
      <c r="D2840" s="9" t="s">
        <v>59</v>
      </c>
      <c r="E2840" s="9" t="s">
        <v>58</v>
      </c>
      <c r="F2840" s="5"/>
      <c r="G2840" s="10"/>
      <c r="H2840" s="11" t="str">
        <f aca="false">IFERROR(IF($D2840="Manual Review","",IF($G2840="","",IF($D2840="Direct Expiry",$G2840,EDATE($G2840,$F2840)))),"Check Date")</f>
        <v/>
      </c>
      <c r="I2840" s="12" t="str">
        <f aca="true">IF($H2840="","",IF(ISNUMBER($H2840),$H2840-TODAY(),""))</f>
        <v/>
      </c>
      <c r="J2840" s="4" t="str">
        <f aca="true">IF($D2840="Manual Review","Manual Review",IF($G2840="","No Data",IF(NOT(ISNUMBER($H2840)),"N/A",IF($H2840&lt;TODAY(),"Overdue",IF($H2840&lt;=TODAY()+30,"Due within 1 Month",IF($H2840&lt;=TODAY()+60,"Due within 2 Months","OK"))))))</f>
        <v>No Data</v>
      </c>
      <c r="K2840" s="13"/>
    </row>
    <row r="2841" customFormat="false" ht="15" hidden="false" customHeight="false" outlineLevel="0" collapsed="false">
      <c r="A2841" s="9" t="str">
        <f aca="false">Vessels!B30</f>
        <v>Vessel 26</v>
      </c>
      <c r="B2841" s="9" t="s">
        <v>42</v>
      </c>
      <c r="C2841" s="7" t="s">
        <v>77</v>
      </c>
      <c r="D2841" s="9" t="s">
        <v>59</v>
      </c>
      <c r="E2841" s="9" t="s">
        <v>58</v>
      </c>
      <c r="F2841" s="5"/>
      <c r="G2841" s="10"/>
      <c r="H2841" s="11" t="str">
        <f aca="false">IFERROR(IF($D2841="Manual Review","",IF($G2841="","",IF($D2841="Direct Expiry",$G2841,EDATE($G2841,$F2841)))),"Check Date")</f>
        <v/>
      </c>
      <c r="I2841" s="12" t="str">
        <f aca="true">IF($H2841="","",IF(ISNUMBER($H2841),$H2841-TODAY(),""))</f>
        <v/>
      </c>
      <c r="J2841" s="4" t="str">
        <f aca="true">IF($D2841="Manual Review","Manual Review",IF($G2841="","No Data",IF(NOT(ISNUMBER($H2841)),"N/A",IF($H2841&lt;TODAY(),"Overdue",IF($H2841&lt;=TODAY()+30,"Due within 1 Month",IF($H2841&lt;=TODAY()+60,"Due within 2 Months","OK"))))))</f>
        <v>No Data</v>
      </c>
      <c r="K2841" s="13"/>
    </row>
    <row r="2842" customFormat="false" ht="15" hidden="false" customHeight="false" outlineLevel="0" collapsed="false">
      <c r="A2842" s="9" t="str">
        <f aca="false">Vessels!B30</f>
        <v>Vessel 26</v>
      </c>
      <c r="B2842" s="9" t="s">
        <v>42</v>
      </c>
      <c r="C2842" s="7" t="s">
        <v>78</v>
      </c>
      <c r="D2842" s="9" t="s">
        <v>59</v>
      </c>
      <c r="E2842" s="9" t="s">
        <v>58</v>
      </c>
      <c r="F2842" s="5"/>
      <c r="G2842" s="10"/>
      <c r="H2842" s="11" t="str">
        <f aca="false">IFERROR(IF($D2842="Manual Review","",IF($G2842="","",IF($D2842="Direct Expiry",$G2842,EDATE($G2842,$F2842)))),"Check Date")</f>
        <v/>
      </c>
      <c r="I2842" s="12" t="str">
        <f aca="true">IF($H2842="","",IF(ISNUMBER($H2842),$H2842-TODAY(),""))</f>
        <v/>
      </c>
      <c r="J2842" s="4" t="str">
        <f aca="true">IF($D2842="Manual Review","Manual Review",IF($G2842="","No Data",IF(NOT(ISNUMBER($H2842)),"N/A",IF($H2842&lt;TODAY(),"Overdue",IF($H2842&lt;=TODAY()+30,"Due within 1 Month",IF($H2842&lt;=TODAY()+60,"Due within 2 Months","OK"))))))</f>
        <v>No Data</v>
      </c>
      <c r="K2842" s="13"/>
    </row>
    <row r="2843" customFormat="false" ht="15" hidden="false" customHeight="false" outlineLevel="0" collapsed="false">
      <c r="A2843" s="9" t="str">
        <f aca="false">Vessels!B30</f>
        <v>Vessel 26</v>
      </c>
      <c r="B2843" s="9" t="s">
        <v>42</v>
      </c>
      <c r="C2843" s="7" t="s">
        <v>79</v>
      </c>
      <c r="D2843" s="9" t="s">
        <v>45</v>
      </c>
      <c r="E2843" s="9" t="s">
        <v>44</v>
      </c>
      <c r="F2843" s="5" t="n">
        <v>12</v>
      </c>
      <c r="G2843" s="10"/>
      <c r="H2843" s="11" t="str">
        <f aca="false">IFERROR(IF($D2843="Manual Review","",IF($G2843="","",IF($D2843="Direct Expiry",$G2843,EDATE($G2843,$F2843)))),"Check Date")</f>
        <v/>
      </c>
      <c r="I2843" s="12" t="str">
        <f aca="true">IF($H2843="","",IF(ISNUMBER($H2843),$H2843-TODAY(),""))</f>
        <v/>
      </c>
      <c r="J2843" s="4" t="str">
        <f aca="true">IF($D2843="Manual Review","Manual Review",IF($G2843="","No Data",IF(NOT(ISNUMBER($H2843)),"N/A",IF($H2843&lt;TODAY(),"Overdue",IF($H2843&lt;=TODAY()+30,"Due within 1 Month",IF($H2843&lt;=TODAY()+60,"Due within 2 Months","OK"))))))</f>
        <v>No Data</v>
      </c>
      <c r="K2843" s="13"/>
    </row>
    <row r="2844" customFormat="false" ht="15" hidden="false" customHeight="false" outlineLevel="0" collapsed="false">
      <c r="A2844" s="9" t="str">
        <f aca="false">Vessels!B30</f>
        <v>Vessel 26</v>
      </c>
      <c r="B2844" s="9" t="s">
        <v>42</v>
      </c>
      <c r="C2844" s="7" t="s">
        <v>80</v>
      </c>
      <c r="D2844" s="9" t="s">
        <v>45</v>
      </c>
      <c r="E2844" s="9" t="s">
        <v>81</v>
      </c>
      <c r="F2844" s="5" t="n">
        <v>36</v>
      </c>
      <c r="G2844" s="10"/>
      <c r="H2844" s="11" t="str">
        <f aca="false">IFERROR(IF($D2844="Manual Review","",IF($G2844="","",IF($D2844="Direct Expiry",$G2844,EDATE($G2844,$F2844)))),"Check Date")</f>
        <v/>
      </c>
      <c r="I2844" s="12" t="str">
        <f aca="true">IF($H2844="","",IF(ISNUMBER($H2844),$H2844-TODAY(),""))</f>
        <v/>
      </c>
      <c r="J2844" s="4" t="str">
        <f aca="true">IF($D2844="Manual Review","Manual Review",IF($G2844="","No Data",IF(NOT(ISNUMBER($H2844)),"N/A",IF($H2844&lt;TODAY(),"Overdue",IF($H2844&lt;=TODAY()+30,"Due within 1 Month",IF($H2844&lt;=TODAY()+60,"Due within 2 Months","OK"))))))</f>
        <v>No Data</v>
      </c>
      <c r="K2844" s="13"/>
    </row>
    <row r="2845" customFormat="false" ht="15" hidden="false" customHeight="false" outlineLevel="0" collapsed="false">
      <c r="A2845" s="9" t="str">
        <f aca="false">Vessels!B30</f>
        <v>Vessel 26</v>
      </c>
      <c r="B2845" s="9" t="s">
        <v>42</v>
      </c>
      <c r="C2845" s="7" t="s">
        <v>80</v>
      </c>
      <c r="D2845" s="9" t="s">
        <v>45</v>
      </c>
      <c r="E2845" s="9" t="s">
        <v>82</v>
      </c>
      <c r="F2845" s="5" t="n">
        <v>24</v>
      </c>
      <c r="G2845" s="10"/>
      <c r="H2845" s="11" t="str">
        <f aca="false">IFERROR(IF($D2845="Manual Review","",IF($G2845="","",IF($D2845="Direct Expiry",$G2845,EDATE($G2845,$F2845)))),"Check Date")</f>
        <v/>
      </c>
      <c r="I2845" s="12" t="str">
        <f aca="true">IF($H2845="","",IF(ISNUMBER($H2845),$H2845-TODAY(),""))</f>
        <v/>
      </c>
      <c r="J2845" s="4" t="str">
        <f aca="true">IF($D2845="Manual Review","Manual Review",IF($G2845="","No Data",IF(NOT(ISNUMBER($H2845)),"N/A",IF($H2845&lt;TODAY(),"Overdue",IF($H2845&lt;=TODAY()+30,"Due within 1 Month",IF($H2845&lt;=TODAY()+60,"Due within 2 Months","OK"))))))</f>
        <v>No Data</v>
      </c>
      <c r="K2845" s="13"/>
    </row>
    <row r="2846" customFormat="false" ht="15" hidden="false" customHeight="false" outlineLevel="0" collapsed="false">
      <c r="A2846" s="9" t="str">
        <f aca="false">Vessels!B30</f>
        <v>Vessel 26</v>
      </c>
      <c r="B2846" s="9" t="s">
        <v>42</v>
      </c>
      <c r="C2846" s="7" t="s">
        <v>83</v>
      </c>
      <c r="D2846" s="9" t="s">
        <v>45</v>
      </c>
      <c r="E2846" s="9" t="s">
        <v>44</v>
      </c>
      <c r="F2846" s="5" t="n">
        <v>12</v>
      </c>
      <c r="G2846" s="10"/>
      <c r="H2846" s="11" t="str">
        <f aca="false">IFERROR(IF($D2846="Manual Review","",IF($G2846="","",IF($D2846="Direct Expiry",$G2846,EDATE($G2846,$F2846)))),"Check Date")</f>
        <v/>
      </c>
      <c r="I2846" s="12" t="str">
        <f aca="true">IF($H2846="","",IF(ISNUMBER($H2846),$H2846-TODAY(),""))</f>
        <v/>
      </c>
      <c r="J2846" s="4" t="str">
        <f aca="true">IF($D2846="Manual Review","Manual Review",IF($G2846="","No Data",IF(NOT(ISNUMBER($H2846)),"N/A",IF($H2846&lt;TODAY(),"Overdue",IF($H2846&lt;=TODAY()+30,"Due within 1 Month",IF($H2846&lt;=TODAY()+60,"Due within 2 Months","OK"))))))</f>
        <v>No Data</v>
      </c>
      <c r="K2846" s="13"/>
    </row>
    <row r="2847" customFormat="false" ht="15" hidden="false" customHeight="false" outlineLevel="0" collapsed="false">
      <c r="A2847" s="9" t="str">
        <f aca="false">Vessels!B30</f>
        <v>Vessel 26</v>
      </c>
      <c r="B2847" s="9" t="s">
        <v>42</v>
      </c>
      <c r="C2847" s="7" t="s">
        <v>83</v>
      </c>
      <c r="D2847" s="9" t="s">
        <v>45</v>
      </c>
      <c r="E2847" s="9" t="s">
        <v>84</v>
      </c>
      <c r="F2847" s="5" t="n">
        <v>60</v>
      </c>
      <c r="G2847" s="10"/>
      <c r="H2847" s="11" t="str">
        <f aca="false">IFERROR(IF($D2847="Manual Review","",IF($G2847="","",IF($D2847="Direct Expiry",$G2847,EDATE($G2847,$F2847)))),"Check Date")</f>
        <v/>
      </c>
      <c r="I2847" s="12" t="str">
        <f aca="true">IF($H2847="","",IF(ISNUMBER($H2847),$H2847-TODAY(),""))</f>
        <v/>
      </c>
      <c r="J2847" s="4" t="str">
        <f aca="true">IF($D2847="Manual Review","Manual Review",IF($G2847="","No Data",IF(NOT(ISNUMBER($H2847)),"N/A",IF($H2847&lt;TODAY(),"Overdue",IF($H2847&lt;=TODAY()+30,"Due within 1 Month",IF($H2847&lt;=TODAY()+60,"Due within 2 Months","OK"))))))</f>
        <v>No Data</v>
      </c>
      <c r="K2847" s="13"/>
    </row>
    <row r="2848" customFormat="false" ht="15" hidden="false" customHeight="false" outlineLevel="0" collapsed="false">
      <c r="A2848" s="9" t="str">
        <f aca="false">Vessels!B30</f>
        <v>Vessel 26</v>
      </c>
      <c r="B2848" s="9" t="s">
        <v>42</v>
      </c>
      <c r="C2848" s="7" t="s">
        <v>85</v>
      </c>
      <c r="D2848" s="9" t="s">
        <v>45</v>
      </c>
      <c r="E2848" s="9" t="s">
        <v>44</v>
      </c>
      <c r="F2848" s="5" t="n">
        <v>12</v>
      </c>
      <c r="G2848" s="10"/>
      <c r="H2848" s="11" t="str">
        <f aca="false">IFERROR(IF($D2848="Manual Review","",IF($G2848="","",IF($D2848="Direct Expiry",$G2848,EDATE($G2848,$F2848)))),"Check Date")</f>
        <v/>
      </c>
      <c r="I2848" s="12" t="str">
        <f aca="true">IF($H2848="","",IF(ISNUMBER($H2848),$H2848-TODAY(),""))</f>
        <v/>
      </c>
      <c r="J2848" s="4" t="str">
        <f aca="true">IF($D2848="Manual Review","Manual Review",IF($G2848="","No Data",IF(NOT(ISNUMBER($H2848)),"N/A",IF($H2848&lt;TODAY(),"Overdue",IF($H2848&lt;=TODAY()+30,"Due within 1 Month",IF($H2848&lt;=TODAY()+60,"Due within 2 Months","OK"))))))</f>
        <v>No Data</v>
      </c>
      <c r="K2848" s="13"/>
    </row>
    <row r="2849" customFormat="false" ht="15" hidden="false" customHeight="false" outlineLevel="0" collapsed="false">
      <c r="A2849" s="9" t="str">
        <f aca="false">Vessels!B30</f>
        <v>Vessel 26</v>
      </c>
      <c r="B2849" s="9" t="s">
        <v>42</v>
      </c>
      <c r="C2849" s="7" t="s">
        <v>85</v>
      </c>
      <c r="D2849" s="9" t="s">
        <v>45</v>
      </c>
      <c r="E2849" s="9" t="s">
        <v>84</v>
      </c>
      <c r="F2849" s="5" t="n">
        <v>60</v>
      </c>
      <c r="G2849" s="10"/>
      <c r="H2849" s="11" t="str">
        <f aca="false">IFERROR(IF($D2849="Manual Review","",IF($G2849="","",IF($D2849="Direct Expiry",$G2849,EDATE($G2849,$F2849)))),"Check Date")</f>
        <v/>
      </c>
      <c r="I2849" s="12" t="str">
        <f aca="true">IF($H2849="","",IF(ISNUMBER($H2849),$H2849-TODAY(),""))</f>
        <v/>
      </c>
      <c r="J2849" s="4" t="str">
        <f aca="true">IF($D2849="Manual Review","Manual Review",IF($G2849="","No Data",IF(NOT(ISNUMBER($H2849)),"N/A",IF($H2849&lt;TODAY(),"Overdue",IF($H2849&lt;=TODAY()+30,"Due within 1 Month",IF($H2849&lt;=TODAY()+60,"Due within 2 Months","OK"))))))</f>
        <v>No Data</v>
      </c>
      <c r="K2849" s="13"/>
    </row>
    <row r="2850" customFormat="false" ht="15" hidden="false" customHeight="false" outlineLevel="0" collapsed="false">
      <c r="A2850" s="9" t="str">
        <f aca="false">Vessels!B30</f>
        <v>Vessel 26</v>
      </c>
      <c r="B2850" s="9" t="s">
        <v>42</v>
      </c>
      <c r="C2850" s="7" t="s">
        <v>86</v>
      </c>
      <c r="D2850" s="9" t="s">
        <v>45</v>
      </c>
      <c r="E2850" s="9" t="s">
        <v>44</v>
      </c>
      <c r="F2850" s="5" t="n">
        <v>12</v>
      </c>
      <c r="G2850" s="10"/>
      <c r="H2850" s="11" t="str">
        <f aca="false">IFERROR(IF($D2850="Manual Review","",IF($G2850="","",IF($D2850="Direct Expiry",$G2850,EDATE($G2850,$F2850)))),"Check Date")</f>
        <v/>
      </c>
      <c r="I2850" s="12" t="str">
        <f aca="true">IF($H2850="","",IF(ISNUMBER($H2850),$H2850-TODAY(),""))</f>
        <v/>
      </c>
      <c r="J2850" s="4" t="str">
        <f aca="true">IF($D2850="Manual Review","Manual Review",IF($G2850="","No Data",IF(NOT(ISNUMBER($H2850)),"N/A",IF($H2850&lt;TODAY(),"Overdue",IF($H2850&lt;=TODAY()+30,"Due within 1 Month",IF($H2850&lt;=TODAY()+60,"Due within 2 Months","OK"))))))</f>
        <v>No Data</v>
      </c>
      <c r="K2850" s="13"/>
    </row>
    <row r="2851" customFormat="false" ht="15" hidden="false" customHeight="false" outlineLevel="0" collapsed="false">
      <c r="A2851" s="9" t="str">
        <f aca="false">Vessels!B30</f>
        <v>Vessel 26</v>
      </c>
      <c r="B2851" s="9" t="s">
        <v>42</v>
      </c>
      <c r="C2851" s="7" t="s">
        <v>87</v>
      </c>
      <c r="D2851" s="9" t="s">
        <v>45</v>
      </c>
      <c r="E2851" s="9" t="s">
        <v>44</v>
      </c>
      <c r="F2851" s="5" t="n">
        <v>12</v>
      </c>
      <c r="G2851" s="10"/>
      <c r="H2851" s="11" t="str">
        <f aca="false">IFERROR(IF($D2851="Manual Review","",IF($G2851="","",IF($D2851="Direct Expiry",$G2851,EDATE($G2851,$F2851)))),"Check Date")</f>
        <v/>
      </c>
      <c r="I2851" s="12" t="str">
        <f aca="true">IF($H2851="","",IF(ISNUMBER($H2851),$H2851-TODAY(),""))</f>
        <v/>
      </c>
      <c r="J2851" s="4" t="str">
        <f aca="true">IF($D2851="Manual Review","Manual Review",IF($G2851="","No Data",IF(NOT(ISNUMBER($H2851)),"N/A",IF($H2851&lt;TODAY(),"Overdue",IF($H2851&lt;=TODAY()+30,"Due within 1 Month",IF($H2851&lt;=TODAY()+60,"Due within 2 Months","OK"))))))</f>
        <v>No Data</v>
      </c>
      <c r="K2851" s="13"/>
    </row>
    <row r="2852" customFormat="false" ht="15" hidden="false" customHeight="false" outlineLevel="0" collapsed="false">
      <c r="A2852" s="9" t="str">
        <f aca="false">Vessels!B30</f>
        <v>Vessel 26</v>
      </c>
      <c r="B2852" s="9" t="s">
        <v>88</v>
      </c>
      <c r="C2852" s="7" t="s">
        <v>89</v>
      </c>
      <c r="D2852" s="9" t="s">
        <v>45</v>
      </c>
      <c r="E2852" s="9" t="s">
        <v>90</v>
      </c>
      <c r="F2852" s="5" t="n">
        <v>36</v>
      </c>
      <c r="G2852" s="10"/>
      <c r="H2852" s="11" t="str">
        <f aca="false">IFERROR(IF($D2852="Manual Review","",IF($G2852="","",IF($D2852="Direct Expiry",$G2852,EDATE($G2852,$F2852)))),"Check Date")</f>
        <v/>
      </c>
      <c r="I2852" s="12" t="str">
        <f aca="true">IF($H2852="","",IF(ISNUMBER($H2852),$H2852-TODAY(),""))</f>
        <v/>
      </c>
      <c r="J2852" s="4" t="str">
        <f aca="true">IF($D2852="Manual Review","Manual Review",IF($G2852="","No Data",IF(NOT(ISNUMBER($H2852)),"N/A",IF($H2852&lt;TODAY(),"Overdue",IF($H2852&lt;=TODAY()+30,"Due within 1 Month",IF($H2852&lt;=TODAY()+60,"Due within 2 Months","OK"))))))</f>
        <v>No Data</v>
      </c>
      <c r="K2852" s="13"/>
    </row>
    <row r="2853" customFormat="false" ht="15" hidden="false" customHeight="false" outlineLevel="0" collapsed="false">
      <c r="A2853" s="9" t="str">
        <f aca="false">Vessels!B30</f>
        <v>Vessel 26</v>
      </c>
      <c r="B2853" s="9" t="s">
        <v>88</v>
      </c>
      <c r="C2853" s="7" t="s">
        <v>91</v>
      </c>
      <c r="D2853" s="9" t="s">
        <v>45</v>
      </c>
      <c r="E2853" s="9" t="s">
        <v>44</v>
      </c>
      <c r="F2853" s="5" t="n">
        <v>12</v>
      </c>
      <c r="G2853" s="10"/>
      <c r="H2853" s="11" t="str">
        <f aca="false">IFERROR(IF($D2853="Manual Review","",IF($G2853="","",IF($D2853="Direct Expiry",$G2853,EDATE($G2853,$F2853)))),"Check Date")</f>
        <v/>
      </c>
      <c r="I2853" s="12" t="str">
        <f aca="true">IF($H2853="","",IF(ISNUMBER($H2853),$H2853-TODAY(),""))</f>
        <v/>
      </c>
      <c r="J2853" s="4" t="str">
        <f aca="true">IF($D2853="Manual Review","Manual Review",IF($G2853="","No Data",IF(NOT(ISNUMBER($H2853)),"N/A",IF($H2853&lt;TODAY(),"Overdue",IF($H2853&lt;=TODAY()+30,"Due within 1 Month",IF($H2853&lt;=TODAY()+60,"Due within 2 Months","OK"))))))</f>
        <v>No Data</v>
      </c>
      <c r="K2853" s="13"/>
    </row>
    <row r="2854" customFormat="false" ht="15" hidden="false" customHeight="false" outlineLevel="0" collapsed="false">
      <c r="A2854" s="9" t="str">
        <f aca="false">Vessels!B30</f>
        <v>Vessel 26</v>
      </c>
      <c r="B2854" s="9" t="s">
        <v>88</v>
      </c>
      <c r="C2854" s="7" t="s">
        <v>91</v>
      </c>
      <c r="D2854" s="9" t="s">
        <v>45</v>
      </c>
      <c r="E2854" s="9" t="s">
        <v>92</v>
      </c>
      <c r="F2854" s="5" t="n">
        <v>120</v>
      </c>
      <c r="G2854" s="10"/>
      <c r="H2854" s="11" t="str">
        <f aca="false">IFERROR(IF($D2854="Manual Review","",IF($G2854="","",IF($D2854="Direct Expiry",$G2854,EDATE($G2854,$F2854)))),"Check Date")</f>
        <v/>
      </c>
      <c r="I2854" s="12" t="str">
        <f aca="true">IF($H2854="","",IF(ISNUMBER($H2854),$H2854-TODAY(),""))</f>
        <v/>
      </c>
      <c r="J2854" s="4" t="str">
        <f aca="true">IF($D2854="Manual Review","Manual Review",IF($G2854="","No Data",IF(NOT(ISNUMBER($H2854)),"N/A",IF($H2854&lt;TODAY(),"Overdue",IF($H2854&lt;=TODAY()+30,"Due within 1 Month",IF($H2854&lt;=TODAY()+60,"Due within 2 Months","OK"))))))</f>
        <v>No Data</v>
      </c>
      <c r="K2854" s="13"/>
    </row>
    <row r="2855" customFormat="false" ht="15" hidden="false" customHeight="false" outlineLevel="0" collapsed="false">
      <c r="A2855" s="9" t="str">
        <f aca="false">Vessels!B30</f>
        <v>Vessel 26</v>
      </c>
      <c r="B2855" s="9" t="s">
        <v>88</v>
      </c>
      <c r="C2855" s="7" t="s">
        <v>93</v>
      </c>
      <c r="D2855" s="9" t="s">
        <v>45</v>
      </c>
      <c r="E2855" s="9" t="s">
        <v>44</v>
      </c>
      <c r="F2855" s="5" t="n">
        <v>12</v>
      </c>
      <c r="G2855" s="10"/>
      <c r="H2855" s="11" t="str">
        <f aca="false">IFERROR(IF($D2855="Manual Review","",IF($G2855="","",IF($D2855="Direct Expiry",$G2855,EDATE($G2855,$F2855)))),"Check Date")</f>
        <v/>
      </c>
      <c r="I2855" s="12" t="str">
        <f aca="true">IF($H2855="","",IF(ISNUMBER($H2855),$H2855-TODAY(),""))</f>
        <v/>
      </c>
      <c r="J2855" s="4" t="str">
        <f aca="true">IF($D2855="Manual Review","Manual Review",IF($G2855="","No Data",IF(NOT(ISNUMBER($H2855)),"N/A",IF($H2855&lt;TODAY(),"Overdue",IF($H2855&lt;=TODAY()+30,"Due within 1 Month",IF($H2855&lt;=TODAY()+60,"Due within 2 Months","OK"))))))</f>
        <v>No Data</v>
      </c>
      <c r="K2855" s="13"/>
    </row>
    <row r="2856" customFormat="false" ht="15" hidden="false" customHeight="false" outlineLevel="0" collapsed="false">
      <c r="A2856" s="9" t="str">
        <f aca="false">Vessels!B30</f>
        <v>Vessel 26</v>
      </c>
      <c r="B2856" s="9" t="s">
        <v>88</v>
      </c>
      <c r="C2856" s="7" t="s">
        <v>93</v>
      </c>
      <c r="D2856" s="9" t="s">
        <v>45</v>
      </c>
      <c r="E2856" s="9" t="s">
        <v>92</v>
      </c>
      <c r="F2856" s="5" t="n">
        <v>120</v>
      </c>
      <c r="G2856" s="10"/>
      <c r="H2856" s="11" t="str">
        <f aca="false">IFERROR(IF($D2856="Manual Review","",IF($G2856="","",IF($D2856="Direct Expiry",$G2856,EDATE($G2856,$F2856)))),"Check Date")</f>
        <v/>
      </c>
      <c r="I2856" s="12" t="str">
        <f aca="true">IF($H2856="","",IF(ISNUMBER($H2856),$H2856-TODAY(),""))</f>
        <v/>
      </c>
      <c r="J2856" s="4" t="str">
        <f aca="true">IF($D2856="Manual Review","Manual Review",IF($G2856="","No Data",IF(NOT(ISNUMBER($H2856)),"N/A",IF($H2856&lt;TODAY(),"Overdue",IF($H2856&lt;=TODAY()+30,"Due within 1 Month",IF($H2856&lt;=TODAY()+60,"Due within 2 Months","OK"))))))</f>
        <v>No Data</v>
      </c>
      <c r="K2856" s="13"/>
    </row>
    <row r="2857" customFormat="false" ht="15" hidden="false" customHeight="false" outlineLevel="0" collapsed="false">
      <c r="A2857" s="9" t="str">
        <f aca="false">Vessels!B30</f>
        <v>Vessel 26</v>
      </c>
      <c r="B2857" s="9" t="s">
        <v>88</v>
      </c>
      <c r="C2857" s="7" t="s">
        <v>94</v>
      </c>
      <c r="D2857" s="9" t="s">
        <v>45</v>
      </c>
      <c r="E2857" s="9" t="s">
        <v>44</v>
      </c>
      <c r="F2857" s="5" t="n">
        <v>12</v>
      </c>
      <c r="G2857" s="10"/>
      <c r="H2857" s="11" t="str">
        <f aca="false">IFERROR(IF($D2857="Manual Review","",IF($G2857="","",IF($D2857="Direct Expiry",$G2857,EDATE($G2857,$F2857)))),"Check Date")</f>
        <v/>
      </c>
      <c r="I2857" s="12" t="str">
        <f aca="true">IF($H2857="","",IF(ISNUMBER($H2857),$H2857-TODAY(),""))</f>
        <v/>
      </c>
      <c r="J2857" s="4" t="str">
        <f aca="true">IF($D2857="Manual Review","Manual Review",IF($G2857="","No Data",IF(NOT(ISNUMBER($H2857)),"N/A",IF($H2857&lt;TODAY(),"Overdue",IF($H2857&lt;=TODAY()+30,"Due within 1 Month",IF($H2857&lt;=TODAY()+60,"Due within 2 Months","OK"))))))</f>
        <v>No Data</v>
      </c>
      <c r="K2857" s="13"/>
    </row>
    <row r="2858" customFormat="false" ht="15" hidden="false" customHeight="false" outlineLevel="0" collapsed="false">
      <c r="A2858" s="9" t="str">
        <f aca="false">Vessels!B30</f>
        <v>Vessel 26</v>
      </c>
      <c r="B2858" s="9" t="s">
        <v>88</v>
      </c>
      <c r="C2858" s="7" t="s">
        <v>94</v>
      </c>
      <c r="D2858" s="9" t="s">
        <v>45</v>
      </c>
      <c r="E2858" s="9" t="s">
        <v>92</v>
      </c>
      <c r="F2858" s="5" t="n">
        <v>120</v>
      </c>
      <c r="G2858" s="10"/>
      <c r="H2858" s="11" t="str">
        <f aca="false">IFERROR(IF($D2858="Manual Review","",IF($G2858="","",IF($D2858="Direct Expiry",$G2858,EDATE($G2858,$F2858)))),"Check Date")</f>
        <v/>
      </c>
      <c r="I2858" s="12" t="str">
        <f aca="true">IF($H2858="","",IF(ISNUMBER($H2858),$H2858-TODAY(),""))</f>
        <v/>
      </c>
      <c r="J2858" s="4" t="str">
        <f aca="true">IF($D2858="Manual Review","Manual Review",IF($G2858="","No Data",IF(NOT(ISNUMBER($H2858)),"N/A",IF($H2858&lt;TODAY(),"Overdue",IF($H2858&lt;=TODAY()+30,"Due within 1 Month",IF($H2858&lt;=TODAY()+60,"Due within 2 Months","OK"))))))</f>
        <v>No Data</v>
      </c>
      <c r="K2858" s="13"/>
    </row>
    <row r="2859" customFormat="false" ht="15" hidden="false" customHeight="false" outlineLevel="0" collapsed="false">
      <c r="A2859" s="9" t="str">
        <f aca="false">Vessels!B30</f>
        <v>Vessel 26</v>
      </c>
      <c r="B2859" s="9" t="s">
        <v>88</v>
      </c>
      <c r="C2859" s="7" t="s">
        <v>95</v>
      </c>
      <c r="D2859" s="9" t="s">
        <v>45</v>
      </c>
      <c r="E2859" s="9" t="s">
        <v>44</v>
      </c>
      <c r="F2859" s="5" t="n">
        <v>12</v>
      </c>
      <c r="G2859" s="10"/>
      <c r="H2859" s="11" t="str">
        <f aca="false">IFERROR(IF($D2859="Manual Review","",IF($G2859="","",IF($D2859="Direct Expiry",$G2859,EDATE($G2859,$F2859)))),"Check Date")</f>
        <v/>
      </c>
      <c r="I2859" s="12" t="str">
        <f aca="true">IF($H2859="","",IF(ISNUMBER($H2859),$H2859-TODAY(),""))</f>
        <v/>
      </c>
      <c r="J2859" s="4" t="str">
        <f aca="true">IF($D2859="Manual Review","Manual Review",IF($G2859="","No Data",IF(NOT(ISNUMBER($H2859)),"N/A",IF($H2859&lt;TODAY(),"Overdue",IF($H2859&lt;=TODAY()+30,"Due within 1 Month",IF($H2859&lt;=TODAY()+60,"Due within 2 Months","OK"))))))</f>
        <v>No Data</v>
      </c>
      <c r="K2859" s="13"/>
    </row>
    <row r="2860" customFormat="false" ht="15" hidden="false" customHeight="false" outlineLevel="0" collapsed="false">
      <c r="A2860" s="9" t="str">
        <f aca="false">Vessels!B30</f>
        <v>Vessel 26</v>
      </c>
      <c r="B2860" s="9" t="s">
        <v>88</v>
      </c>
      <c r="C2860" s="7" t="s">
        <v>95</v>
      </c>
      <c r="D2860" s="9" t="s">
        <v>45</v>
      </c>
      <c r="E2860" s="9" t="s">
        <v>92</v>
      </c>
      <c r="F2860" s="5" t="n">
        <v>120</v>
      </c>
      <c r="G2860" s="10"/>
      <c r="H2860" s="11" t="str">
        <f aca="false">IFERROR(IF($D2860="Manual Review","",IF($G2860="","",IF($D2860="Direct Expiry",$G2860,EDATE($G2860,$F2860)))),"Check Date")</f>
        <v/>
      </c>
      <c r="I2860" s="12" t="str">
        <f aca="true">IF($H2860="","",IF(ISNUMBER($H2860),$H2860-TODAY(),""))</f>
        <v/>
      </c>
      <c r="J2860" s="4" t="str">
        <f aca="true">IF($D2860="Manual Review","Manual Review",IF($G2860="","No Data",IF(NOT(ISNUMBER($H2860)),"N/A",IF($H2860&lt;TODAY(),"Overdue",IF($H2860&lt;=TODAY()+30,"Due within 1 Month",IF($H2860&lt;=TODAY()+60,"Due within 2 Months","OK"))))))</f>
        <v>No Data</v>
      </c>
      <c r="K2860" s="13"/>
    </row>
    <row r="2861" customFormat="false" ht="15" hidden="false" customHeight="false" outlineLevel="0" collapsed="false">
      <c r="A2861" s="9" t="str">
        <f aca="false">Vessels!B30</f>
        <v>Vessel 26</v>
      </c>
      <c r="B2861" s="9" t="s">
        <v>88</v>
      </c>
      <c r="C2861" s="7" t="s">
        <v>96</v>
      </c>
      <c r="D2861" s="9" t="s">
        <v>45</v>
      </c>
      <c r="E2861" s="9" t="s">
        <v>44</v>
      </c>
      <c r="F2861" s="5" t="n">
        <v>12</v>
      </c>
      <c r="G2861" s="10"/>
      <c r="H2861" s="11" t="str">
        <f aca="false">IFERROR(IF($D2861="Manual Review","",IF($G2861="","",IF($D2861="Direct Expiry",$G2861,EDATE($G2861,$F2861)))),"Check Date")</f>
        <v/>
      </c>
      <c r="I2861" s="12" t="str">
        <f aca="true">IF($H2861="","",IF(ISNUMBER($H2861),$H2861-TODAY(),""))</f>
        <v/>
      </c>
      <c r="J2861" s="4" t="str">
        <f aca="true">IF($D2861="Manual Review","Manual Review",IF($G2861="","No Data",IF(NOT(ISNUMBER($H2861)),"N/A",IF($H2861&lt;TODAY(),"Overdue",IF($H2861&lt;=TODAY()+30,"Due within 1 Month",IF($H2861&lt;=TODAY()+60,"Due within 2 Months","OK"))))))</f>
        <v>No Data</v>
      </c>
      <c r="K2861" s="13"/>
    </row>
    <row r="2862" customFormat="false" ht="15" hidden="false" customHeight="false" outlineLevel="0" collapsed="false">
      <c r="A2862" s="9" t="str">
        <f aca="false">Vessels!B30</f>
        <v>Vessel 26</v>
      </c>
      <c r="B2862" s="9" t="s">
        <v>88</v>
      </c>
      <c r="C2862" s="7" t="s">
        <v>96</v>
      </c>
      <c r="D2862" s="9" t="s">
        <v>45</v>
      </c>
      <c r="E2862" s="9" t="s">
        <v>97</v>
      </c>
      <c r="F2862" s="5" t="n">
        <v>120</v>
      </c>
      <c r="G2862" s="10"/>
      <c r="H2862" s="11" t="str">
        <f aca="false">IFERROR(IF($D2862="Manual Review","",IF($G2862="","",IF($D2862="Direct Expiry",$G2862,EDATE($G2862,$F2862)))),"Check Date")</f>
        <v/>
      </c>
      <c r="I2862" s="12" t="str">
        <f aca="true">IF($H2862="","",IF(ISNUMBER($H2862),$H2862-TODAY(),""))</f>
        <v/>
      </c>
      <c r="J2862" s="4" t="str">
        <f aca="true">IF($D2862="Manual Review","Manual Review",IF($G2862="","No Data",IF(NOT(ISNUMBER($H2862)),"N/A",IF($H2862&lt;TODAY(),"Overdue",IF($H2862&lt;=TODAY()+30,"Due within 1 Month",IF($H2862&lt;=TODAY()+60,"Due within 2 Months","OK"))))))</f>
        <v>No Data</v>
      </c>
      <c r="K2862" s="13"/>
    </row>
    <row r="2863" customFormat="false" ht="15" hidden="false" customHeight="false" outlineLevel="0" collapsed="false">
      <c r="A2863" s="9" t="str">
        <f aca="false">Vessels!B30</f>
        <v>Vessel 26</v>
      </c>
      <c r="B2863" s="9" t="s">
        <v>88</v>
      </c>
      <c r="C2863" s="7" t="s">
        <v>98</v>
      </c>
      <c r="D2863" s="9" t="s">
        <v>45</v>
      </c>
      <c r="E2863" s="9" t="s">
        <v>44</v>
      </c>
      <c r="F2863" s="5" t="n">
        <v>12</v>
      </c>
      <c r="G2863" s="10"/>
      <c r="H2863" s="11" t="str">
        <f aca="false">IFERROR(IF($D2863="Manual Review","",IF($G2863="","",IF($D2863="Direct Expiry",$G2863,EDATE($G2863,$F2863)))),"Check Date")</f>
        <v/>
      </c>
      <c r="I2863" s="12" t="str">
        <f aca="true">IF($H2863="","",IF(ISNUMBER($H2863),$H2863-TODAY(),""))</f>
        <v/>
      </c>
      <c r="J2863" s="4" t="str">
        <f aca="true">IF($D2863="Manual Review","Manual Review",IF($G2863="","No Data",IF(NOT(ISNUMBER($H2863)),"N/A",IF($H2863&lt;TODAY(),"Overdue",IF($H2863&lt;=TODAY()+30,"Due within 1 Month",IF($H2863&lt;=TODAY()+60,"Due within 2 Months","OK"))))))</f>
        <v>No Data</v>
      </c>
      <c r="K2863" s="13"/>
    </row>
    <row r="2864" customFormat="false" ht="15" hidden="false" customHeight="false" outlineLevel="0" collapsed="false">
      <c r="A2864" s="9" t="str">
        <f aca="false">Vessels!B30</f>
        <v>Vessel 26</v>
      </c>
      <c r="B2864" s="9" t="s">
        <v>88</v>
      </c>
      <c r="C2864" s="7" t="s">
        <v>98</v>
      </c>
      <c r="D2864" s="9" t="s">
        <v>45</v>
      </c>
      <c r="E2864" s="9" t="s">
        <v>99</v>
      </c>
      <c r="F2864" s="5" t="n">
        <v>60</v>
      </c>
      <c r="G2864" s="10"/>
      <c r="H2864" s="11" t="str">
        <f aca="false">IFERROR(IF($D2864="Manual Review","",IF($G2864="","",IF($D2864="Direct Expiry",$G2864,EDATE($G2864,$F2864)))),"Check Date")</f>
        <v/>
      </c>
      <c r="I2864" s="12" t="str">
        <f aca="true">IF($H2864="","",IF(ISNUMBER($H2864),$H2864-TODAY(),""))</f>
        <v/>
      </c>
      <c r="J2864" s="4" t="str">
        <f aca="true">IF($D2864="Manual Review","Manual Review",IF($G2864="","No Data",IF(NOT(ISNUMBER($H2864)),"N/A",IF($H2864&lt;TODAY(),"Overdue",IF($H2864&lt;=TODAY()+30,"Due within 1 Month",IF($H2864&lt;=TODAY()+60,"Due within 2 Months","OK"))))))</f>
        <v>No Data</v>
      </c>
      <c r="K2864" s="13"/>
    </row>
    <row r="2865" customFormat="false" ht="15" hidden="false" customHeight="false" outlineLevel="0" collapsed="false">
      <c r="A2865" s="9" t="str">
        <f aca="false">Vessels!B30</f>
        <v>Vessel 26</v>
      </c>
      <c r="B2865" s="9" t="s">
        <v>88</v>
      </c>
      <c r="C2865" s="7" t="s">
        <v>100</v>
      </c>
      <c r="D2865" s="9" t="s">
        <v>45</v>
      </c>
      <c r="E2865" s="9" t="s">
        <v>44</v>
      </c>
      <c r="F2865" s="5" t="n">
        <v>12</v>
      </c>
      <c r="G2865" s="10"/>
      <c r="H2865" s="11" t="str">
        <f aca="false">IFERROR(IF($D2865="Manual Review","",IF($G2865="","",IF($D2865="Direct Expiry",$G2865,EDATE($G2865,$F2865)))),"Check Date")</f>
        <v/>
      </c>
      <c r="I2865" s="12" t="str">
        <f aca="true">IF($H2865="","",IF(ISNUMBER($H2865),$H2865-TODAY(),""))</f>
        <v/>
      </c>
      <c r="J2865" s="4" t="str">
        <f aca="true">IF($D2865="Manual Review","Manual Review",IF($G2865="","No Data",IF(NOT(ISNUMBER($H2865)),"N/A",IF($H2865&lt;TODAY(),"Overdue",IF($H2865&lt;=TODAY()+30,"Due within 1 Month",IF($H2865&lt;=TODAY()+60,"Due within 2 Months","OK"))))))</f>
        <v>No Data</v>
      </c>
      <c r="K2865" s="13"/>
    </row>
    <row r="2866" customFormat="false" ht="15" hidden="false" customHeight="false" outlineLevel="0" collapsed="false">
      <c r="A2866" s="9" t="str">
        <f aca="false">Vessels!B30</f>
        <v>Vessel 26</v>
      </c>
      <c r="B2866" s="9" t="s">
        <v>88</v>
      </c>
      <c r="C2866" s="7" t="s">
        <v>100</v>
      </c>
      <c r="D2866" s="9" t="s">
        <v>45</v>
      </c>
      <c r="E2866" s="9" t="s">
        <v>99</v>
      </c>
      <c r="F2866" s="5" t="n">
        <v>60</v>
      </c>
      <c r="G2866" s="10"/>
      <c r="H2866" s="11" t="str">
        <f aca="false">IFERROR(IF($D2866="Manual Review","",IF($G2866="","",IF($D2866="Direct Expiry",$G2866,EDATE($G2866,$F2866)))),"Check Date")</f>
        <v/>
      </c>
      <c r="I2866" s="12" t="str">
        <f aca="true">IF($H2866="","",IF(ISNUMBER($H2866),$H2866-TODAY(),""))</f>
        <v/>
      </c>
      <c r="J2866" s="4" t="str">
        <f aca="true">IF($D2866="Manual Review","Manual Review",IF($G2866="","No Data",IF(NOT(ISNUMBER($H2866)),"N/A",IF($H2866&lt;TODAY(),"Overdue",IF($H2866&lt;=TODAY()+30,"Due within 1 Month",IF($H2866&lt;=TODAY()+60,"Due within 2 Months","OK"))))))</f>
        <v>No Data</v>
      </c>
      <c r="K2866" s="13"/>
    </row>
    <row r="2867" customFormat="false" ht="15" hidden="false" customHeight="false" outlineLevel="0" collapsed="false">
      <c r="A2867" s="9" t="str">
        <f aca="false">Vessels!B30</f>
        <v>Vessel 26</v>
      </c>
      <c r="B2867" s="9" t="s">
        <v>88</v>
      </c>
      <c r="C2867" s="7" t="s">
        <v>101</v>
      </c>
      <c r="D2867" s="9" t="s">
        <v>45</v>
      </c>
      <c r="E2867" s="9" t="s">
        <v>44</v>
      </c>
      <c r="F2867" s="5" t="n">
        <v>12</v>
      </c>
      <c r="G2867" s="10"/>
      <c r="H2867" s="11" t="str">
        <f aca="false">IFERROR(IF($D2867="Manual Review","",IF($G2867="","",IF($D2867="Direct Expiry",$G2867,EDATE($G2867,$F2867)))),"Check Date")</f>
        <v/>
      </c>
      <c r="I2867" s="12" t="str">
        <f aca="true">IF($H2867="","",IF(ISNUMBER($H2867),$H2867-TODAY(),""))</f>
        <v/>
      </c>
      <c r="J2867" s="4" t="str">
        <f aca="true">IF($D2867="Manual Review","Manual Review",IF($G2867="","No Data",IF(NOT(ISNUMBER($H2867)),"N/A",IF($H2867&lt;TODAY(),"Overdue",IF($H2867&lt;=TODAY()+30,"Due within 1 Month",IF($H2867&lt;=TODAY()+60,"Due within 2 Months","OK"))))))</f>
        <v>No Data</v>
      </c>
      <c r="K2867" s="13"/>
    </row>
    <row r="2868" customFormat="false" ht="23.85" hidden="false" customHeight="false" outlineLevel="0" collapsed="false">
      <c r="A2868" s="9" t="str">
        <f aca="false">Vessels!B30</f>
        <v>Vessel 26</v>
      </c>
      <c r="B2868" s="9" t="s">
        <v>88</v>
      </c>
      <c r="C2868" s="7" t="s">
        <v>102</v>
      </c>
      <c r="D2868" s="9" t="s">
        <v>45</v>
      </c>
      <c r="E2868" s="9" t="s">
        <v>44</v>
      </c>
      <c r="F2868" s="5" t="n">
        <v>12</v>
      </c>
      <c r="G2868" s="10"/>
      <c r="H2868" s="11" t="str">
        <f aca="false">IFERROR(IF($D2868="Manual Review","",IF($G2868="","",IF($D2868="Direct Expiry",$G2868,EDATE($G2868,$F2868)))),"Check Date")</f>
        <v/>
      </c>
      <c r="I2868" s="12" t="str">
        <f aca="true">IF($H2868="","",IF(ISNUMBER($H2868),$H2868-TODAY(),""))</f>
        <v/>
      </c>
      <c r="J2868" s="4" t="str">
        <f aca="true">IF($D2868="Manual Review","Manual Review",IF($G2868="","No Data",IF(NOT(ISNUMBER($H2868)),"N/A",IF($H2868&lt;TODAY(),"Overdue",IF($H2868&lt;=TODAY()+30,"Due within 1 Month",IF($H2868&lt;=TODAY()+60,"Due within 2 Months","OK"))))))</f>
        <v>No Data</v>
      </c>
      <c r="K2868" s="13"/>
    </row>
    <row r="2869" customFormat="false" ht="23.85" hidden="false" customHeight="false" outlineLevel="0" collapsed="false">
      <c r="A2869" s="9" t="str">
        <f aca="false">Vessels!B30</f>
        <v>Vessel 26</v>
      </c>
      <c r="B2869" s="9" t="s">
        <v>88</v>
      </c>
      <c r="C2869" s="7" t="s">
        <v>102</v>
      </c>
      <c r="D2869" s="9" t="s">
        <v>45</v>
      </c>
      <c r="E2869" s="9" t="s">
        <v>97</v>
      </c>
      <c r="F2869" s="5" t="n">
        <v>120</v>
      </c>
      <c r="G2869" s="10"/>
      <c r="H2869" s="11" t="str">
        <f aca="false">IFERROR(IF($D2869="Manual Review","",IF($G2869="","",IF($D2869="Direct Expiry",$G2869,EDATE($G2869,$F2869)))),"Check Date")</f>
        <v/>
      </c>
      <c r="I2869" s="12" t="str">
        <f aca="true">IF($H2869="","",IF(ISNUMBER($H2869),$H2869-TODAY(),""))</f>
        <v/>
      </c>
      <c r="J2869" s="4" t="str">
        <f aca="true">IF($D2869="Manual Review","Manual Review",IF($G2869="","No Data",IF(NOT(ISNUMBER($H2869)),"N/A",IF($H2869&lt;TODAY(),"Overdue",IF($H2869&lt;=TODAY()+30,"Due within 1 Month",IF($H2869&lt;=TODAY()+60,"Due within 2 Months","OK"))))))</f>
        <v>No Data</v>
      </c>
      <c r="K2869" s="13"/>
    </row>
    <row r="2870" customFormat="false" ht="15" hidden="false" customHeight="false" outlineLevel="0" collapsed="false">
      <c r="A2870" s="9" t="str">
        <f aca="false">Vessels!B30</f>
        <v>Vessel 26</v>
      </c>
      <c r="B2870" s="9" t="s">
        <v>88</v>
      </c>
      <c r="C2870" s="7" t="s">
        <v>103</v>
      </c>
      <c r="D2870" s="9" t="s">
        <v>45</v>
      </c>
      <c r="E2870" s="9" t="s">
        <v>44</v>
      </c>
      <c r="F2870" s="5" t="n">
        <v>12</v>
      </c>
      <c r="G2870" s="10"/>
      <c r="H2870" s="11" t="str">
        <f aca="false">IFERROR(IF($D2870="Manual Review","",IF($G2870="","",IF($D2870="Direct Expiry",$G2870,EDATE($G2870,$F2870)))),"Check Date")</f>
        <v/>
      </c>
      <c r="I2870" s="12" t="str">
        <f aca="true">IF($H2870="","",IF(ISNUMBER($H2870),$H2870-TODAY(),""))</f>
        <v/>
      </c>
      <c r="J2870" s="4" t="str">
        <f aca="true">IF($D2870="Manual Review","Manual Review",IF($G2870="","No Data",IF(NOT(ISNUMBER($H2870)),"N/A",IF($H2870&lt;TODAY(),"Overdue",IF($H2870&lt;=TODAY()+30,"Due within 1 Month",IF($H2870&lt;=TODAY()+60,"Due within 2 Months","OK"))))))</f>
        <v>No Data</v>
      </c>
      <c r="K2870" s="13"/>
    </row>
    <row r="2871" customFormat="false" ht="15" hidden="false" customHeight="false" outlineLevel="0" collapsed="false">
      <c r="A2871" s="9" t="str">
        <f aca="false">Vessels!B30</f>
        <v>Vessel 26</v>
      </c>
      <c r="B2871" s="9" t="s">
        <v>88</v>
      </c>
      <c r="C2871" s="7" t="s">
        <v>103</v>
      </c>
      <c r="D2871" s="9" t="s">
        <v>45</v>
      </c>
      <c r="E2871" s="9" t="s">
        <v>97</v>
      </c>
      <c r="F2871" s="5" t="n">
        <v>120</v>
      </c>
      <c r="G2871" s="10"/>
      <c r="H2871" s="11" t="str">
        <f aca="false">IFERROR(IF($D2871="Manual Review","",IF($G2871="","",IF($D2871="Direct Expiry",$G2871,EDATE($G2871,$F2871)))),"Check Date")</f>
        <v/>
      </c>
      <c r="I2871" s="12" t="str">
        <f aca="true">IF($H2871="","",IF(ISNUMBER($H2871),$H2871-TODAY(),""))</f>
        <v/>
      </c>
      <c r="J2871" s="4" t="str">
        <f aca="true">IF($D2871="Manual Review","Manual Review",IF($G2871="","No Data",IF(NOT(ISNUMBER($H2871)),"N/A",IF($H2871&lt;TODAY(),"Overdue",IF($H2871&lt;=TODAY()+30,"Due within 1 Month",IF($H2871&lt;=TODAY()+60,"Due within 2 Months","OK"))))))</f>
        <v>No Data</v>
      </c>
      <c r="K2871" s="13"/>
    </row>
    <row r="2872" customFormat="false" ht="15" hidden="false" customHeight="false" outlineLevel="0" collapsed="false">
      <c r="A2872" s="9" t="str">
        <f aca="false">Vessels!B30</f>
        <v>Vessel 26</v>
      </c>
      <c r="B2872" s="9" t="s">
        <v>88</v>
      </c>
      <c r="C2872" s="7" t="s">
        <v>104</v>
      </c>
      <c r="D2872" s="9" t="s">
        <v>45</v>
      </c>
      <c r="E2872" s="9" t="s">
        <v>44</v>
      </c>
      <c r="F2872" s="5" t="n">
        <v>12</v>
      </c>
      <c r="G2872" s="10"/>
      <c r="H2872" s="11" t="str">
        <f aca="false">IFERROR(IF($D2872="Manual Review","",IF($G2872="","",IF($D2872="Direct Expiry",$G2872,EDATE($G2872,$F2872)))),"Check Date")</f>
        <v/>
      </c>
      <c r="I2872" s="12" t="str">
        <f aca="true">IF($H2872="","",IF(ISNUMBER($H2872),$H2872-TODAY(),""))</f>
        <v/>
      </c>
      <c r="J2872" s="4" t="str">
        <f aca="true">IF($D2872="Manual Review","Manual Review",IF($G2872="","No Data",IF(NOT(ISNUMBER($H2872)),"N/A",IF($H2872&lt;TODAY(),"Overdue",IF($H2872&lt;=TODAY()+30,"Due within 1 Month",IF($H2872&lt;=TODAY()+60,"Due within 2 Months","OK"))))))</f>
        <v>No Data</v>
      </c>
      <c r="K2872" s="13"/>
    </row>
    <row r="2873" customFormat="false" ht="15" hidden="false" customHeight="false" outlineLevel="0" collapsed="false">
      <c r="A2873" s="9" t="str">
        <f aca="false">Vessels!B30</f>
        <v>Vessel 26</v>
      </c>
      <c r="B2873" s="9" t="s">
        <v>88</v>
      </c>
      <c r="C2873" s="7" t="s">
        <v>105</v>
      </c>
      <c r="D2873" s="9" t="s">
        <v>45</v>
      </c>
      <c r="E2873" s="9" t="s">
        <v>44</v>
      </c>
      <c r="F2873" s="5" t="n">
        <v>12</v>
      </c>
      <c r="G2873" s="10"/>
      <c r="H2873" s="11" t="str">
        <f aca="false">IFERROR(IF($D2873="Manual Review","",IF($G2873="","",IF($D2873="Direct Expiry",$G2873,EDATE($G2873,$F2873)))),"Check Date")</f>
        <v/>
      </c>
      <c r="I2873" s="12" t="str">
        <f aca="true">IF($H2873="","",IF(ISNUMBER($H2873),$H2873-TODAY(),""))</f>
        <v/>
      </c>
      <c r="J2873" s="4" t="str">
        <f aca="true">IF($D2873="Manual Review","Manual Review",IF($G2873="","No Data",IF(NOT(ISNUMBER($H2873)),"N/A",IF($H2873&lt;TODAY(),"Overdue",IF($H2873&lt;=TODAY()+30,"Due within 1 Month",IF($H2873&lt;=TODAY()+60,"Due within 2 Months","OK"))))))</f>
        <v>No Data</v>
      </c>
      <c r="K2873" s="13"/>
    </row>
    <row r="2874" customFormat="false" ht="15" hidden="false" customHeight="false" outlineLevel="0" collapsed="false">
      <c r="A2874" s="9" t="str">
        <f aca="false">Vessels!B30</f>
        <v>Vessel 26</v>
      </c>
      <c r="B2874" s="9" t="s">
        <v>88</v>
      </c>
      <c r="C2874" s="7" t="s">
        <v>106</v>
      </c>
      <c r="D2874" s="9" t="s">
        <v>45</v>
      </c>
      <c r="E2874" s="9" t="s">
        <v>44</v>
      </c>
      <c r="F2874" s="5" t="n">
        <v>12</v>
      </c>
      <c r="G2874" s="10"/>
      <c r="H2874" s="11" t="str">
        <f aca="false">IFERROR(IF($D2874="Manual Review","",IF($G2874="","",IF($D2874="Direct Expiry",$G2874,EDATE($G2874,$F2874)))),"Check Date")</f>
        <v/>
      </c>
      <c r="I2874" s="12" t="str">
        <f aca="true">IF($H2874="","",IF(ISNUMBER($H2874),$H2874-TODAY(),""))</f>
        <v/>
      </c>
      <c r="J2874" s="4" t="str">
        <f aca="true">IF($D2874="Manual Review","Manual Review",IF($G2874="","No Data",IF(NOT(ISNUMBER($H2874)),"N/A",IF($H2874&lt;TODAY(),"Overdue",IF($H2874&lt;=TODAY()+30,"Due within 1 Month",IF($H2874&lt;=TODAY()+60,"Due within 2 Months","OK"))))))</f>
        <v>No Data</v>
      </c>
      <c r="K2874" s="13"/>
    </row>
    <row r="2875" customFormat="false" ht="15" hidden="false" customHeight="false" outlineLevel="0" collapsed="false">
      <c r="A2875" s="9" t="str">
        <f aca="false">Vessels!B30</f>
        <v>Vessel 26</v>
      </c>
      <c r="B2875" s="9" t="s">
        <v>88</v>
      </c>
      <c r="C2875" s="7" t="s">
        <v>107</v>
      </c>
      <c r="D2875" s="9" t="s">
        <v>45</v>
      </c>
      <c r="E2875" s="9" t="s">
        <v>44</v>
      </c>
      <c r="F2875" s="5" t="n">
        <v>12</v>
      </c>
      <c r="G2875" s="10"/>
      <c r="H2875" s="11" t="str">
        <f aca="false">IFERROR(IF($D2875="Manual Review","",IF($G2875="","",IF($D2875="Direct Expiry",$G2875,EDATE($G2875,$F2875)))),"Check Date")</f>
        <v/>
      </c>
      <c r="I2875" s="12" t="str">
        <f aca="true">IF($H2875="","",IF(ISNUMBER($H2875),$H2875-TODAY(),""))</f>
        <v/>
      </c>
      <c r="J2875" s="4" t="str">
        <f aca="true">IF($D2875="Manual Review","Manual Review",IF($G2875="","No Data",IF(NOT(ISNUMBER($H2875)),"N/A",IF($H2875&lt;TODAY(),"Overdue",IF($H2875&lt;=TODAY()+30,"Due within 1 Month",IF($H2875&lt;=TODAY()+60,"Due within 2 Months","OK"))))))</f>
        <v>No Data</v>
      </c>
      <c r="K2875" s="13"/>
    </row>
    <row r="2876" customFormat="false" ht="15" hidden="false" customHeight="false" outlineLevel="0" collapsed="false">
      <c r="A2876" s="9" t="str">
        <f aca="false">Vessels!B30</f>
        <v>Vessel 26</v>
      </c>
      <c r="B2876" s="9" t="s">
        <v>88</v>
      </c>
      <c r="C2876" s="7" t="s">
        <v>108</v>
      </c>
      <c r="D2876" s="9" t="s">
        <v>45</v>
      </c>
      <c r="E2876" s="9" t="s">
        <v>109</v>
      </c>
      <c r="F2876" s="5" t="n">
        <v>12</v>
      </c>
      <c r="G2876" s="10"/>
      <c r="H2876" s="11" t="str">
        <f aca="false">IFERROR(IF($D2876="Manual Review","",IF($G2876="","",IF($D2876="Direct Expiry",$G2876,EDATE($G2876,$F2876)))),"Check Date")</f>
        <v/>
      </c>
      <c r="I2876" s="12" t="str">
        <f aca="true">IF($H2876="","",IF(ISNUMBER($H2876),$H2876-TODAY(),""))</f>
        <v/>
      </c>
      <c r="J2876" s="4" t="str">
        <f aca="true">IF($D2876="Manual Review","Manual Review",IF($G2876="","No Data",IF(NOT(ISNUMBER($H2876)),"N/A",IF($H2876&lt;TODAY(),"Overdue",IF($H2876&lt;=TODAY()+30,"Due within 1 Month",IF($H2876&lt;=TODAY()+60,"Due within 2 Months","OK"))))))</f>
        <v>No Data</v>
      </c>
      <c r="K2876" s="13"/>
    </row>
    <row r="2877" customFormat="false" ht="15" hidden="false" customHeight="false" outlineLevel="0" collapsed="false">
      <c r="A2877" s="9" t="str">
        <f aca="false">Vessels!B30</f>
        <v>Vessel 26</v>
      </c>
      <c r="B2877" s="9" t="s">
        <v>88</v>
      </c>
      <c r="C2877" s="7" t="s">
        <v>108</v>
      </c>
      <c r="D2877" s="9" t="s">
        <v>45</v>
      </c>
      <c r="E2877" s="9" t="s">
        <v>110</v>
      </c>
      <c r="F2877" s="5" t="n">
        <v>60</v>
      </c>
      <c r="G2877" s="10"/>
      <c r="H2877" s="11" t="str">
        <f aca="false">IFERROR(IF($D2877="Manual Review","",IF($G2877="","",IF($D2877="Direct Expiry",$G2877,EDATE($G2877,$F2877)))),"Check Date")</f>
        <v/>
      </c>
      <c r="I2877" s="12" t="str">
        <f aca="true">IF($H2877="","",IF(ISNUMBER($H2877),$H2877-TODAY(),""))</f>
        <v/>
      </c>
      <c r="J2877" s="4" t="str">
        <f aca="true">IF($D2877="Manual Review","Manual Review",IF($G2877="","No Data",IF(NOT(ISNUMBER($H2877)),"N/A",IF($H2877&lt;TODAY(),"Overdue",IF($H2877&lt;=TODAY()+30,"Due within 1 Month",IF($H2877&lt;=TODAY()+60,"Due within 2 Months","OK"))))))</f>
        <v>No Data</v>
      </c>
      <c r="K2877" s="13"/>
    </row>
    <row r="2878" customFormat="false" ht="15" hidden="false" customHeight="false" outlineLevel="0" collapsed="false">
      <c r="A2878" s="9" t="str">
        <f aca="false">Vessels!B30</f>
        <v>Vessel 26</v>
      </c>
      <c r="B2878" s="9" t="s">
        <v>88</v>
      </c>
      <c r="C2878" s="7" t="s">
        <v>111</v>
      </c>
      <c r="D2878" s="9" t="s">
        <v>45</v>
      </c>
      <c r="E2878" s="9" t="s">
        <v>44</v>
      </c>
      <c r="F2878" s="5" t="n">
        <v>12</v>
      </c>
      <c r="G2878" s="10"/>
      <c r="H2878" s="11" t="str">
        <f aca="false">IFERROR(IF($D2878="Manual Review","",IF($G2878="","",IF($D2878="Direct Expiry",$G2878,EDATE($G2878,$F2878)))),"Check Date")</f>
        <v/>
      </c>
      <c r="I2878" s="12" t="str">
        <f aca="true">IF($H2878="","",IF(ISNUMBER($H2878),$H2878-TODAY(),""))</f>
        <v/>
      </c>
      <c r="J2878" s="4" t="str">
        <f aca="true">IF($D2878="Manual Review","Manual Review",IF($G2878="","No Data",IF(NOT(ISNUMBER($H2878)),"N/A",IF($H2878&lt;TODAY(),"Overdue",IF($H2878&lt;=TODAY()+30,"Due within 1 Month",IF($H2878&lt;=TODAY()+60,"Due within 2 Months","OK"))))))</f>
        <v>No Data</v>
      </c>
      <c r="K2878" s="13"/>
    </row>
    <row r="2879" customFormat="false" ht="15" hidden="false" customHeight="false" outlineLevel="0" collapsed="false">
      <c r="A2879" s="9" t="str">
        <f aca="false">Vessels!B30</f>
        <v>Vessel 26</v>
      </c>
      <c r="B2879" s="9" t="s">
        <v>88</v>
      </c>
      <c r="C2879" s="7" t="s">
        <v>112</v>
      </c>
      <c r="D2879" s="9" t="s">
        <v>45</v>
      </c>
      <c r="E2879" s="9" t="s">
        <v>44</v>
      </c>
      <c r="F2879" s="5" t="n">
        <v>12</v>
      </c>
      <c r="G2879" s="10"/>
      <c r="H2879" s="11" t="str">
        <f aca="false">IFERROR(IF($D2879="Manual Review","",IF($G2879="","",IF($D2879="Direct Expiry",$G2879,EDATE($G2879,$F2879)))),"Check Date")</f>
        <v/>
      </c>
      <c r="I2879" s="12" t="str">
        <f aca="true">IF($H2879="","",IF(ISNUMBER($H2879),$H2879-TODAY(),""))</f>
        <v/>
      </c>
      <c r="J2879" s="4" t="str">
        <f aca="true">IF($D2879="Manual Review","Manual Review",IF($G2879="","No Data",IF(NOT(ISNUMBER($H2879)),"N/A",IF($H2879&lt;TODAY(),"Overdue",IF($H2879&lt;=TODAY()+30,"Due within 1 Month",IF($H2879&lt;=TODAY()+60,"Due within 2 Months","OK"))))))</f>
        <v>No Data</v>
      </c>
      <c r="K2879" s="13"/>
    </row>
    <row r="2880" customFormat="false" ht="15" hidden="false" customHeight="false" outlineLevel="0" collapsed="false">
      <c r="A2880" s="9" t="str">
        <f aca="false">Vessels!B30</f>
        <v>Vessel 26</v>
      </c>
      <c r="B2880" s="9" t="s">
        <v>88</v>
      </c>
      <c r="C2880" s="7" t="s">
        <v>113</v>
      </c>
      <c r="D2880" s="9" t="s">
        <v>115</v>
      </c>
      <c r="E2880" s="9" t="s">
        <v>114</v>
      </c>
      <c r="F2880" s="5"/>
      <c r="G2880" s="10"/>
      <c r="H2880" s="11" t="str">
        <f aca="false">IFERROR(IF($D2880="Manual Review","",IF($G2880="","",IF($D2880="Direct Expiry",$G2880,EDATE($G2880,$F2880)))),"Check Date")</f>
        <v/>
      </c>
      <c r="I2880" s="12" t="str">
        <f aca="true">IF($H2880="","",IF(ISNUMBER($H2880),$H2880-TODAY(),""))</f>
        <v/>
      </c>
      <c r="J2880" s="4" t="str">
        <f aca="true">IF($D2880="Manual Review","Manual Review",IF($G2880="","No Data",IF(NOT(ISNUMBER($H2880)),"N/A",IF($H2880&lt;TODAY(),"Overdue",IF($H2880&lt;=TODAY()+30,"Due within 1 Month",IF($H2880&lt;=TODAY()+60,"Due within 2 Months","OK"))))))</f>
        <v>Manual Review</v>
      </c>
      <c r="K2880" s="13"/>
    </row>
    <row r="2881" customFormat="false" ht="15" hidden="false" customHeight="false" outlineLevel="0" collapsed="false">
      <c r="A2881" s="9" t="str">
        <f aca="false">Vessels!B30</f>
        <v>Vessel 26</v>
      </c>
      <c r="B2881" s="9" t="s">
        <v>88</v>
      </c>
      <c r="C2881" s="7" t="s">
        <v>116</v>
      </c>
      <c r="D2881" s="9" t="s">
        <v>115</v>
      </c>
      <c r="E2881" s="9" t="s">
        <v>114</v>
      </c>
      <c r="F2881" s="5"/>
      <c r="G2881" s="10"/>
      <c r="H2881" s="11" t="str">
        <f aca="false">IFERROR(IF($D2881="Manual Review","",IF($G2881="","",IF($D2881="Direct Expiry",$G2881,EDATE($G2881,$F2881)))),"Check Date")</f>
        <v/>
      </c>
      <c r="I2881" s="12" t="str">
        <f aca="true">IF($H2881="","",IF(ISNUMBER($H2881),$H2881-TODAY(),""))</f>
        <v/>
      </c>
      <c r="J2881" s="4" t="str">
        <f aca="true">IF($D2881="Manual Review","Manual Review",IF($G2881="","No Data",IF(NOT(ISNUMBER($H2881)),"N/A",IF($H2881&lt;TODAY(),"Overdue",IF($H2881&lt;=TODAY()+30,"Due within 1 Month",IF($H2881&lt;=TODAY()+60,"Due within 2 Months","OK"))))))</f>
        <v>Manual Review</v>
      </c>
      <c r="K2881" s="13"/>
    </row>
    <row r="2882" customFormat="false" ht="15" hidden="false" customHeight="false" outlineLevel="0" collapsed="false">
      <c r="A2882" s="9" t="str">
        <f aca="false">Vessels!B30</f>
        <v>Vessel 26</v>
      </c>
      <c r="B2882" s="9" t="s">
        <v>117</v>
      </c>
      <c r="C2882" s="7" t="s">
        <v>118</v>
      </c>
      <c r="D2882" s="9" t="s">
        <v>59</v>
      </c>
      <c r="E2882" s="9" t="s">
        <v>119</v>
      </c>
      <c r="F2882" s="5"/>
      <c r="G2882" s="10"/>
      <c r="H2882" s="11" t="str">
        <f aca="false">IFERROR(IF($D2882="Manual Review","",IF($G2882="","",IF($D2882="Direct Expiry",$G2882,EDATE($G2882,$F2882)))),"Check Date")</f>
        <v/>
      </c>
      <c r="I2882" s="12" t="str">
        <f aca="true">IF($H2882="","",IF(ISNUMBER($H2882),$H2882-TODAY(),""))</f>
        <v/>
      </c>
      <c r="J2882" s="4" t="str">
        <f aca="true">IF($D2882="Manual Review","Manual Review",IF($G2882="","No Data",IF(NOT(ISNUMBER($H2882)),"N/A",IF($H2882&lt;TODAY(),"Overdue",IF($H2882&lt;=TODAY()+30,"Due within 1 Month",IF($H2882&lt;=TODAY()+60,"Due within 2 Months","OK"))))))</f>
        <v>No Data</v>
      </c>
      <c r="K2882" s="13"/>
    </row>
    <row r="2883" customFormat="false" ht="15" hidden="false" customHeight="false" outlineLevel="0" collapsed="false">
      <c r="A2883" s="9" t="str">
        <f aca="false">Vessels!B30</f>
        <v>Vessel 26</v>
      </c>
      <c r="B2883" s="9" t="s">
        <v>117</v>
      </c>
      <c r="C2883" s="7" t="s">
        <v>120</v>
      </c>
      <c r="D2883" s="9" t="s">
        <v>45</v>
      </c>
      <c r="E2883" s="9" t="s">
        <v>44</v>
      </c>
      <c r="F2883" s="5" t="n">
        <v>12</v>
      </c>
      <c r="G2883" s="10"/>
      <c r="H2883" s="11" t="str">
        <f aca="false">IFERROR(IF($D2883="Manual Review","",IF($G2883="","",IF($D2883="Direct Expiry",$G2883,EDATE($G2883,$F2883)))),"Check Date")</f>
        <v/>
      </c>
      <c r="I2883" s="12" t="str">
        <f aca="true">IF($H2883="","",IF(ISNUMBER($H2883),$H2883-TODAY(),""))</f>
        <v/>
      </c>
      <c r="J2883" s="4" t="str">
        <f aca="true">IF($D2883="Manual Review","Manual Review",IF($G2883="","No Data",IF(NOT(ISNUMBER($H2883)),"N/A",IF($H2883&lt;TODAY(),"Overdue",IF($H2883&lt;=TODAY()+30,"Due within 1 Month",IF($H2883&lt;=TODAY()+60,"Due within 2 Months","OK"))))))</f>
        <v>No Data</v>
      </c>
      <c r="K2883" s="13"/>
    </row>
    <row r="2884" customFormat="false" ht="15" hidden="false" customHeight="false" outlineLevel="0" collapsed="false">
      <c r="A2884" s="9" t="str">
        <f aca="false">Vessels!B30</f>
        <v>Vessel 26</v>
      </c>
      <c r="B2884" s="9" t="s">
        <v>117</v>
      </c>
      <c r="C2884" s="7" t="s">
        <v>121</v>
      </c>
      <c r="D2884" s="9" t="s">
        <v>45</v>
      </c>
      <c r="E2884" s="9" t="s">
        <v>44</v>
      </c>
      <c r="F2884" s="5" t="n">
        <v>12</v>
      </c>
      <c r="G2884" s="10"/>
      <c r="H2884" s="11" t="str">
        <f aca="false">IFERROR(IF($D2884="Manual Review","",IF($G2884="","",IF($D2884="Direct Expiry",$G2884,EDATE($G2884,$F2884)))),"Check Date")</f>
        <v/>
      </c>
      <c r="I2884" s="12" t="str">
        <f aca="true">IF($H2884="","",IF(ISNUMBER($H2884),$H2884-TODAY(),""))</f>
        <v/>
      </c>
      <c r="J2884" s="4" t="str">
        <f aca="true">IF($D2884="Manual Review","Manual Review",IF($G2884="","No Data",IF(NOT(ISNUMBER($H2884)),"N/A",IF($H2884&lt;TODAY(),"Overdue",IF($H2884&lt;=TODAY()+30,"Due within 1 Month",IF($H2884&lt;=TODAY()+60,"Due within 2 Months","OK"))))))</f>
        <v>No Data</v>
      </c>
      <c r="K2884" s="13"/>
    </row>
    <row r="2885" customFormat="false" ht="15" hidden="false" customHeight="false" outlineLevel="0" collapsed="false">
      <c r="A2885" s="9" t="str">
        <f aca="false">Vessels!B30</f>
        <v>Vessel 26</v>
      </c>
      <c r="B2885" s="9" t="s">
        <v>117</v>
      </c>
      <c r="C2885" s="7" t="s">
        <v>122</v>
      </c>
      <c r="D2885" s="9" t="s">
        <v>45</v>
      </c>
      <c r="E2885" s="9" t="s">
        <v>123</v>
      </c>
      <c r="F2885" s="5" t="n">
        <v>24</v>
      </c>
      <c r="G2885" s="10"/>
      <c r="H2885" s="11" t="str">
        <f aca="false">IFERROR(IF($D2885="Manual Review","",IF($G2885="","",IF($D2885="Direct Expiry",$G2885,EDATE($G2885,$F2885)))),"Check Date")</f>
        <v/>
      </c>
      <c r="I2885" s="12" t="str">
        <f aca="true">IF($H2885="","",IF(ISNUMBER($H2885),$H2885-TODAY(),""))</f>
        <v/>
      </c>
      <c r="J2885" s="4" t="str">
        <f aca="true">IF($D2885="Manual Review","Manual Review",IF($G2885="","No Data",IF(NOT(ISNUMBER($H2885)),"N/A",IF($H2885&lt;TODAY(),"Overdue",IF($H2885&lt;=TODAY()+30,"Due within 1 Month",IF($H2885&lt;=TODAY()+60,"Due within 2 Months","OK"))))))</f>
        <v>No Data</v>
      </c>
      <c r="K2885" s="13"/>
    </row>
    <row r="2886" customFormat="false" ht="15" hidden="false" customHeight="false" outlineLevel="0" collapsed="false">
      <c r="A2886" s="9" t="str">
        <f aca="false">Vessels!B30</f>
        <v>Vessel 26</v>
      </c>
      <c r="B2886" s="9" t="s">
        <v>117</v>
      </c>
      <c r="C2886" s="7" t="s">
        <v>124</v>
      </c>
      <c r="D2886" s="9" t="s">
        <v>59</v>
      </c>
      <c r="E2886" s="9" t="s">
        <v>58</v>
      </c>
      <c r="F2886" s="5"/>
      <c r="G2886" s="10"/>
      <c r="H2886" s="11" t="str">
        <f aca="false">IFERROR(IF($D2886="Manual Review","",IF($G2886="","",IF($D2886="Direct Expiry",$G2886,EDATE($G2886,$F2886)))),"Check Date")</f>
        <v/>
      </c>
      <c r="I2886" s="12" t="str">
        <f aca="true">IF($H2886="","",IF(ISNUMBER($H2886),$H2886-TODAY(),""))</f>
        <v/>
      </c>
      <c r="J2886" s="4" t="str">
        <f aca="true">IF($D2886="Manual Review","Manual Review",IF($G2886="","No Data",IF(NOT(ISNUMBER($H2886)),"N/A",IF($H2886&lt;TODAY(),"Overdue",IF($H2886&lt;=TODAY()+30,"Due within 1 Month",IF($H2886&lt;=TODAY()+60,"Due within 2 Months","OK"))))))</f>
        <v>No Data</v>
      </c>
      <c r="K2886" s="13"/>
    </row>
    <row r="2887" customFormat="false" ht="15" hidden="false" customHeight="false" outlineLevel="0" collapsed="false">
      <c r="A2887" s="9" t="str">
        <f aca="false">Vessels!B30</f>
        <v>Vessel 26</v>
      </c>
      <c r="B2887" s="9" t="s">
        <v>117</v>
      </c>
      <c r="C2887" s="7" t="s">
        <v>125</v>
      </c>
      <c r="D2887" s="9" t="s">
        <v>59</v>
      </c>
      <c r="E2887" s="9" t="s">
        <v>58</v>
      </c>
      <c r="F2887" s="5"/>
      <c r="G2887" s="10"/>
      <c r="H2887" s="11" t="str">
        <f aca="false">IFERROR(IF($D2887="Manual Review","",IF($G2887="","",IF($D2887="Direct Expiry",$G2887,EDATE($G2887,$F2887)))),"Check Date")</f>
        <v/>
      </c>
      <c r="I2887" s="12" t="str">
        <f aca="true">IF($H2887="","",IF(ISNUMBER($H2887),$H2887-TODAY(),""))</f>
        <v/>
      </c>
      <c r="J2887" s="4" t="str">
        <f aca="true">IF($D2887="Manual Review","Manual Review",IF($G2887="","No Data",IF(NOT(ISNUMBER($H2887)),"N/A",IF($H2887&lt;TODAY(),"Overdue",IF($H2887&lt;=TODAY()+30,"Due within 1 Month",IF($H2887&lt;=TODAY()+60,"Due within 2 Months","OK"))))))</f>
        <v>No Data</v>
      </c>
      <c r="K2887" s="13"/>
    </row>
    <row r="2888" customFormat="false" ht="15" hidden="false" customHeight="false" outlineLevel="0" collapsed="false">
      <c r="A2888" s="9" t="str">
        <f aca="false">Vessels!B30</f>
        <v>Vessel 26</v>
      </c>
      <c r="B2888" s="9" t="s">
        <v>117</v>
      </c>
      <c r="C2888" s="7" t="s">
        <v>126</v>
      </c>
      <c r="D2888" s="9" t="s">
        <v>45</v>
      </c>
      <c r="E2888" s="9" t="s">
        <v>44</v>
      </c>
      <c r="F2888" s="5" t="n">
        <v>12</v>
      </c>
      <c r="G2888" s="10"/>
      <c r="H2888" s="11" t="str">
        <f aca="false">IFERROR(IF($D2888="Manual Review","",IF($G2888="","",IF($D2888="Direct Expiry",$G2888,EDATE($G2888,$F2888)))),"Check Date")</f>
        <v/>
      </c>
      <c r="I2888" s="12" t="str">
        <f aca="true">IF($H2888="","",IF(ISNUMBER($H2888),$H2888-TODAY(),""))</f>
        <v/>
      </c>
      <c r="J2888" s="4" t="str">
        <f aca="true">IF($D2888="Manual Review","Manual Review",IF($G2888="","No Data",IF(NOT(ISNUMBER($H2888)),"N/A",IF($H2888&lt;TODAY(),"Overdue",IF($H2888&lt;=TODAY()+30,"Due within 1 Month",IF($H2888&lt;=TODAY()+60,"Due within 2 Months","OK"))))))</f>
        <v>No Data</v>
      </c>
      <c r="K2888" s="13"/>
    </row>
    <row r="2889" customFormat="false" ht="15" hidden="false" customHeight="false" outlineLevel="0" collapsed="false">
      <c r="A2889" s="9" t="str">
        <f aca="false">Vessels!B30</f>
        <v>Vessel 26</v>
      </c>
      <c r="B2889" s="9" t="s">
        <v>117</v>
      </c>
      <c r="C2889" s="7" t="s">
        <v>127</v>
      </c>
      <c r="D2889" s="9" t="s">
        <v>59</v>
      </c>
      <c r="E2889" s="9" t="s">
        <v>58</v>
      </c>
      <c r="F2889" s="5"/>
      <c r="G2889" s="10"/>
      <c r="H2889" s="11" t="str">
        <f aca="false">IFERROR(IF($D2889="Manual Review","",IF($G2889="","",IF($D2889="Direct Expiry",$G2889,EDATE($G2889,$F2889)))),"Check Date")</f>
        <v/>
      </c>
      <c r="I2889" s="12" t="str">
        <f aca="true">IF($H2889="","",IF(ISNUMBER($H2889),$H2889-TODAY(),""))</f>
        <v/>
      </c>
      <c r="J2889" s="4" t="str">
        <f aca="true">IF($D2889="Manual Review","Manual Review",IF($G2889="","No Data",IF(NOT(ISNUMBER($H2889)),"N/A",IF($H2889&lt;TODAY(),"Overdue",IF($H2889&lt;=TODAY()+30,"Due within 1 Month",IF($H2889&lt;=TODAY()+60,"Due within 2 Months","OK"))))))</f>
        <v>No Data</v>
      </c>
      <c r="K2889" s="13"/>
    </row>
    <row r="2890" customFormat="false" ht="15" hidden="false" customHeight="false" outlineLevel="0" collapsed="false">
      <c r="A2890" s="9" t="str">
        <f aca="false">Vessels!B30</f>
        <v>Vessel 26</v>
      </c>
      <c r="B2890" s="9" t="s">
        <v>117</v>
      </c>
      <c r="C2890" s="7" t="s">
        <v>128</v>
      </c>
      <c r="D2890" s="9" t="s">
        <v>59</v>
      </c>
      <c r="E2890" s="9" t="s">
        <v>58</v>
      </c>
      <c r="F2890" s="5"/>
      <c r="G2890" s="10"/>
      <c r="H2890" s="11" t="str">
        <f aca="false">IFERROR(IF($D2890="Manual Review","",IF($G2890="","",IF($D2890="Direct Expiry",$G2890,EDATE($G2890,$F2890)))),"Check Date")</f>
        <v/>
      </c>
      <c r="I2890" s="12" t="str">
        <f aca="true">IF($H2890="","",IF(ISNUMBER($H2890),$H2890-TODAY(),""))</f>
        <v/>
      </c>
      <c r="J2890" s="4" t="str">
        <f aca="true">IF($D2890="Manual Review","Manual Review",IF($G2890="","No Data",IF(NOT(ISNUMBER($H2890)),"N/A",IF($H2890&lt;TODAY(),"Overdue",IF($H2890&lt;=TODAY()+30,"Due within 1 Month",IF($H2890&lt;=TODAY()+60,"Due within 2 Months","OK"))))))</f>
        <v>No Data</v>
      </c>
      <c r="K2890" s="13"/>
    </row>
    <row r="2891" customFormat="false" ht="15" hidden="false" customHeight="false" outlineLevel="0" collapsed="false">
      <c r="A2891" s="9" t="str">
        <f aca="false">Vessels!B30</f>
        <v>Vessel 26</v>
      </c>
      <c r="B2891" s="9" t="s">
        <v>117</v>
      </c>
      <c r="C2891" s="7" t="s">
        <v>129</v>
      </c>
      <c r="D2891" s="9" t="s">
        <v>59</v>
      </c>
      <c r="E2891" s="9" t="s">
        <v>58</v>
      </c>
      <c r="F2891" s="5"/>
      <c r="G2891" s="10"/>
      <c r="H2891" s="11" t="str">
        <f aca="false">IFERROR(IF($D2891="Manual Review","",IF($G2891="","",IF($D2891="Direct Expiry",$G2891,EDATE($G2891,$F2891)))),"Check Date")</f>
        <v/>
      </c>
      <c r="I2891" s="12" t="str">
        <f aca="true">IF($H2891="","",IF(ISNUMBER($H2891),$H2891-TODAY(),""))</f>
        <v/>
      </c>
      <c r="J2891" s="4" t="str">
        <f aca="true">IF($D2891="Manual Review","Manual Review",IF($G2891="","No Data",IF(NOT(ISNUMBER($H2891)),"N/A",IF($H2891&lt;TODAY(),"Overdue",IF($H2891&lt;=TODAY()+30,"Due within 1 Month",IF($H2891&lt;=TODAY()+60,"Due within 2 Months","OK"))))))</f>
        <v>No Data</v>
      </c>
      <c r="K2891" s="13"/>
    </row>
    <row r="2892" customFormat="false" ht="15" hidden="false" customHeight="false" outlineLevel="0" collapsed="false">
      <c r="A2892" s="9" t="str">
        <f aca="false">Vessels!B30</f>
        <v>Vessel 26</v>
      </c>
      <c r="B2892" s="9" t="s">
        <v>117</v>
      </c>
      <c r="C2892" s="7" t="s">
        <v>130</v>
      </c>
      <c r="D2892" s="9" t="s">
        <v>45</v>
      </c>
      <c r="E2892" s="9" t="s">
        <v>44</v>
      </c>
      <c r="F2892" s="5" t="n">
        <v>12</v>
      </c>
      <c r="G2892" s="10"/>
      <c r="H2892" s="11" t="str">
        <f aca="false">IFERROR(IF($D2892="Manual Review","",IF($G2892="","",IF($D2892="Direct Expiry",$G2892,EDATE($G2892,$F2892)))),"Check Date")</f>
        <v/>
      </c>
      <c r="I2892" s="12" t="str">
        <f aca="true">IF($H2892="","",IF(ISNUMBER($H2892),$H2892-TODAY(),""))</f>
        <v/>
      </c>
      <c r="J2892" s="4" t="str">
        <f aca="true">IF($D2892="Manual Review","Manual Review",IF($G2892="","No Data",IF(NOT(ISNUMBER($H2892)),"N/A",IF($H2892&lt;TODAY(),"Overdue",IF($H2892&lt;=TODAY()+30,"Due within 1 Month",IF($H2892&lt;=TODAY()+60,"Due within 2 Months","OK"))))))</f>
        <v>No Data</v>
      </c>
      <c r="K2892" s="13"/>
    </row>
    <row r="2893" customFormat="false" ht="15" hidden="false" customHeight="false" outlineLevel="0" collapsed="false">
      <c r="A2893" s="9" t="str">
        <f aca="false">Vessels!B30</f>
        <v>Vessel 26</v>
      </c>
      <c r="B2893" s="9" t="s">
        <v>117</v>
      </c>
      <c r="C2893" s="7" t="s">
        <v>131</v>
      </c>
      <c r="D2893" s="9" t="s">
        <v>45</v>
      </c>
      <c r="E2893" s="9" t="s">
        <v>44</v>
      </c>
      <c r="F2893" s="5" t="n">
        <v>12</v>
      </c>
      <c r="G2893" s="10"/>
      <c r="H2893" s="11" t="str">
        <f aca="false">IFERROR(IF($D2893="Manual Review","",IF($G2893="","",IF($D2893="Direct Expiry",$G2893,EDATE($G2893,$F2893)))),"Check Date")</f>
        <v/>
      </c>
      <c r="I2893" s="12" t="str">
        <f aca="true">IF($H2893="","",IF(ISNUMBER($H2893),$H2893-TODAY(),""))</f>
        <v/>
      </c>
      <c r="J2893" s="4" t="str">
        <f aca="true">IF($D2893="Manual Review","Manual Review",IF($G2893="","No Data",IF(NOT(ISNUMBER($H2893)),"N/A",IF($H2893&lt;TODAY(),"Overdue",IF($H2893&lt;=TODAY()+30,"Due within 1 Month",IF($H2893&lt;=TODAY()+60,"Due within 2 Months","OK"))))))</f>
        <v>No Data</v>
      </c>
      <c r="K2893" s="13"/>
    </row>
    <row r="2894" customFormat="false" ht="15" hidden="false" customHeight="false" outlineLevel="0" collapsed="false">
      <c r="A2894" s="9" t="str">
        <f aca="false">Vessels!B30</f>
        <v>Vessel 26</v>
      </c>
      <c r="B2894" s="9" t="s">
        <v>117</v>
      </c>
      <c r="C2894" s="7" t="s">
        <v>132</v>
      </c>
      <c r="D2894" s="9" t="s">
        <v>45</v>
      </c>
      <c r="E2894" s="9" t="s">
        <v>44</v>
      </c>
      <c r="F2894" s="5" t="n">
        <v>12</v>
      </c>
      <c r="G2894" s="10"/>
      <c r="H2894" s="11" t="str">
        <f aca="false">IFERROR(IF($D2894="Manual Review","",IF($G2894="","",IF($D2894="Direct Expiry",$G2894,EDATE($G2894,$F2894)))),"Check Date")</f>
        <v/>
      </c>
      <c r="I2894" s="12" t="str">
        <f aca="true">IF($H2894="","",IF(ISNUMBER($H2894),$H2894-TODAY(),""))</f>
        <v/>
      </c>
      <c r="J2894" s="4" t="str">
        <f aca="true">IF($D2894="Manual Review","Manual Review",IF($G2894="","No Data",IF(NOT(ISNUMBER($H2894)),"N/A",IF($H2894&lt;TODAY(),"Overdue",IF($H2894&lt;=TODAY()+30,"Due within 1 Month",IF($H2894&lt;=TODAY()+60,"Due within 2 Months","OK"))))))</f>
        <v>No Data</v>
      </c>
      <c r="K2894" s="13"/>
    </row>
    <row r="2895" customFormat="false" ht="15" hidden="false" customHeight="false" outlineLevel="0" collapsed="false">
      <c r="A2895" s="9" t="str">
        <f aca="false">Vessels!B30</f>
        <v>Vessel 26</v>
      </c>
      <c r="B2895" s="9" t="s">
        <v>117</v>
      </c>
      <c r="C2895" s="7" t="s">
        <v>133</v>
      </c>
      <c r="D2895" s="9" t="s">
        <v>45</v>
      </c>
      <c r="E2895" s="9" t="s">
        <v>44</v>
      </c>
      <c r="F2895" s="5" t="n">
        <v>12</v>
      </c>
      <c r="G2895" s="10"/>
      <c r="H2895" s="11" t="str">
        <f aca="false">IFERROR(IF($D2895="Manual Review","",IF($G2895="","",IF($D2895="Direct Expiry",$G2895,EDATE($G2895,$F2895)))),"Check Date")</f>
        <v/>
      </c>
      <c r="I2895" s="12" t="str">
        <f aca="true">IF($H2895="","",IF(ISNUMBER($H2895),$H2895-TODAY(),""))</f>
        <v/>
      </c>
      <c r="J2895" s="4" t="str">
        <f aca="true">IF($D2895="Manual Review","Manual Review",IF($G2895="","No Data",IF(NOT(ISNUMBER($H2895)),"N/A",IF($H2895&lt;TODAY(),"Overdue",IF($H2895&lt;=TODAY()+30,"Due within 1 Month",IF($H2895&lt;=TODAY()+60,"Due within 2 Months","OK"))))))</f>
        <v>No Data</v>
      </c>
      <c r="K2895" s="13"/>
    </row>
    <row r="2896" customFormat="false" ht="15" hidden="false" customHeight="false" outlineLevel="0" collapsed="false">
      <c r="A2896" s="9" t="str">
        <f aca="false">Vessels!B30</f>
        <v>Vessel 26</v>
      </c>
      <c r="B2896" s="9" t="s">
        <v>117</v>
      </c>
      <c r="C2896" s="7" t="s">
        <v>134</v>
      </c>
      <c r="D2896" s="9" t="s">
        <v>45</v>
      </c>
      <c r="E2896" s="9" t="s">
        <v>44</v>
      </c>
      <c r="F2896" s="5" t="n">
        <v>12</v>
      </c>
      <c r="G2896" s="10"/>
      <c r="H2896" s="11" t="str">
        <f aca="false">IFERROR(IF($D2896="Manual Review","",IF($G2896="","",IF($D2896="Direct Expiry",$G2896,EDATE($G2896,$F2896)))),"Check Date")</f>
        <v/>
      </c>
      <c r="I2896" s="12" t="str">
        <f aca="true">IF($H2896="","",IF(ISNUMBER($H2896),$H2896-TODAY(),""))</f>
        <v/>
      </c>
      <c r="J2896" s="4" t="str">
        <f aca="true">IF($D2896="Manual Review","Manual Review",IF($G2896="","No Data",IF(NOT(ISNUMBER($H2896)),"N/A",IF($H2896&lt;TODAY(),"Overdue",IF($H2896&lt;=TODAY()+30,"Due within 1 Month",IF($H2896&lt;=TODAY()+60,"Due within 2 Months","OK"))))))</f>
        <v>No Data</v>
      </c>
      <c r="K2896" s="13"/>
    </row>
    <row r="2897" customFormat="false" ht="15" hidden="false" customHeight="false" outlineLevel="0" collapsed="false">
      <c r="A2897" s="9" t="str">
        <f aca="false">Vessels!B30</f>
        <v>Vessel 26</v>
      </c>
      <c r="B2897" s="9" t="s">
        <v>117</v>
      </c>
      <c r="C2897" s="7" t="s">
        <v>135</v>
      </c>
      <c r="D2897" s="9" t="s">
        <v>45</v>
      </c>
      <c r="E2897" s="9" t="s">
        <v>44</v>
      </c>
      <c r="F2897" s="5" t="n">
        <v>12</v>
      </c>
      <c r="G2897" s="10"/>
      <c r="H2897" s="11" t="str">
        <f aca="false">IFERROR(IF($D2897="Manual Review","",IF($G2897="","",IF($D2897="Direct Expiry",$G2897,EDATE($G2897,$F2897)))),"Check Date")</f>
        <v/>
      </c>
      <c r="I2897" s="12" t="str">
        <f aca="true">IF($H2897="","",IF(ISNUMBER($H2897),$H2897-TODAY(),""))</f>
        <v/>
      </c>
      <c r="J2897" s="4" t="str">
        <f aca="true">IF($D2897="Manual Review","Manual Review",IF($G2897="","No Data",IF(NOT(ISNUMBER($H2897)),"N/A",IF($H2897&lt;TODAY(),"Overdue",IF($H2897&lt;=TODAY()+30,"Due within 1 Month",IF($H2897&lt;=TODAY()+60,"Due within 2 Months","OK"))))))</f>
        <v>No Data</v>
      </c>
      <c r="K2897" s="13"/>
    </row>
    <row r="2898" customFormat="false" ht="15" hidden="false" customHeight="false" outlineLevel="0" collapsed="false">
      <c r="A2898" s="9" t="str">
        <f aca="false">Vessels!B30</f>
        <v>Vessel 26</v>
      </c>
      <c r="B2898" s="9" t="s">
        <v>136</v>
      </c>
      <c r="C2898" s="7" t="s">
        <v>137</v>
      </c>
      <c r="D2898" s="9" t="s">
        <v>45</v>
      </c>
      <c r="E2898" s="9" t="s">
        <v>44</v>
      </c>
      <c r="F2898" s="5" t="n">
        <v>12</v>
      </c>
      <c r="G2898" s="10"/>
      <c r="H2898" s="11" t="str">
        <f aca="false">IFERROR(IF($D2898="Manual Review","",IF($G2898="","",IF($D2898="Direct Expiry",$G2898,EDATE($G2898,$F2898)))),"Check Date")</f>
        <v/>
      </c>
      <c r="I2898" s="12" t="str">
        <f aca="true">IF($H2898="","",IF(ISNUMBER($H2898),$H2898-TODAY(),""))</f>
        <v/>
      </c>
      <c r="J2898" s="4" t="str">
        <f aca="true">IF($D2898="Manual Review","Manual Review",IF($G2898="","No Data",IF(NOT(ISNUMBER($H2898)),"N/A",IF($H2898&lt;TODAY(),"Overdue",IF($H2898&lt;=TODAY()+30,"Due within 1 Month",IF($H2898&lt;=TODAY()+60,"Due within 2 Months","OK"))))))</f>
        <v>No Data</v>
      </c>
      <c r="K2898" s="13"/>
    </row>
    <row r="2899" customFormat="false" ht="15" hidden="false" customHeight="false" outlineLevel="0" collapsed="false">
      <c r="A2899" s="9" t="str">
        <f aca="false">Vessels!B30</f>
        <v>Vessel 26</v>
      </c>
      <c r="B2899" s="9" t="s">
        <v>136</v>
      </c>
      <c r="C2899" s="7" t="s">
        <v>138</v>
      </c>
      <c r="D2899" s="9" t="s">
        <v>45</v>
      </c>
      <c r="E2899" s="9" t="s">
        <v>44</v>
      </c>
      <c r="F2899" s="5" t="n">
        <v>12</v>
      </c>
      <c r="G2899" s="10"/>
      <c r="H2899" s="11" t="str">
        <f aca="false">IFERROR(IF($D2899="Manual Review","",IF($G2899="","",IF($D2899="Direct Expiry",$G2899,EDATE($G2899,$F2899)))),"Check Date")</f>
        <v/>
      </c>
      <c r="I2899" s="12" t="str">
        <f aca="true">IF($H2899="","",IF(ISNUMBER($H2899),$H2899-TODAY(),""))</f>
        <v/>
      </c>
      <c r="J2899" s="4" t="str">
        <f aca="true">IF($D2899="Manual Review","Manual Review",IF($G2899="","No Data",IF(NOT(ISNUMBER($H2899)),"N/A",IF($H2899&lt;TODAY(),"Overdue",IF($H2899&lt;=TODAY()+30,"Due within 1 Month",IF($H2899&lt;=TODAY()+60,"Due within 2 Months","OK"))))))</f>
        <v>No Data</v>
      </c>
      <c r="K2899" s="13"/>
    </row>
    <row r="2900" customFormat="false" ht="15" hidden="false" customHeight="false" outlineLevel="0" collapsed="false">
      <c r="A2900" s="9" t="str">
        <f aca="false">Vessels!B30</f>
        <v>Vessel 26</v>
      </c>
      <c r="B2900" s="9" t="s">
        <v>136</v>
      </c>
      <c r="C2900" s="7" t="s">
        <v>139</v>
      </c>
      <c r="D2900" s="9" t="s">
        <v>45</v>
      </c>
      <c r="E2900" s="9" t="s">
        <v>140</v>
      </c>
      <c r="F2900" s="5" t="n">
        <v>12</v>
      </c>
      <c r="G2900" s="10"/>
      <c r="H2900" s="11" t="str">
        <f aca="false">IFERROR(IF($D2900="Manual Review","",IF($G2900="","",IF($D2900="Direct Expiry",$G2900,EDATE($G2900,$F2900)))),"Check Date")</f>
        <v/>
      </c>
      <c r="I2900" s="12" t="str">
        <f aca="true">IF($H2900="","",IF(ISNUMBER($H2900),$H2900-TODAY(),""))</f>
        <v/>
      </c>
      <c r="J2900" s="4" t="str">
        <f aca="true">IF($D2900="Manual Review","Manual Review",IF($G2900="","No Data",IF(NOT(ISNUMBER($H2900)),"N/A",IF($H2900&lt;TODAY(),"Overdue",IF($H2900&lt;=TODAY()+30,"Due within 1 Month",IF($H2900&lt;=TODAY()+60,"Due within 2 Months","OK"))))))</f>
        <v>No Data</v>
      </c>
      <c r="K2900" s="13"/>
    </row>
    <row r="2901" customFormat="false" ht="15" hidden="false" customHeight="false" outlineLevel="0" collapsed="false">
      <c r="A2901" s="9" t="str">
        <f aca="false">Vessels!B30</f>
        <v>Vessel 26</v>
      </c>
      <c r="B2901" s="9" t="s">
        <v>136</v>
      </c>
      <c r="C2901" s="7" t="s">
        <v>141</v>
      </c>
      <c r="D2901" s="9" t="s">
        <v>45</v>
      </c>
      <c r="E2901" s="9" t="s">
        <v>44</v>
      </c>
      <c r="F2901" s="5" t="n">
        <v>12</v>
      </c>
      <c r="G2901" s="10"/>
      <c r="H2901" s="11" t="str">
        <f aca="false">IFERROR(IF($D2901="Manual Review","",IF($G2901="","",IF($D2901="Direct Expiry",$G2901,EDATE($G2901,$F2901)))),"Check Date")</f>
        <v/>
      </c>
      <c r="I2901" s="12" t="str">
        <f aca="true">IF($H2901="","",IF(ISNUMBER($H2901),$H2901-TODAY(),""))</f>
        <v/>
      </c>
      <c r="J2901" s="4" t="str">
        <f aca="true">IF($D2901="Manual Review","Manual Review",IF($G2901="","No Data",IF(NOT(ISNUMBER($H2901)),"N/A",IF($H2901&lt;TODAY(),"Overdue",IF($H2901&lt;=TODAY()+30,"Due within 1 Month",IF($H2901&lt;=TODAY()+60,"Due within 2 Months","OK"))))))</f>
        <v>No Data</v>
      </c>
      <c r="K2901" s="13"/>
    </row>
    <row r="2902" customFormat="false" ht="15" hidden="false" customHeight="false" outlineLevel="0" collapsed="false">
      <c r="A2902" s="9" t="str">
        <f aca="false">Vessels!B30</f>
        <v>Vessel 26</v>
      </c>
      <c r="B2902" s="9" t="s">
        <v>136</v>
      </c>
      <c r="C2902" s="7" t="s">
        <v>142</v>
      </c>
      <c r="D2902" s="9" t="s">
        <v>115</v>
      </c>
      <c r="E2902" s="9" t="s">
        <v>143</v>
      </c>
      <c r="F2902" s="5"/>
      <c r="G2902" s="10"/>
      <c r="H2902" s="11" t="str">
        <f aca="false">IFERROR(IF($D2902="Manual Review","",IF($G2902="","",IF($D2902="Direct Expiry",$G2902,EDATE($G2902,$F2902)))),"Check Date")</f>
        <v/>
      </c>
      <c r="I2902" s="12" t="str">
        <f aca="true">IF($H2902="","",IF(ISNUMBER($H2902),$H2902-TODAY(),""))</f>
        <v/>
      </c>
      <c r="J2902" s="4" t="str">
        <f aca="true">IF($D2902="Manual Review","Manual Review",IF($G2902="","No Data",IF(NOT(ISNUMBER($H2902)),"N/A",IF($H2902&lt;TODAY(),"Overdue",IF($H2902&lt;=TODAY()+30,"Due within 1 Month",IF($H2902&lt;=TODAY()+60,"Due within 2 Months","OK"))))))</f>
        <v>Manual Review</v>
      </c>
      <c r="K2902" s="13"/>
    </row>
    <row r="2903" customFormat="false" ht="15" hidden="false" customHeight="false" outlineLevel="0" collapsed="false">
      <c r="A2903" s="9" t="str">
        <f aca="false">Vessels!B30</f>
        <v>Vessel 26</v>
      </c>
      <c r="B2903" s="9" t="s">
        <v>136</v>
      </c>
      <c r="C2903" s="7" t="s">
        <v>144</v>
      </c>
      <c r="D2903" s="9" t="s">
        <v>45</v>
      </c>
      <c r="E2903" s="9" t="s">
        <v>44</v>
      </c>
      <c r="F2903" s="5" t="n">
        <v>12</v>
      </c>
      <c r="G2903" s="10"/>
      <c r="H2903" s="11" t="str">
        <f aca="false">IFERROR(IF($D2903="Manual Review","",IF($G2903="","",IF($D2903="Direct Expiry",$G2903,EDATE($G2903,$F2903)))),"Check Date")</f>
        <v/>
      </c>
      <c r="I2903" s="12" t="str">
        <f aca="true">IF($H2903="","",IF(ISNUMBER($H2903),$H2903-TODAY(),""))</f>
        <v/>
      </c>
      <c r="J2903" s="4" t="str">
        <f aca="true">IF($D2903="Manual Review","Manual Review",IF($G2903="","No Data",IF(NOT(ISNUMBER($H2903)),"N/A",IF($H2903&lt;TODAY(),"Overdue",IF($H2903&lt;=TODAY()+30,"Due within 1 Month",IF($H2903&lt;=TODAY()+60,"Due within 2 Months","OK"))))))</f>
        <v>No Data</v>
      </c>
      <c r="K2903" s="13"/>
    </row>
    <row r="2904" customFormat="false" ht="15" hidden="false" customHeight="false" outlineLevel="0" collapsed="false">
      <c r="A2904" s="9" t="str">
        <f aca="false">Vessels!B30</f>
        <v>Vessel 26</v>
      </c>
      <c r="B2904" s="9" t="s">
        <v>136</v>
      </c>
      <c r="C2904" s="7" t="s">
        <v>145</v>
      </c>
      <c r="D2904" s="9" t="s">
        <v>45</v>
      </c>
      <c r="E2904" s="9" t="s">
        <v>44</v>
      </c>
      <c r="F2904" s="5" t="n">
        <v>12</v>
      </c>
      <c r="G2904" s="10"/>
      <c r="H2904" s="11" t="str">
        <f aca="false">IFERROR(IF($D2904="Manual Review","",IF($G2904="","",IF($D2904="Direct Expiry",$G2904,EDATE($G2904,$F2904)))),"Check Date")</f>
        <v/>
      </c>
      <c r="I2904" s="12" t="str">
        <f aca="true">IF($H2904="","",IF(ISNUMBER($H2904),$H2904-TODAY(),""))</f>
        <v/>
      </c>
      <c r="J2904" s="4" t="str">
        <f aca="true">IF($D2904="Manual Review","Manual Review",IF($G2904="","No Data",IF(NOT(ISNUMBER($H2904)),"N/A",IF($H2904&lt;TODAY(),"Overdue",IF($H2904&lt;=TODAY()+30,"Due within 1 Month",IF($H2904&lt;=TODAY()+60,"Due within 2 Months","OK"))))))</f>
        <v>No Data</v>
      </c>
      <c r="K2904" s="13"/>
    </row>
    <row r="2905" customFormat="false" ht="15" hidden="false" customHeight="false" outlineLevel="0" collapsed="false">
      <c r="A2905" s="9" t="str">
        <f aca="false">Vessels!B30</f>
        <v>Vessel 26</v>
      </c>
      <c r="B2905" s="9" t="s">
        <v>136</v>
      </c>
      <c r="C2905" s="7" t="s">
        <v>146</v>
      </c>
      <c r="D2905" s="9" t="s">
        <v>45</v>
      </c>
      <c r="E2905" s="9" t="s">
        <v>44</v>
      </c>
      <c r="F2905" s="5" t="n">
        <v>12</v>
      </c>
      <c r="G2905" s="10"/>
      <c r="H2905" s="11" t="str">
        <f aca="false">IFERROR(IF($D2905="Manual Review","",IF($G2905="","",IF($D2905="Direct Expiry",$G2905,EDATE($G2905,$F2905)))),"Check Date")</f>
        <v/>
      </c>
      <c r="I2905" s="12" t="str">
        <f aca="true">IF($H2905="","",IF(ISNUMBER($H2905),$H2905-TODAY(),""))</f>
        <v/>
      </c>
      <c r="J2905" s="4" t="str">
        <f aca="true">IF($D2905="Manual Review","Manual Review",IF($G2905="","No Data",IF(NOT(ISNUMBER($H2905)),"N/A",IF($H2905&lt;TODAY(),"Overdue",IF($H2905&lt;=TODAY()+30,"Due within 1 Month",IF($H2905&lt;=TODAY()+60,"Due within 2 Months","OK"))))))</f>
        <v>No Data</v>
      </c>
      <c r="K2905" s="13"/>
    </row>
    <row r="2906" customFormat="false" ht="15" hidden="false" customHeight="false" outlineLevel="0" collapsed="false">
      <c r="A2906" s="9" t="str">
        <f aca="false">Vessels!B30</f>
        <v>Vessel 26</v>
      </c>
      <c r="B2906" s="9" t="s">
        <v>136</v>
      </c>
      <c r="C2906" s="7" t="s">
        <v>147</v>
      </c>
      <c r="D2906" s="9" t="s">
        <v>45</v>
      </c>
      <c r="E2906" s="9" t="s">
        <v>44</v>
      </c>
      <c r="F2906" s="5" t="n">
        <v>12</v>
      </c>
      <c r="G2906" s="10"/>
      <c r="H2906" s="11" t="str">
        <f aca="false">IFERROR(IF($D2906="Manual Review","",IF($G2906="","",IF($D2906="Direct Expiry",$G2906,EDATE($G2906,$F2906)))),"Check Date")</f>
        <v/>
      </c>
      <c r="I2906" s="12" t="str">
        <f aca="true">IF($H2906="","",IF(ISNUMBER($H2906),$H2906-TODAY(),""))</f>
        <v/>
      </c>
      <c r="J2906" s="4" t="str">
        <f aca="true">IF($D2906="Manual Review","Manual Review",IF($G2906="","No Data",IF(NOT(ISNUMBER($H2906)),"N/A",IF($H2906&lt;TODAY(),"Overdue",IF($H2906&lt;=TODAY()+30,"Due within 1 Month",IF($H2906&lt;=TODAY()+60,"Due within 2 Months","OK"))))))</f>
        <v>No Data</v>
      </c>
      <c r="K2906" s="13"/>
    </row>
    <row r="2907" customFormat="false" ht="15" hidden="false" customHeight="false" outlineLevel="0" collapsed="false">
      <c r="A2907" s="9" t="str">
        <f aca="false">Vessels!B30</f>
        <v>Vessel 26</v>
      </c>
      <c r="B2907" s="9" t="s">
        <v>136</v>
      </c>
      <c r="C2907" s="7" t="s">
        <v>148</v>
      </c>
      <c r="D2907" s="9" t="s">
        <v>45</v>
      </c>
      <c r="E2907" s="9" t="s">
        <v>44</v>
      </c>
      <c r="F2907" s="5" t="n">
        <v>12</v>
      </c>
      <c r="G2907" s="10"/>
      <c r="H2907" s="11" t="str">
        <f aca="false">IFERROR(IF($D2907="Manual Review","",IF($G2907="","",IF($D2907="Direct Expiry",$G2907,EDATE($G2907,$F2907)))),"Check Date")</f>
        <v/>
      </c>
      <c r="I2907" s="12" t="str">
        <f aca="true">IF($H2907="","",IF(ISNUMBER($H2907),$H2907-TODAY(),""))</f>
        <v/>
      </c>
      <c r="J2907" s="4" t="str">
        <f aca="true">IF($D2907="Manual Review","Manual Review",IF($G2907="","No Data",IF(NOT(ISNUMBER($H2907)),"N/A",IF($H2907&lt;TODAY(),"Overdue",IF($H2907&lt;=TODAY()+30,"Due within 1 Month",IF($H2907&lt;=TODAY()+60,"Due within 2 Months","OK"))))))</f>
        <v>No Data</v>
      </c>
      <c r="K2907" s="13"/>
    </row>
    <row r="2908" customFormat="false" ht="15" hidden="false" customHeight="false" outlineLevel="0" collapsed="false">
      <c r="A2908" s="9" t="str">
        <f aca="false">Vessels!B30</f>
        <v>Vessel 26</v>
      </c>
      <c r="B2908" s="9" t="s">
        <v>136</v>
      </c>
      <c r="C2908" s="7" t="s">
        <v>149</v>
      </c>
      <c r="D2908" s="9" t="s">
        <v>45</v>
      </c>
      <c r="E2908" s="9" t="s">
        <v>44</v>
      </c>
      <c r="F2908" s="5" t="n">
        <v>12</v>
      </c>
      <c r="G2908" s="10"/>
      <c r="H2908" s="11" t="str">
        <f aca="false">IFERROR(IF($D2908="Manual Review","",IF($G2908="","",IF($D2908="Direct Expiry",$G2908,EDATE($G2908,$F2908)))),"Check Date")</f>
        <v/>
      </c>
      <c r="I2908" s="12" t="str">
        <f aca="true">IF($H2908="","",IF(ISNUMBER($H2908),$H2908-TODAY(),""))</f>
        <v/>
      </c>
      <c r="J2908" s="4" t="str">
        <f aca="true">IF($D2908="Manual Review","Manual Review",IF($G2908="","No Data",IF(NOT(ISNUMBER($H2908)),"N/A",IF($H2908&lt;TODAY(),"Overdue",IF($H2908&lt;=TODAY()+30,"Due within 1 Month",IF($H2908&lt;=TODAY()+60,"Due within 2 Months","OK"))))))</f>
        <v>No Data</v>
      </c>
      <c r="K2908" s="13"/>
    </row>
    <row r="2909" customFormat="false" ht="15" hidden="false" customHeight="false" outlineLevel="0" collapsed="false">
      <c r="A2909" s="9" t="str">
        <f aca="false">Vessels!B30</f>
        <v>Vessel 26</v>
      </c>
      <c r="B2909" s="9" t="s">
        <v>136</v>
      </c>
      <c r="C2909" s="7" t="s">
        <v>150</v>
      </c>
      <c r="D2909" s="9" t="s">
        <v>45</v>
      </c>
      <c r="E2909" s="9" t="s">
        <v>44</v>
      </c>
      <c r="F2909" s="5" t="n">
        <v>12</v>
      </c>
      <c r="G2909" s="10"/>
      <c r="H2909" s="11" t="str">
        <f aca="false">IFERROR(IF($D2909="Manual Review","",IF($G2909="","",IF($D2909="Direct Expiry",$G2909,EDATE($G2909,$F2909)))),"Check Date")</f>
        <v/>
      </c>
      <c r="I2909" s="12" t="str">
        <f aca="true">IF($H2909="","",IF(ISNUMBER($H2909),$H2909-TODAY(),""))</f>
        <v/>
      </c>
      <c r="J2909" s="4" t="str">
        <f aca="true">IF($D2909="Manual Review","Manual Review",IF($G2909="","No Data",IF(NOT(ISNUMBER($H2909)),"N/A",IF($H2909&lt;TODAY(),"Overdue",IF($H2909&lt;=TODAY()+30,"Due within 1 Month",IF($H2909&lt;=TODAY()+60,"Due within 2 Months","OK"))))))</f>
        <v>No Data</v>
      </c>
      <c r="K2909" s="13"/>
    </row>
    <row r="2910" customFormat="false" ht="15" hidden="false" customHeight="false" outlineLevel="0" collapsed="false">
      <c r="A2910" s="9" t="str">
        <f aca="false">Vessels!B30</f>
        <v>Vessel 26</v>
      </c>
      <c r="B2910" s="9" t="s">
        <v>136</v>
      </c>
      <c r="C2910" s="7" t="s">
        <v>151</v>
      </c>
      <c r="D2910" s="9" t="s">
        <v>45</v>
      </c>
      <c r="E2910" s="9" t="s">
        <v>44</v>
      </c>
      <c r="F2910" s="5" t="n">
        <v>12</v>
      </c>
      <c r="G2910" s="10"/>
      <c r="H2910" s="11" t="str">
        <f aca="false">IFERROR(IF($D2910="Manual Review","",IF($G2910="","",IF($D2910="Direct Expiry",$G2910,EDATE($G2910,$F2910)))),"Check Date")</f>
        <v/>
      </c>
      <c r="I2910" s="12" t="str">
        <f aca="true">IF($H2910="","",IF(ISNUMBER($H2910),$H2910-TODAY(),""))</f>
        <v/>
      </c>
      <c r="J2910" s="4" t="str">
        <f aca="true">IF($D2910="Manual Review","Manual Review",IF($G2910="","No Data",IF(NOT(ISNUMBER($H2910)),"N/A",IF($H2910&lt;TODAY(),"Overdue",IF($H2910&lt;=TODAY()+30,"Due within 1 Month",IF($H2910&lt;=TODAY()+60,"Due within 2 Months","OK"))))))</f>
        <v>No Data</v>
      </c>
      <c r="K2910" s="13"/>
    </row>
    <row r="2911" customFormat="false" ht="15" hidden="false" customHeight="false" outlineLevel="0" collapsed="false">
      <c r="A2911" s="9" t="str">
        <f aca="false">Vessels!B30</f>
        <v>Vessel 26</v>
      </c>
      <c r="B2911" s="9" t="s">
        <v>136</v>
      </c>
      <c r="C2911" s="7" t="s">
        <v>152</v>
      </c>
      <c r="D2911" s="9" t="s">
        <v>45</v>
      </c>
      <c r="E2911" s="9" t="s">
        <v>44</v>
      </c>
      <c r="F2911" s="5" t="n">
        <v>12</v>
      </c>
      <c r="G2911" s="10"/>
      <c r="H2911" s="11" t="str">
        <f aca="false">IFERROR(IF($D2911="Manual Review","",IF($G2911="","",IF($D2911="Direct Expiry",$G2911,EDATE($G2911,$F2911)))),"Check Date")</f>
        <v/>
      </c>
      <c r="I2911" s="12" t="str">
        <f aca="true">IF($H2911="","",IF(ISNUMBER($H2911),$H2911-TODAY(),""))</f>
        <v/>
      </c>
      <c r="J2911" s="4" t="str">
        <f aca="true">IF($D2911="Manual Review","Manual Review",IF($G2911="","No Data",IF(NOT(ISNUMBER($H2911)),"N/A",IF($H2911&lt;TODAY(),"Overdue",IF($H2911&lt;=TODAY()+30,"Due within 1 Month",IF($H2911&lt;=TODAY()+60,"Due within 2 Months","OK"))))))</f>
        <v>No Data</v>
      </c>
      <c r="K2911" s="13"/>
    </row>
    <row r="2912" customFormat="false" ht="15" hidden="false" customHeight="false" outlineLevel="0" collapsed="false">
      <c r="A2912" s="9" t="str">
        <f aca="false">Vessels!B30</f>
        <v>Vessel 26</v>
      </c>
      <c r="B2912" s="9" t="s">
        <v>136</v>
      </c>
      <c r="C2912" s="7" t="s">
        <v>153</v>
      </c>
      <c r="D2912" s="9" t="s">
        <v>45</v>
      </c>
      <c r="E2912" s="9" t="s">
        <v>44</v>
      </c>
      <c r="F2912" s="5" t="n">
        <v>12</v>
      </c>
      <c r="G2912" s="10"/>
      <c r="H2912" s="11" t="str">
        <f aca="false">IFERROR(IF($D2912="Manual Review","",IF($G2912="","",IF($D2912="Direct Expiry",$G2912,EDATE($G2912,$F2912)))),"Check Date")</f>
        <v/>
      </c>
      <c r="I2912" s="12" t="str">
        <f aca="true">IF($H2912="","",IF(ISNUMBER($H2912),$H2912-TODAY(),""))</f>
        <v/>
      </c>
      <c r="J2912" s="4" t="str">
        <f aca="true">IF($D2912="Manual Review","Manual Review",IF($G2912="","No Data",IF(NOT(ISNUMBER($H2912)),"N/A",IF($H2912&lt;TODAY(),"Overdue",IF($H2912&lt;=TODAY()+30,"Due within 1 Month",IF($H2912&lt;=TODAY()+60,"Due within 2 Months","OK"))))))</f>
        <v>No Data</v>
      </c>
      <c r="K2912" s="13"/>
    </row>
    <row r="2913" customFormat="false" ht="15" hidden="false" customHeight="false" outlineLevel="0" collapsed="false">
      <c r="A2913" s="9" t="str">
        <f aca="false">Vessels!B30</f>
        <v>Vessel 26</v>
      </c>
      <c r="B2913" s="9" t="s">
        <v>136</v>
      </c>
      <c r="C2913" s="7" t="s">
        <v>154</v>
      </c>
      <c r="D2913" s="9" t="s">
        <v>45</v>
      </c>
      <c r="E2913" s="9" t="s">
        <v>44</v>
      </c>
      <c r="F2913" s="5" t="n">
        <v>12</v>
      </c>
      <c r="G2913" s="10"/>
      <c r="H2913" s="11" t="str">
        <f aca="false">IFERROR(IF($D2913="Manual Review","",IF($G2913="","",IF($D2913="Direct Expiry",$G2913,EDATE($G2913,$F2913)))),"Check Date")</f>
        <v/>
      </c>
      <c r="I2913" s="12" t="str">
        <f aca="true">IF($H2913="","",IF(ISNUMBER($H2913),$H2913-TODAY(),""))</f>
        <v/>
      </c>
      <c r="J2913" s="4" t="str">
        <f aca="true">IF($D2913="Manual Review","Manual Review",IF($G2913="","No Data",IF(NOT(ISNUMBER($H2913)),"N/A",IF($H2913&lt;TODAY(),"Overdue",IF($H2913&lt;=TODAY()+30,"Due within 1 Month",IF($H2913&lt;=TODAY()+60,"Due within 2 Months","OK"))))))</f>
        <v>No Data</v>
      </c>
      <c r="K2913" s="13"/>
    </row>
    <row r="2914" customFormat="false" ht="15" hidden="false" customHeight="false" outlineLevel="0" collapsed="false">
      <c r="A2914" s="9" t="str">
        <f aca="false">Vessels!B30</f>
        <v>Vessel 26</v>
      </c>
      <c r="B2914" s="9" t="s">
        <v>136</v>
      </c>
      <c r="C2914" s="7" t="s">
        <v>155</v>
      </c>
      <c r="D2914" s="9" t="s">
        <v>45</v>
      </c>
      <c r="E2914" s="9" t="s">
        <v>44</v>
      </c>
      <c r="F2914" s="5" t="n">
        <v>12</v>
      </c>
      <c r="G2914" s="10"/>
      <c r="H2914" s="11" t="str">
        <f aca="false">IFERROR(IF($D2914="Manual Review","",IF($G2914="","",IF($D2914="Direct Expiry",$G2914,EDATE($G2914,$F2914)))),"Check Date")</f>
        <v/>
      </c>
      <c r="I2914" s="12" t="str">
        <f aca="true">IF($H2914="","",IF(ISNUMBER($H2914),$H2914-TODAY(),""))</f>
        <v/>
      </c>
      <c r="J2914" s="4" t="str">
        <f aca="true">IF($D2914="Manual Review","Manual Review",IF($G2914="","No Data",IF(NOT(ISNUMBER($H2914)),"N/A",IF($H2914&lt;TODAY(),"Overdue",IF($H2914&lt;=TODAY()+30,"Due within 1 Month",IF($H2914&lt;=TODAY()+60,"Due within 2 Months","OK"))))))</f>
        <v>No Data</v>
      </c>
      <c r="K2914" s="13"/>
    </row>
    <row r="2915" customFormat="false" ht="15" hidden="false" customHeight="false" outlineLevel="0" collapsed="false">
      <c r="A2915" s="9" t="str">
        <f aca="false">Vessels!B30</f>
        <v>Vessel 26</v>
      </c>
      <c r="B2915" s="9" t="s">
        <v>136</v>
      </c>
      <c r="C2915" s="7" t="s">
        <v>156</v>
      </c>
      <c r="D2915" s="9" t="s">
        <v>45</v>
      </c>
      <c r="E2915" s="9" t="s">
        <v>44</v>
      </c>
      <c r="F2915" s="5" t="n">
        <v>12</v>
      </c>
      <c r="G2915" s="10"/>
      <c r="H2915" s="11" t="str">
        <f aca="false">IFERROR(IF($D2915="Manual Review","",IF($G2915="","",IF($D2915="Direct Expiry",$G2915,EDATE($G2915,$F2915)))),"Check Date")</f>
        <v/>
      </c>
      <c r="I2915" s="12" t="str">
        <f aca="true">IF($H2915="","",IF(ISNUMBER($H2915),$H2915-TODAY(),""))</f>
        <v/>
      </c>
      <c r="J2915" s="4" t="str">
        <f aca="true">IF($D2915="Manual Review","Manual Review",IF($G2915="","No Data",IF(NOT(ISNUMBER($H2915)),"N/A",IF($H2915&lt;TODAY(),"Overdue",IF($H2915&lt;=TODAY()+30,"Due within 1 Month",IF($H2915&lt;=TODAY()+60,"Due within 2 Months","OK"))))))</f>
        <v>No Data</v>
      </c>
      <c r="K2915" s="13"/>
    </row>
    <row r="2916" customFormat="false" ht="15" hidden="false" customHeight="false" outlineLevel="0" collapsed="false">
      <c r="A2916" s="9" t="str">
        <f aca="false">Vessels!B30</f>
        <v>Vessel 26</v>
      </c>
      <c r="B2916" s="9" t="s">
        <v>136</v>
      </c>
      <c r="C2916" s="7" t="s">
        <v>157</v>
      </c>
      <c r="D2916" s="9" t="s">
        <v>45</v>
      </c>
      <c r="E2916" s="9" t="s">
        <v>44</v>
      </c>
      <c r="F2916" s="5" t="n">
        <v>12</v>
      </c>
      <c r="G2916" s="10"/>
      <c r="H2916" s="11" t="str">
        <f aca="false">IFERROR(IF($D2916="Manual Review","",IF($G2916="","",IF($D2916="Direct Expiry",$G2916,EDATE($G2916,$F2916)))),"Check Date")</f>
        <v/>
      </c>
      <c r="I2916" s="12" t="str">
        <f aca="true">IF($H2916="","",IF(ISNUMBER($H2916),$H2916-TODAY(),""))</f>
        <v/>
      </c>
      <c r="J2916" s="4" t="str">
        <f aca="true">IF($D2916="Manual Review","Manual Review",IF($G2916="","No Data",IF(NOT(ISNUMBER($H2916)),"N/A",IF($H2916&lt;TODAY(),"Overdue",IF($H2916&lt;=TODAY()+30,"Due within 1 Month",IF($H2916&lt;=TODAY()+60,"Due within 2 Months","OK"))))))</f>
        <v>No Data</v>
      </c>
      <c r="K2916" s="13"/>
    </row>
    <row r="2917" customFormat="false" ht="15" hidden="false" customHeight="false" outlineLevel="0" collapsed="false">
      <c r="A2917" s="9" t="str">
        <f aca="false">Vessels!B31</f>
        <v>Vessel 27</v>
      </c>
      <c r="B2917" s="9" t="s">
        <v>42</v>
      </c>
      <c r="C2917" s="7" t="s">
        <v>43</v>
      </c>
      <c r="D2917" s="9" t="s">
        <v>45</v>
      </c>
      <c r="E2917" s="9" t="s">
        <v>44</v>
      </c>
      <c r="F2917" s="5" t="n">
        <v>12</v>
      </c>
      <c r="G2917" s="10"/>
      <c r="H2917" s="11" t="str">
        <f aca="false">IFERROR(IF($D2917="Manual Review","",IF($G2917="","",IF($D2917="Direct Expiry",$G2917,EDATE($G2917,$F2917)))),"Check Date")</f>
        <v/>
      </c>
      <c r="I2917" s="12" t="str">
        <f aca="true">IF($H2917="","",IF(ISNUMBER($H2917),$H2917-TODAY(),""))</f>
        <v/>
      </c>
      <c r="J2917" s="4" t="str">
        <f aca="true">IF($D2917="Manual Review","Manual Review",IF($G2917="","No Data",IF(NOT(ISNUMBER($H2917)),"N/A",IF($H2917&lt;TODAY(),"Overdue",IF($H2917&lt;=TODAY()+30,"Due within 1 Month",IF($H2917&lt;=TODAY()+60,"Due within 2 Months","OK"))))))</f>
        <v>No Data</v>
      </c>
      <c r="K2917" s="13"/>
    </row>
    <row r="2918" customFormat="false" ht="15" hidden="false" customHeight="false" outlineLevel="0" collapsed="false">
      <c r="A2918" s="9" t="str">
        <f aca="false">Vessels!B31</f>
        <v>Vessel 27</v>
      </c>
      <c r="B2918" s="9" t="s">
        <v>42</v>
      </c>
      <c r="C2918" s="7" t="s">
        <v>43</v>
      </c>
      <c r="D2918" s="9" t="s">
        <v>45</v>
      </c>
      <c r="E2918" s="9" t="s">
        <v>46</v>
      </c>
      <c r="F2918" s="5" t="n">
        <v>60</v>
      </c>
      <c r="G2918" s="10"/>
      <c r="H2918" s="11" t="str">
        <f aca="false">IFERROR(IF($D2918="Manual Review","",IF($G2918="","",IF($D2918="Direct Expiry",$G2918,EDATE($G2918,$F2918)))),"Check Date")</f>
        <v/>
      </c>
      <c r="I2918" s="12" t="str">
        <f aca="true">IF($H2918="","",IF(ISNUMBER($H2918),$H2918-TODAY(),""))</f>
        <v/>
      </c>
      <c r="J2918" s="4" t="str">
        <f aca="true">IF($D2918="Manual Review","Manual Review",IF($G2918="","No Data",IF(NOT(ISNUMBER($H2918)),"N/A",IF($H2918&lt;TODAY(),"Overdue",IF($H2918&lt;=TODAY()+30,"Due within 1 Month",IF($H2918&lt;=TODAY()+60,"Due within 2 Months","OK"))))))</f>
        <v>No Data</v>
      </c>
      <c r="K2918" s="13"/>
    </row>
    <row r="2919" customFormat="false" ht="15" hidden="false" customHeight="false" outlineLevel="0" collapsed="false">
      <c r="A2919" s="9" t="str">
        <f aca="false">Vessels!B31</f>
        <v>Vessel 27</v>
      </c>
      <c r="B2919" s="9" t="s">
        <v>42</v>
      </c>
      <c r="C2919" s="7" t="s">
        <v>47</v>
      </c>
      <c r="D2919" s="9" t="s">
        <v>45</v>
      </c>
      <c r="E2919" s="9" t="s">
        <v>44</v>
      </c>
      <c r="F2919" s="5" t="n">
        <v>12</v>
      </c>
      <c r="G2919" s="10"/>
      <c r="H2919" s="11" t="str">
        <f aca="false">IFERROR(IF($D2919="Manual Review","",IF($G2919="","",IF($D2919="Direct Expiry",$G2919,EDATE($G2919,$F2919)))),"Check Date")</f>
        <v/>
      </c>
      <c r="I2919" s="12" t="str">
        <f aca="true">IF($H2919="","",IF(ISNUMBER($H2919),$H2919-TODAY(),""))</f>
        <v/>
      </c>
      <c r="J2919" s="4" t="str">
        <f aca="true">IF($D2919="Manual Review","Manual Review",IF($G2919="","No Data",IF(NOT(ISNUMBER($H2919)),"N/A",IF($H2919&lt;TODAY(),"Overdue",IF($H2919&lt;=TODAY()+30,"Due within 1 Month",IF($H2919&lt;=TODAY()+60,"Due within 2 Months","OK"))))))</f>
        <v>No Data</v>
      </c>
      <c r="K2919" s="13"/>
    </row>
    <row r="2920" customFormat="false" ht="15" hidden="false" customHeight="false" outlineLevel="0" collapsed="false">
      <c r="A2920" s="9" t="str">
        <f aca="false">Vessels!B31</f>
        <v>Vessel 27</v>
      </c>
      <c r="B2920" s="9" t="s">
        <v>42</v>
      </c>
      <c r="C2920" s="7" t="s">
        <v>47</v>
      </c>
      <c r="D2920" s="9" t="s">
        <v>45</v>
      </c>
      <c r="E2920" s="9" t="s">
        <v>46</v>
      </c>
      <c r="F2920" s="5" t="n">
        <v>60</v>
      </c>
      <c r="G2920" s="10"/>
      <c r="H2920" s="11" t="str">
        <f aca="false">IFERROR(IF($D2920="Manual Review","",IF($G2920="","",IF($D2920="Direct Expiry",$G2920,EDATE($G2920,$F2920)))),"Check Date")</f>
        <v/>
      </c>
      <c r="I2920" s="12" t="str">
        <f aca="true">IF($H2920="","",IF(ISNUMBER($H2920),$H2920-TODAY(),""))</f>
        <v/>
      </c>
      <c r="J2920" s="4" t="str">
        <f aca="true">IF($D2920="Manual Review","Manual Review",IF($G2920="","No Data",IF(NOT(ISNUMBER($H2920)),"N/A",IF($H2920&lt;TODAY(),"Overdue",IF($H2920&lt;=TODAY()+30,"Due within 1 Month",IF($H2920&lt;=TODAY()+60,"Due within 2 Months","OK"))))))</f>
        <v>No Data</v>
      </c>
      <c r="K2920" s="13"/>
    </row>
    <row r="2921" customFormat="false" ht="15" hidden="false" customHeight="false" outlineLevel="0" collapsed="false">
      <c r="A2921" s="9" t="str">
        <f aca="false">Vessels!B31</f>
        <v>Vessel 27</v>
      </c>
      <c r="B2921" s="9" t="s">
        <v>42</v>
      </c>
      <c r="C2921" s="7" t="s">
        <v>48</v>
      </c>
      <c r="D2921" s="9" t="s">
        <v>45</v>
      </c>
      <c r="E2921" s="9" t="s">
        <v>44</v>
      </c>
      <c r="F2921" s="5" t="n">
        <v>12</v>
      </c>
      <c r="G2921" s="10"/>
      <c r="H2921" s="11" t="str">
        <f aca="false">IFERROR(IF($D2921="Manual Review","",IF($G2921="","",IF($D2921="Direct Expiry",$G2921,EDATE($G2921,$F2921)))),"Check Date")</f>
        <v/>
      </c>
      <c r="I2921" s="12" t="str">
        <f aca="true">IF($H2921="","",IF(ISNUMBER($H2921),$H2921-TODAY(),""))</f>
        <v/>
      </c>
      <c r="J2921" s="4" t="str">
        <f aca="true">IF($D2921="Manual Review","Manual Review",IF($G2921="","No Data",IF(NOT(ISNUMBER($H2921)),"N/A",IF($H2921&lt;TODAY(),"Overdue",IF($H2921&lt;=TODAY()+30,"Due within 1 Month",IF($H2921&lt;=TODAY()+60,"Due within 2 Months","OK"))))))</f>
        <v>No Data</v>
      </c>
      <c r="K2921" s="13"/>
    </row>
    <row r="2922" customFormat="false" ht="15" hidden="false" customHeight="false" outlineLevel="0" collapsed="false">
      <c r="A2922" s="9" t="str">
        <f aca="false">Vessels!B31</f>
        <v>Vessel 27</v>
      </c>
      <c r="B2922" s="9" t="s">
        <v>42</v>
      </c>
      <c r="C2922" s="7" t="s">
        <v>48</v>
      </c>
      <c r="D2922" s="9" t="s">
        <v>45</v>
      </c>
      <c r="E2922" s="9" t="s">
        <v>49</v>
      </c>
      <c r="F2922" s="5" t="n">
        <v>60</v>
      </c>
      <c r="G2922" s="10"/>
      <c r="H2922" s="11" t="str">
        <f aca="false">IFERROR(IF($D2922="Manual Review","",IF($G2922="","",IF($D2922="Direct Expiry",$G2922,EDATE($G2922,$F2922)))),"Check Date")</f>
        <v/>
      </c>
      <c r="I2922" s="12" t="str">
        <f aca="true">IF($H2922="","",IF(ISNUMBER($H2922),$H2922-TODAY(),""))</f>
        <v/>
      </c>
      <c r="J2922" s="4" t="str">
        <f aca="true">IF($D2922="Manual Review","Manual Review",IF($G2922="","No Data",IF(NOT(ISNUMBER($H2922)),"N/A",IF($H2922&lt;TODAY(),"Overdue",IF($H2922&lt;=TODAY()+30,"Due within 1 Month",IF($H2922&lt;=TODAY()+60,"Due within 2 Months","OK"))))))</f>
        <v>No Data</v>
      </c>
      <c r="K2922" s="13"/>
    </row>
    <row r="2923" customFormat="false" ht="15" hidden="false" customHeight="false" outlineLevel="0" collapsed="false">
      <c r="A2923" s="9" t="str">
        <f aca="false">Vessels!B31</f>
        <v>Vessel 27</v>
      </c>
      <c r="B2923" s="9" t="s">
        <v>42</v>
      </c>
      <c r="C2923" s="7" t="s">
        <v>50</v>
      </c>
      <c r="D2923" s="9" t="s">
        <v>45</v>
      </c>
      <c r="E2923" s="9" t="s">
        <v>44</v>
      </c>
      <c r="F2923" s="5" t="n">
        <v>12</v>
      </c>
      <c r="G2923" s="10"/>
      <c r="H2923" s="11" t="str">
        <f aca="false">IFERROR(IF($D2923="Manual Review","",IF($G2923="","",IF($D2923="Direct Expiry",$G2923,EDATE($G2923,$F2923)))),"Check Date")</f>
        <v/>
      </c>
      <c r="I2923" s="12" t="str">
        <f aca="true">IF($H2923="","",IF(ISNUMBER($H2923),$H2923-TODAY(),""))</f>
        <v/>
      </c>
      <c r="J2923" s="4" t="str">
        <f aca="true">IF($D2923="Manual Review","Manual Review",IF($G2923="","No Data",IF(NOT(ISNUMBER($H2923)),"N/A",IF($H2923&lt;TODAY(),"Overdue",IF($H2923&lt;=TODAY()+30,"Due within 1 Month",IF($H2923&lt;=TODAY()+60,"Due within 2 Months","OK"))))))</f>
        <v>No Data</v>
      </c>
      <c r="K2923" s="13"/>
    </row>
    <row r="2924" customFormat="false" ht="15" hidden="false" customHeight="false" outlineLevel="0" collapsed="false">
      <c r="A2924" s="9" t="str">
        <f aca="false">Vessels!B31</f>
        <v>Vessel 27</v>
      </c>
      <c r="B2924" s="9" t="s">
        <v>42</v>
      </c>
      <c r="C2924" s="7" t="s">
        <v>50</v>
      </c>
      <c r="D2924" s="9" t="s">
        <v>45</v>
      </c>
      <c r="E2924" s="9" t="s">
        <v>49</v>
      </c>
      <c r="F2924" s="5" t="n">
        <v>60</v>
      </c>
      <c r="G2924" s="10"/>
      <c r="H2924" s="11" t="str">
        <f aca="false">IFERROR(IF($D2924="Manual Review","",IF($G2924="","",IF($D2924="Direct Expiry",$G2924,EDATE($G2924,$F2924)))),"Check Date")</f>
        <v/>
      </c>
      <c r="I2924" s="12" t="str">
        <f aca="true">IF($H2924="","",IF(ISNUMBER($H2924),$H2924-TODAY(),""))</f>
        <v/>
      </c>
      <c r="J2924" s="4" t="str">
        <f aca="true">IF($D2924="Manual Review","Manual Review",IF($G2924="","No Data",IF(NOT(ISNUMBER($H2924)),"N/A",IF($H2924&lt;TODAY(),"Overdue",IF($H2924&lt;=TODAY()+30,"Due within 1 Month",IF($H2924&lt;=TODAY()+60,"Due within 2 Months","OK"))))))</f>
        <v>No Data</v>
      </c>
      <c r="K2924" s="13"/>
    </row>
    <row r="2925" customFormat="false" ht="15" hidden="false" customHeight="false" outlineLevel="0" collapsed="false">
      <c r="A2925" s="9" t="str">
        <f aca="false">Vessels!B31</f>
        <v>Vessel 27</v>
      </c>
      <c r="B2925" s="9" t="s">
        <v>42</v>
      </c>
      <c r="C2925" s="7" t="s">
        <v>51</v>
      </c>
      <c r="D2925" s="9" t="s">
        <v>45</v>
      </c>
      <c r="E2925" s="9" t="s">
        <v>46</v>
      </c>
      <c r="F2925" s="5" t="n">
        <v>60</v>
      </c>
      <c r="G2925" s="10"/>
      <c r="H2925" s="11" t="str">
        <f aca="false">IFERROR(IF($D2925="Manual Review","",IF($G2925="","",IF($D2925="Direct Expiry",$G2925,EDATE($G2925,$F2925)))),"Check Date")</f>
        <v/>
      </c>
      <c r="I2925" s="12" t="str">
        <f aca="true">IF($H2925="","",IF(ISNUMBER($H2925),$H2925-TODAY(),""))</f>
        <v/>
      </c>
      <c r="J2925" s="4" t="str">
        <f aca="true">IF($D2925="Manual Review","Manual Review",IF($G2925="","No Data",IF(NOT(ISNUMBER($H2925)),"N/A",IF($H2925&lt;TODAY(),"Overdue",IF($H2925&lt;=TODAY()+30,"Due within 1 Month",IF($H2925&lt;=TODAY()+60,"Due within 2 Months","OK"))))))</f>
        <v>No Data</v>
      </c>
      <c r="K2925" s="13"/>
    </row>
    <row r="2926" customFormat="false" ht="15" hidden="false" customHeight="false" outlineLevel="0" collapsed="false">
      <c r="A2926" s="9" t="str">
        <f aca="false">Vessels!B31</f>
        <v>Vessel 27</v>
      </c>
      <c r="B2926" s="9" t="s">
        <v>42</v>
      </c>
      <c r="C2926" s="7" t="s">
        <v>52</v>
      </c>
      <c r="D2926" s="9" t="s">
        <v>45</v>
      </c>
      <c r="E2926" s="9" t="s">
        <v>46</v>
      </c>
      <c r="F2926" s="5" t="n">
        <v>60</v>
      </c>
      <c r="G2926" s="10"/>
      <c r="H2926" s="11" t="str">
        <f aca="false">IFERROR(IF($D2926="Manual Review","",IF($G2926="","",IF($D2926="Direct Expiry",$G2926,EDATE($G2926,$F2926)))),"Check Date")</f>
        <v/>
      </c>
      <c r="I2926" s="12" t="str">
        <f aca="true">IF($H2926="","",IF(ISNUMBER($H2926),$H2926-TODAY(),""))</f>
        <v/>
      </c>
      <c r="J2926" s="4" t="str">
        <f aca="true">IF($D2926="Manual Review","Manual Review",IF($G2926="","No Data",IF(NOT(ISNUMBER($H2926)),"N/A",IF($H2926&lt;TODAY(),"Overdue",IF($H2926&lt;=TODAY()+30,"Due within 1 Month",IF($H2926&lt;=TODAY()+60,"Due within 2 Months","OK"))))))</f>
        <v>No Data</v>
      </c>
      <c r="K2926" s="13"/>
    </row>
    <row r="2927" customFormat="false" ht="15" hidden="false" customHeight="false" outlineLevel="0" collapsed="false">
      <c r="A2927" s="9" t="str">
        <f aca="false">Vessels!B31</f>
        <v>Vessel 27</v>
      </c>
      <c r="B2927" s="9" t="s">
        <v>42</v>
      </c>
      <c r="C2927" s="7" t="s">
        <v>53</v>
      </c>
      <c r="D2927" s="9" t="s">
        <v>45</v>
      </c>
      <c r="E2927" s="9" t="s">
        <v>46</v>
      </c>
      <c r="F2927" s="5" t="n">
        <v>60</v>
      </c>
      <c r="G2927" s="10"/>
      <c r="H2927" s="11" t="str">
        <f aca="false">IFERROR(IF($D2927="Manual Review","",IF($G2927="","",IF($D2927="Direct Expiry",$G2927,EDATE($G2927,$F2927)))),"Check Date")</f>
        <v/>
      </c>
      <c r="I2927" s="12" t="str">
        <f aca="true">IF($H2927="","",IF(ISNUMBER($H2927),$H2927-TODAY(),""))</f>
        <v/>
      </c>
      <c r="J2927" s="4" t="str">
        <f aca="true">IF($D2927="Manual Review","Manual Review",IF($G2927="","No Data",IF(NOT(ISNUMBER($H2927)),"N/A",IF($H2927&lt;TODAY(),"Overdue",IF($H2927&lt;=TODAY()+30,"Due within 1 Month",IF($H2927&lt;=TODAY()+60,"Due within 2 Months","OK"))))))</f>
        <v>No Data</v>
      </c>
      <c r="K2927" s="13"/>
    </row>
    <row r="2928" customFormat="false" ht="15" hidden="false" customHeight="false" outlineLevel="0" collapsed="false">
      <c r="A2928" s="9" t="str">
        <f aca="false">Vessels!B31</f>
        <v>Vessel 27</v>
      </c>
      <c r="B2928" s="9" t="s">
        <v>42</v>
      </c>
      <c r="C2928" s="7" t="s">
        <v>54</v>
      </c>
      <c r="D2928" s="9" t="s">
        <v>45</v>
      </c>
      <c r="E2928" s="9" t="s">
        <v>46</v>
      </c>
      <c r="F2928" s="5" t="n">
        <v>60</v>
      </c>
      <c r="G2928" s="10"/>
      <c r="H2928" s="11" t="str">
        <f aca="false">IFERROR(IF($D2928="Manual Review","",IF($G2928="","",IF($D2928="Direct Expiry",$G2928,EDATE($G2928,$F2928)))),"Check Date")</f>
        <v/>
      </c>
      <c r="I2928" s="12" t="str">
        <f aca="true">IF($H2928="","",IF(ISNUMBER($H2928),$H2928-TODAY(),""))</f>
        <v/>
      </c>
      <c r="J2928" s="4" t="str">
        <f aca="true">IF($D2928="Manual Review","Manual Review",IF($G2928="","No Data",IF(NOT(ISNUMBER($H2928)),"N/A",IF($H2928&lt;TODAY(),"Overdue",IF($H2928&lt;=TODAY()+30,"Due within 1 Month",IF($H2928&lt;=TODAY()+60,"Due within 2 Months","OK"))))))</f>
        <v>No Data</v>
      </c>
      <c r="K2928" s="13"/>
    </row>
    <row r="2929" customFormat="false" ht="15" hidden="false" customHeight="false" outlineLevel="0" collapsed="false">
      <c r="A2929" s="9" t="str">
        <f aca="false">Vessels!B31</f>
        <v>Vessel 27</v>
      </c>
      <c r="B2929" s="9" t="s">
        <v>42</v>
      </c>
      <c r="C2929" s="7" t="s">
        <v>55</v>
      </c>
      <c r="D2929" s="9" t="s">
        <v>45</v>
      </c>
      <c r="E2929" s="9" t="s">
        <v>46</v>
      </c>
      <c r="F2929" s="5" t="n">
        <v>60</v>
      </c>
      <c r="G2929" s="10"/>
      <c r="H2929" s="11" t="str">
        <f aca="false">IFERROR(IF($D2929="Manual Review","",IF($G2929="","",IF($D2929="Direct Expiry",$G2929,EDATE($G2929,$F2929)))),"Check Date")</f>
        <v/>
      </c>
      <c r="I2929" s="12" t="str">
        <f aca="true">IF($H2929="","",IF(ISNUMBER($H2929),$H2929-TODAY(),""))</f>
        <v/>
      </c>
      <c r="J2929" s="4" t="str">
        <f aca="true">IF($D2929="Manual Review","Manual Review",IF($G2929="","No Data",IF(NOT(ISNUMBER($H2929)),"N/A",IF($H2929&lt;TODAY(),"Overdue",IF($H2929&lt;=TODAY()+30,"Due within 1 Month",IF($H2929&lt;=TODAY()+60,"Due within 2 Months","OK"))))))</f>
        <v>No Data</v>
      </c>
      <c r="K2929" s="13"/>
    </row>
    <row r="2930" customFormat="false" ht="15" hidden="false" customHeight="false" outlineLevel="0" collapsed="false">
      <c r="A2930" s="9" t="str">
        <f aca="false">Vessels!B31</f>
        <v>Vessel 27</v>
      </c>
      <c r="B2930" s="9" t="s">
        <v>42</v>
      </c>
      <c r="C2930" s="7" t="s">
        <v>56</v>
      </c>
      <c r="D2930" s="9" t="s">
        <v>45</v>
      </c>
      <c r="E2930" s="9" t="s">
        <v>46</v>
      </c>
      <c r="F2930" s="5" t="n">
        <v>60</v>
      </c>
      <c r="G2930" s="10"/>
      <c r="H2930" s="11" t="str">
        <f aca="false">IFERROR(IF($D2930="Manual Review","",IF($G2930="","",IF($D2930="Direct Expiry",$G2930,EDATE($G2930,$F2930)))),"Check Date")</f>
        <v/>
      </c>
      <c r="I2930" s="12" t="str">
        <f aca="true">IF($H2930="","",IF(ISNUMBER($H2930),$H2930-TODAY(),""))</f>
        <v/>
      </c>
      <c r="J2930" s="4" t="str">
        <f aca="true">IF($D2930="Manual Review","Manual Review",IF($G2930="","No Data",IF(NOT(ISNUMBER($H2930)),"N/A",IF($H2930&lt;TODAY(),"Overdue",IF($H2930&lt;=TODAY()+30,"Due within 1 Month",IF($H2930&lt;=TODAY()+60,"Due within 2 Months","OK"))))))</f>
        <v>No Data</v>
      </c>
      <c r="K2930" s="13"/>
    </row>
    <row r="2931" customFormat="false" ht="15" hidden="false" customHeight="false" outlineLevel="0" collapsed="false">
      <c r="A2931" s="9" t="str">
        <f aca="false">Vessels!B31</f>
        <v>Vessel 27</v>
      </c>
      <c r="B2931" s="9" t="s">
        <v>42</v>
      </c>
      <c r="C2931" s="7" t="s">
        <v>57</v>
      </c>
      <c r="D2931" s="9" t="s">
        <v>59</v>
      </c>
      <c r="E2931" s="9" t="s">
        <v>58</v>
      </c>
      <c r="F2931" s="5"/>
      <c r="G2931" s="10"/>
      <c r="H2931" s="11" t="str">
        <f aca="false">IFERROR(IF($D2931="Manual Review","",IF($G2931="","",IF($D2931="Direct Expiry",$G2931,EDATE($G2931,$F2931)))),"Check Date")</f>
        <v/>
      </c>
      <c r="I2931" s="12" t="str">
        <f aca="true">IF($H2931="","",IF(ISNUMBER($H2931),$H2931-TODAY(),""))</f>
        <v/>
      </c>
      <c r="J2931" s="4" t="str">
        <f aca="true">IF($D2931="Manual Review","Manual Review",IF($G2931="","No Data",IF(NOT(ISNUMBER($H2931)),"N/A",IF($H2931&lt;TODAY(),"Overdue",IF($H2931&lt;=TODAY()+30,"Due within 1 Month",IF($H2931&lt;=TODAY()+60,"Due within 2 Months","OK"))))))</f>
        <v>No Data</v>
      </c>
      <c r="K2931" s="13"/>
    </row>
    <row r="2932" customFormat="false" ht="15" hidden="false" customHeight="false" outlineLevel="0" collapsed="false">
      <c r="A2932" s="9" t="str">
        <f aca="false">Vessels!B31</f>
        <v>Vessel 27</v>
      </c>
      <c r="B2932" s="9" t="s">
        <v>42</v>
      </c>
      <c r="C2932" s="7" t="s">
        <v>60</v>
      </c>
      <c r="D2932" s="9" t="s">
        <v>45</v>
      </c>
      <c r="E2932" s="9" t="s">
        <v>44</v>
      </c>
      <c r="F2932" s="5" t="n">
        <v>12</v>
      </c>
      <c r="G2932" s="10"/>
      <c r="H2932" s="11" t="str">
        <f aca="false">IFERROR(IF($D2932="Manual Review","",IF($G2932="","",IF($D2932="Direct Expiry",$G2932,EDATE($G2932,$F2932)))),"Check Date")</f>
        <v/>
      </c>
      <c r="I2932" s="12" t="str">
        <f aca="true">IF($H2932="","",IF(ISNUMBER($H2932),$H2932-TODAY(),""))</f>
        <v/>
      </c>
      <c r="J2932" s="4" t="str">
        <f aca="true">IF($D2932="Manual Review","Manual Review",IF($G2932="","No Data",IF(NOT(ISNUMBER($H2932)),"N/A",IF($H2932&lt;TODAY(),"Overdue",IF($H2932&lt;=TODAY()+30,"Due within 1 Month",IF($H2932&lt;=TODAY()+60,"Due within 2 Months","OK"))))))</f>
        <v>No Data</v>
      </c>
      <c r="K2932" s="13"/>
    </row>
    <row r="2933" customFormat="false" ht="15" hidden="false" customHeight="false" outlineLevel="0" collapsed="false">
      <c r="A2933" s="9" t="str">
        <f aca="false">Vessels!B31</f>
        <v>Vessel 27</v>
      </c>
      <c r="B2933" s="9" t="s">
        <v>42</v>
      </c>
      <c r="C2933" s="7" t="s">
        <v>60</v>
      </c>
      <c r="D2933" s="9" t="s">
        <v>45</v>
      </c>
      <c r="E2933" s="9" t="s">
        <v>46</v>
      </c>
      <c r="F2933" s="5" t="n">
        <v>60</v>
      </c>
      <c r="G2933" s="10"/>
      <c r="H2933" s="11" t="str">
        <f aca="false">IFERROR(IF($D2933="Manual Review","",IF($G2933="","",IF($D2933="Direct Expiry",$G2933,EDATE($G2933,$F2933)))),"Check Date")</f>
        <v/>
      </c>
      <c r="I2933" s="12" t="str">
        <f aca="true">IF($H2933="","",IF(ISNUMBER($H2933),$H2933-TODAY(),""))</f>
        <v/>
      </c>
      <c r="J2933" s="4" t="str">
        <f aca="true">IF($D2933="Manual Review","Manual Review",IF($G2933="","No Data",IF(NOT(ISNUMBER($H2933)),"N/A",IF($H2933&lt;TODAY(),"Overdue",IF($H2933&lt;=TODAY()+30,"Due within 1 Month",IF($H2933&lt;=TODAY()+60,"Due within 2 Months","OK"))))))</f>
        <v>No Data</v>
      </c>
      <c r="K2933" s="13"/>
    </row>
    <row r="2934" customFormat="false" ht="15" hidden="false" customHeight="false" outlineLevel="0" collapsed="false">
      <c r="A2934" s="9" t="str">
        <f aca="false">Vessels!B31</f>
        <v>Vessel 27</v>
      </c>
      <c r="B2934" s="9" t="s">
        <v>42</v>
      </c>
      <c r="C2934" s="7" t="s">
        <v>61</v>
      </c>
      <c r="D2934" s="9" t="s">
        <v>45</v>
      </c>
      <c r="E2934" s="9" t="s">
        <v>44</v>
      </c>
      <c r="F2934" s="5" t="n">
        <v>12</v>
      </c>
      <c r="G2934" s="10"/>
      <c r="H2934" s="11" t="str">
        <f aca="false">IFERROR(IF($D2934="Manual Review","",IF($G2934="","",IF($D2934="Direct Expiry",$G2934,EDATE($G2934,$F2934)))),"Check Date")</f>
        <v/>
      </c>
      <c r="I2934" s="12" t="str">
        <f aca="true">IF($H2934="","",IF(ISNUMBER($H2934),$H2934-TODAY(),""))</f>
        <v/>
      </c>
      <c r="J2934" s="4" t="str">
        <f aca="true">IF($D2934="Manual Review","Manual Review",IF($G2934="","No Data",IF(NOT(ISNUMBER($H2934)),"N/A",IF($H2934&lt;TODAY(),"Overdue",IF($H2934&lt;=TODAY()+30,"Due within 1 Month",IF($H2934&lt;=TODAY()+60,"Due within 2 Months","OK"))))))</f>
        <v>No Data</v>
      </c>
      <c r="K2934" s="13"/>
    </row>
    <row r="2935" customFormat="false" ht="15" hidden="false" customHeight="false" outlineLevel="0" collapsed="false">
      <c r="A2935" s="9" t="str">
        <f aca="false">Vessels!B31</f>
        <v>Vessel 27</v>
      </c>
      <c r="B2935" s="9" t="s">
        <v>42</v>
      </c>
      <c r="C2935" s="7" t="s">
        <v>61</v>
      </c>
      <c r="D2935" s="9" t="s">
        <v>45</v>
      </c>
      <c r="E2935" s="9" t="s">
        <v>46</v>
      </c>
      <c r="F2935" s="5" t="n">
        <v>60</v>
      </c>
      <c r="G2935" s="10"/>
      <c r="H2935" s="11" t="str">
        <f aca="false">IFERROR(IF($D2935="Manual Review","",IF($G2935="","",IF($D2935="Direct Expiry",$G2935,EDATE($G2935,$F2935)))),"Check Date")</f>
        <v/>
      </c>
      <c r="I2935" s="12" t="str">
        <f aca="true">IF($H2935="","",IF(ISNUMBER($H2935),$H2935-TODAY(),""))</f>
        <v/>
      </c>
      <c r="J2935" s="4" t="str">
        <f aca="true">IF($D2935="Manual Review","Manual Review",IF($G2935="","No Data",IF(NOT(ISNUMBER($H2935)),"N/A",IF($H2935&lt;TODAY(),"Overdue",IF($H2935&lt;=TODAY()+30,"Due within 1 Month",IF($H2935&lt;=TODAY()+60,"Due within 2 Months","OK"))))))</f>
        <v>No Data</v>
      </c>
      <c r="K2935" s="13"/>
    </row>
    <row r="2936" customFormat="false" ht="15" hidden="false" customHeight="false" outlineLevel="0" collapsed="false">
      <c r="A2936" s="9" t="str">
        <f aca="false">Vessels!B31</f>
        <v>Vessel 27</v>
      </c>
      <c r="B2936" s="9" t="s">
        <v>42</v>
      </c>
      <c r="C2936" s="7" t="s">
        <v>62</v>
      </c>
      <c r="D2936" s="9" t="s">
        <v>45</v>
      </c>
      <c r="E2936" s="9" t="s">
        <v>44</v>
      </c>
      <c r="F2936" s="5" t="n">
        <v>12</v>
      </c>
      <c r="G2936" s="10"/>
      <c r="H2936" s="11" t="str">
        <f aca="false">IFERROR(IF($D2936="Manual Review","",IF($G2936="","",IF($D2936="Direct Expiry",$G2936,EDATE($G2936,$F2936)))),"Check Date")</f>
        <v/>
      </c>
      <c r="I2936" s="12" t="str">
        <f aca="true">IF($H2936="","",IF(ISNUMBER($H2936),$H2936-TODAY(),""))</f>
        <v/>
      </c>
      <c r="J2936" s="4" t="str">
        <f aca="true">IF($D2936="Manual Review","Manual Review",IF($G2936="","No Data",IF(NOT(ISNUMBER($H2936)),"N/A",IF($H2936&lt;TODAY(),"Overdue",IF($H2936&lt;=TODAY()+30,"Due within 1 Month",IF($H2936&lt;=TODAY()+60,"Due within 2 Months","OK"))))))</f>
        <v>No Data</v>
      </c>
      <c r="K2936" s="13"/>
    </row>
    <row r="2937" customFormat="false" ht="15" hidden="false" customHeight="false" outlineLevel="0" collapsed="false">
      <c r="A2937" s="9" t="str">
        <f aca="false">Vessels!B31</f>
        <v>Vessel 27</v>
      </c>
      <c r="B2937" s="9" t="s">
        <v>42</v>
      </c>
      <c r="C2937" s="7" t="s">
        <v>62</v>
      </c>
      <c r="D2937" s="9" t="s">
        <v>45</v>
      </c>
      <c r="E2937" s="9" t="s">
        <v>49</v>
      </c>
      <c r="F2937" s="5" t="n">
        <v>60</v>
      </c>
      <c r="G2937" s="10"/>
      <c r="H2937" s="11" t="str">
        <f aca="false">IFERROR(IF($D2937="Manual Review","",IF($G2937="","",IF($D2937="Direct Expiry",$G2937,EDATE($G2937,$F2937)))),"Check Date")</f>
        <v/>
      </c>
      <c r="I2937" s="12" t="str">
        <f aca="true">IF($H2937="","",IF(ISNUMBER($H2937),$H2937-TODAY(),""))</f>
        <v/>
      </c>
      <c r="J2937" s="4" t="str">
        <f aca="true">IF($D2937="Manual Review","Manual Review",IF($G2937="","No Data",IF(NOT(ISNUMBER($H2937)),"N/A",IF($H2937&lt;TODAY(),"Overdue",IF($H2937&lt;=TODAY()+30,"Due within 1 Month",IF($H2937&lt;=TODAY()+60,"Due within 2 Months","OK"))))))</f>
        <v>No Data</v>
      </c>
      <c r="K2937" s="13"/>
    </row>
    <row r="2938" customFormat="false" ht="15" hidden="false" customHeight="false" outlineLevel="0" collapsed="false">
      <c r="A2938" s="9" t="str">
        <f aca="false">Vessels!B31</f>
        <v>Vessel 27</v>
      </c>
      <c r="B2938" s="9" t="s">
        <v>42</v>
      </c>
      <c r="C2938" s="7" t="s">
        <v>63</v>
      </c>
      <c r="D2938" s="9" t="s">
        <v>45</v>
      </c>
      <c r="E2938" s="9" t="s">
        <v>44</v>
      </c>
      <c r="F2938" s="5" t="n">
        <v>12</v>
      </c>
      <c r="G2938" s="10"/>
      <c r="H2938" s="11" t="str">
        <f aca="false">IFERROR(IF($D2938="Manual Review","",IF($G2938="","",IF($D2938="Direct Expiry",$G2938,EDATE($G2938,$F2938)))),"Check Date")</f>
        <v/>
      </c>
      <c r="I2938" s="12" t="str">
        <f aca="true">IF($H2938="","",IF(ISNUMBER($H2938),$H2938-TODAY(),""))</f>
        <v/>
      </c>
      <c r="J2938" s="4" t="str">
        <f aca="true">IF($D2938="Manual Review","Manual Review",IF($G2938="","No Data",IF(NOT(ISNUMBER($H2938)),"N/A",IF($H2938&lt;TODAY(),"Overdue",IF($H2938&lt;=TODAY()+30,"Due within 1 Month",IF($H2938&lt;=TODAY()+60,"Due within 2 Months","OK"))))))</f>
        <v>No Data</v>
      </c>
      <c r="K2938" s="13"/>
    </row>
    <row r="2939" customFormat="false" ht="15" hidden="false" customHeight="false" outlineLevel="0" collapsed="false">
      <c r="A2939" s="9" t="str">
        <f aca="false">Vessels!B31</f>
        <v>Vessel 27</v>
      </c>
      <c r="B2939" s="9" t="s">
        <v>42</v>
      </c>
      <c r="C2939" s="7" t="s">
        <v>63</v>
      </c>
      <c r="D2939" s="9" t="s">
        <v>45</v>
      </c>
      <c r="E2939" s="9" t="s">
        <v>49</v>
      </c>
      <c r="F2939" s="5" t="n">
        <v>60</v>
      </c>
      <c r="G2939" s="10"/>
      <c r="H2939" s="11" t="str">
        <f aca="false">IFERROR(IF($D2939="Manual Review","",IF($G2939="","",IF($D2939="Direct Expiry",$G2939,EDATE($G2939,$F2939)))),"Check Date")</f>
        <v/>
      </c>
      <c r="I2939" s="12" t="str">
        <f aca="true">IF($H2939="","",IF(ISNUMBER($H2939),$H2939-TODAY(),""))</f>
        <v/>
      </c>
      <c r="J2939" s="4" t="str">
        <f aca="true">IF($D2939="Manual Review","Manual Review",IF($G2939="","No Data",IF(NOT(ISNUMBER($H2939)),"N/A",IF($H2939&lt;TODAY(),"Overdue",IF($H2939&lt;=TODAY()+30,"Due within 1 Month",IF($H2939&lt;=TODAY()+60,"Due within 2 Months","OK"))))))</f>
        <v>No Data</v>
      </c>
      <c r="K2939" s="13"/>
    </row>
    <row r="2940" customFormat="false" ht="15" hidden="false" customHeight="false" outlineLevel="0" collapsed="false">
      <c r="A2940" s="9" t="str">
        <f aca="false">Vessels!B31</f>
        <v>Vessel 27</v>
      </c>
      <c r="B2940" s="9" t="s">
        <v>42</v>
      </c>
      <c r="C2940" s="7" t="s">
        <v>64</v>
      </c>
      <c r="D2940" s="9" t="s">
        <v>45</v>
      </c>
      <c r="E2940" s="9" t="s">
        <v>46</v>
      </c>
      <c r="F2940" s="5" t="n">
        <v>60</v>
      </c>
      <c r="G2940" s="10"/>
      <c r="H2940" s="11" t="str">
        <f aca="false">IFERROR(IF($D2940="Manual Review","",IF($G2940="","",IF($D2940="Direct Expiry",$G2940,EDATE($G2940,$F2940)))),"Check Date")</f>
        <v/>
      </c>
      <c r="I2940" s="12" t="str">
        <f aca="true">IF($H2940="","",IF(ISNUMBER($H2940),$H2940-TODAY(),""))</f>
        <v/>
      </c>
      <c r="J2940" s="4" t="str">
        <f aca="true">IF($D2940="Manual Review","Manual Review",IF($G2940="","No Data",IF(NOT(ISNUMBER($H2940)),"N/A",IF($H2940&lt;TODAY(),"Overdue",IF($H2940&lt;=TODAY()+30,"Due within 1 Month",IF($H2940&lt;=TODAY()+60,"Due within 2 Months","OK"))))))</f>
        <v>No Data</v>
      </c>
      <c r="K2940" s="13"/>
    </row>
    <row r="2941" customFormat="false" ht="15" hidden="false" customHeight="false" outlineLevel="0" collapsed="false">
      <c r="A2941" s="9" t="str">
        <f aca="false">Vessels!B31</f>
        <v>Vessel 27</v>
      </c>
      <c r="B2941" s="9" t="s">
        <v>42</v>
      </c>
      <c r="C2941" s="7" t="s">
        <v>65</v>
      </c>
      <c r="D2941" s="9" t="s">
        <v>45</v>
      </c>
      <c r="E2941" s="9" t="s">
        <v>46</v>
      </c>
      <c r="F2941" s="5" t="n">
        <v>60</v>
      </c>
      <c r="G2941" s="10"/>
      <c r="H2941" s="11" t="str">
        <f aca="false">IFERROR(IF($D2941="Manual Review","",IF($G2941="","",IF($D2941="Direct Expiry",$G2941,EDATE($G2941,$F2941)))),"Check Date")</f>
        <v/>
      </c>
      <c r="I2941" s="12" t="str">
        <f aca="true">IF($H2941="","",IF(ISNUMBER($H2941),$H2941-TODAY(),""))</f>
        <v/>
      </c>
      <c r="J2941" s="4" t="str">
        <f aca="true">IF($D2941="Manual Review","Manual Review",IF($G2941="","No Data",IF(NOT(ISNUMBER($H2941)),"N/A",IF($H2941&lt;TODAY(),"Overdue",IF($H2941&lt;=TODAY()+30,"Due within 1 Month",IF($H2941&lt;=TODAY()+60,"Due within 2 Months","OK"))))))</f>
        <v>No Data</v>
      </c>
      <c r="K2941" s="13"/>
    </row>
    <row r="2942" customFormat="false" ht="15" hidden="false" customHeight="false" outlineLevel="0" collapsed="false">
      <c r="A2942" s="9" t="str">
        <f aca="false">Vessels!B31</f>
        <v>Vessel 27</v>
      </c>
      <c r="B2942" s="9" t="s">
        <v>42</v>
      </c>
      <c r="C2942" s="7" t="s">
        <v>66</v>
      </c>
      <c r="D2942" s="9" t="s">
        <v>45</v>
      </c>
      <c r="E2942" s="9" t="s">
        <v>46</v>
      </c>
      <c r="F2942" s="5" t="n">
        <v>60</v>
      </c>
      <c r="G2942" s="10"/>
      <c r="H2942" s="11" t="str">
        <f aca="false">IFERROR(IF($D2942="Manual Review","",IF($G2942="","",IF($D2942="Direct Expiry",$G2942,EDATE($G2942,$F2942)))),"Check Date")</f>
        <v/>
      </c>
      <c r="I2942" s="12" t="str">
        <f aca="true">IF($H2942="","",IF(ISNUMBER($H2942),$H2942-TODAY(),""))</f>
        <v/>
      </c>
      <c r="J2942" s="4" t="str">
        <f aca="true">IF($D2942="Manual Review","Manual Review",IF($G2942="","No Data",IF(NOT(ISNUMBER($H2942)),"N/A",IF($H2942&lt;TODAY(),"Overdue",IF($H2942&lt;=TODAY()+30,"Due within 1 Month",IF($H2942&lt;=TODAY()+60,"Due within 2 Months","OK"))))))</f>
        <v>No Data</v>
      </c>
      <c r="K2942" s="13"/>
    </row>
    <row r="2943" customFormat="false" ht="15" hidden="false" customHeight="false" outlineLevel="0" collapsed="false">
      <c r="A2943" s="9" t="str">
        <f aca="false">Vessels!B31</f>
        <v>Vessel 27</v>
      </c>
      <c r="B2943" s="9" t="s">
        <v>42</v>
      </c>
      <c r="C2943" s="7" t="s">
        <v>67</v>
      </c>
      <c r="D2943" s="9" t="s">
        <v>45</v>
      </c>
      <c r="E2943" s="9" t="s">
        <v>46</v>
      </c>
      <c r="F2943" s="5" t="n">
        <v>60</v>
      </c>
      <c r="G2943" s="10"/>
      <c r="H2943" s="11" t="str">
        <f aca="false">IFERROR(IF($D2943="Manual Review","",IF($G2943="","",IF($D2943="Direct Expiry",$G2943,EDATE($G2943,$F2943)))),"Check Date")</f>
        <v/>
      </c>
      <c r="I2943" s="12" t="str">
        <f aca="true">IF($H2943="","",IF(ISNUMBER($H2943),$H2943-TODAY(),""))</f>
        <v/>
      </c>
      <c r="J2943" s="4" t="str">
        <f aca="true">IF($D2943="Manual Review","Manual Review",IF($G2943="","No Data",IF(NOT(ISNUMBER($H2943)),"N/A",IF($H2943&lt;TODAY(),"Overdue",IF($H2943&lt;=TODAY()+30,"Due within 1 Month",IF($H2943&lt;=TODAY()+60,"Due within 2 Months","OK"))))))</f>
        <v>No Data</v>
      </c>
      <c r="K2943" s="13"/>
    </row>
    <row r="2944" customFormat="false" ht="15" hidden="false" customHeight="false" outlineLevel="0" collapsed="false">
      <c r="A2944" s="9" t="str">
        <f aca="false">Vessels!B31</f>
        <v>Vessel 27</v>
      </c>
      <c r="B2944" s="9" t="s">
        <v>42</v>
      </c>
      <c r="C2944" s="7" t="s">
        <v>68</v>
      </c>
      <c r="D2944" s="9" t="s">
        <v>45</v>
      </c>
      <c r="E2944" s="9" t="s">
        <v>46</v>
      </c>
      <c r="F2944" s="5" t="n">
        <v>60</v>
      </c>
      <c r="G2944" s="10"/>
      <c r="H2944" s="11" t="str">
        <f aca="false">IFERROR(IF($D2944="Manual Review","",IF($G2944="","",IF($D2944="Direct Expiry",$G2944,EDATE($G2944,$F2944)))),"Check Date")</f>
        <v/>
      </c>
      <c r="I2944" s="12" t="str">
        <f aca="true">IF($H2944="","",IF(ISNUMBER($H2944),$H2944-TODAY(),""))</f>
        <v/>
      </c>
      <c r="J2944" s="4" t="str">
        <f aca="true">IF($D2944="Manual Review","Manual Review",IF($G2944="","No Data",IF(NOT(ISNUMBER($H2944)),"N/A",IF($H2944&lt;TODAY(),"Overdue",IF($H2944&lt;=TODAY()+30,"Due within 1 Month",IF($H2944&lt;=TODAY()+60,"Due within 2 Months","OK"))))))</f>
        <v>No Data</v>
      </c>
      <c r="K2944" s="13"/>
    </row>
    <row r="2945" customFormat="false" ht="15" hidden="false" customHeight="false" outlineLevel="0" collapsed="false">
      <c r="A2945" s="9" t="str">
        <f aca="false">Vessels!B31</f>
        <v>Vessel 27</v>
      </c>
      <c r="B2945" s="9" t="s">
        <v>42</v>
      </c>
      <c r="C2945" s="7" t="s">
        <v>69</v>
      </c>
      <c r="D2945" s="9" t="s">
        <v>45</v>
      </c>
      <c r="E2945" s="9" t="s">
        <v>46</v>
      </c>
      <c r="F2945" s="5" t="n">
        <v>60</v>
      </c>
      <c r="G2945" s="10"/>
      <c r="H2945" s="11" t="str">
        <f aca="false">IFERROR(IF($D2945="Manual Review","",IF($G2945="","",IF($D2945="Direct Expiry",$G2945,EDATE($G2945,$F2945)))),"Check Date")</f>
        <v/>
      </c>
      <c r="I2945" s="12" t="str">
        <f aca="true">IF($H2945="","",IF(ISNUMBER($H2945),$H2945-TODAY(),""))</f>
        <v/>
      </c>
      <c r="J2945" s="4" t="str">
        <f aca="true">IF($D2945="Manual Review","Manual Review",IF($G2945="","No Data",IF(NOT(ISNUMBER($H2945)),"N/A",IF($H2945&lt;TODAY(),"Overdue",IF($H2945&lt;=TODAY()+30,"Due within 1 Month",IF($H2945&lt;=TODAY()+60,"Due within 2 Months","OK"))))))</f>
        <v>No Data</v>
      </c>
      <c r="K2945" s="13"/>
    </row>
    <row r="2946" customFormat="false" ht="15" hidden="false" customHeight="false" outlineLevel="0" collapsed="false">
      <c r="A2946" s="9" t="str">
        <f aca="false">Vessels!B31</f>
        <v>Vessel 27</v>
      </c>
      <c r="B2946" s="9" t="s">
        <v>42</v>
      </c>
      <c r="C2946" s="7" t="s">
        <v>70</v>
      </c>
      <c r="D2946" s="9" t="s">
        <v>59</v>
      </c>
      <c r="E2946" s="9" t="s">
        <v>58</v>
      </c>
      <c r="F2946" s="5"/>
      <c r="G2946" s="10"/>
      <c r="H2946" s="11" t="str">
        <f aca="false">IFERROR(IF($D2946="Manual Review","",IF($G2946="","",IF($D2946="Direct Expiry",$G2946,EDATE($G2946,$F2946)))),"Check Date")</f>
        <v/>
      </c>
      <c r="I2946" s="12" t="str">
        <f aca="true">IF($H2946="","",IF(ISNUMBER($H2946),$H2946-TODAY(),""))</f>
        <v/>
      </c>
      <c r="J2946" s="4" t="str">
        <f aca="true">IF($D2946="Manual Review","Manual Review",IF($G2946="","No Data",IF(NOT(ISNUMBER($H2946)),"N/A",IF($H2946&lt;TODAY(),"Overdue",IF($H2946&lt;=TODAY()+30,"Due within 1 Month",IF($H2946&lt;=TODAY()+60,"Due within 2 Months","OK"))))))</f>
        <v>No Data</v>
      </c>
      <c r="K2946" s="13"/>
    </row>
    <row r="2947" customFormat="false" ht="15" hidden="false" customHeight="false" outlineLevel="0" collapsed="false">
      <c r="A2947" s="9" t="str">
        <f aca="false">Vessels!B31</f>
        <v>Vessel 27</v>
      </c>
      <c r="B2947" s="9" t="s">
        <v>42</v>
      </c>
      <c r="C2947" s="7" t="s">
        <v>71</v>
      </c>
      <c r="D2947" s="9" t="s">
        <v>45</v>
      </c>
      <c r="E2947" s="9" t="s">
        <v>44</v>
      </c>
      <c r="F2947" s="5" t="n">
        <v>12</v>
      </c>
      <c r="G2947" s="10"/>
      <c r="H2947" s="11" t="str">
        <f aca="false">IFERROR(IF($D2947="Manual Review","",IF($G2947="","",IF($D2947="Direct Expiry",$G2947,EDATE($G2947,$F2947)))),"Check Date")</f>
        <v/>
      </c>
      <c r="I2947" s="12" t="str">
        <f aca="true">IF($H2947="","",IF(ISNUMBER($H2947),$H2947-TODAY(),""))</f>
        <v/>
      </c>
      <c r="J2947" s="4" t="str">
        <f aca="true">IF($D2947="Manual Review","Manual Review",IF($G2947="","No Data",IF(NOT(ISNUMBER($H2947)),"N/A",IF($H2947&lt;TODAY(),"Overdue",IF($H2947&lt;=TODAY()+30,"Due within 1 Month",IF($H2947&lt;=TODAY()+60,"Due within 2 Months","OK"))))))</f>
        <v>No Data</v>
      </c>
      <c r="K2947" s="13"/>
    </row>
    <row r="2948" customFormat="false" ht="15" hidden="false" customHeight="false" outlineLevel="0" collapsed="false">
      <c r="A2948" s="9" t="str">
        <f aca="false">Vessels!B31</f>
        <v>Vessel 27</v>
      </c>
      <c r="B2948" s="9" t="s">
        <v>42</v>
      </c>
      <c r="C2948" s="7" t="s">
        <v>72</v>
      </c>
      <c r="D2948" s="9" t="s">
        <v>59</v>
      </c>
      <c r="E2948" s="9" t="s">
        <v>58</v>
      </c>
      <c r="F2948" s="5"/>
      <c r="G2948" s="10"/>
      <c r="H2948" s="11" t="str">
        <f aca="false">IFERROR(IF($D2948="Manual Review","",IF($G2948="","",IF($D2948="Direct Expiry",$G2948,EDATE($G2948,$F2948)))),"Check Date")</f>
        <v/>
      </c>
      <c r="I2948" s="12" t="str">
        <f aca="true">IF($H2948="","",IF(ISNUMBER($H2948),$H2948-TODAY(),""))</f>
        <v/>
      </c>
      <c r="J2948" s="4" t="str">
        <f aca="true">IF($D2948="Manual Review","Manual Review",IF($G2948="","No Data",IF(NOT(ISNUMBER($H2948)),"N/A",IF($H2948&lt;TODAY(),"Overdue",IF($H2948&lt;=TODAY()+30,"Due within 1 Month",IF($H2948&lt;=TODAY()+60,"Due within 2 Months","OK"))))))</f>
        <v>No Data</v>
      </c>
      <c r="K2948" s="13"/>
    </row>
    <row r="2949" customFormat="false" ht="15" hidden="false" customHeight="false" outlineLevel="0" collapsed="false">
      <c r="A2949" s="9" t="str">
        <f aca="false">Vessels!B31</f>
        <v>Vessel 27</v>
      </c>
      <c r="B2949" s="9" t="s">
        <v>42</v>
      </c>
      <c r="C2949" s="7" t="s">
        <v>73</v>
      </c>
      <c r="D2949" s="9" t="s">
        <v>45</v>
      </c>
      <c r="E2949" s="9" t="s">
        <v>44</v>
      </c>
      <c r="F2949" s="5" t="n">
        <v>12</v>
      </c>
      <c r="G2949" s="10"/>
      <c r="H2949" s="11" t="str">
        <f aca="false">IFERROR(IF($D2949="Manual Review","",IF($G2949="","",IF($D2949="Direct Expiry",$G2949,EDATE($G2949,$F2949)))),"Check Date")</f>
        <v/>
      </c>
      <c r="I2949" s="12" t="str">
        <f aca="true">IF($H2949="","",IF(ISNUMBER($H2949),$H2949-TODAY(),""))</f>
        <v/>
      </c>
      <c r="J2949" s="4" t="str">
        <f aca="true">IF($D2949="Manual Review","Manual Review",IF($G2949="","No Data",IF(NOT(ISNUMBER($H2949)),"N/A",IF($H2949&lt;TODAY(),"Overdue",IF($H2949&lt;=TODAY()+30,"Due within 1 Month",IF($H2949&lt;=TODAY()+60,"Due within 2 Months","OK"))))))</f>
        <v>No Data</v>
      </c>
      <c r="K2949" s="13"/>
    </row>
    <row r="2950" customFormat="false" ht="15" hidden="false" customHeight="false" outlineLevel="0" collapsed="false">
      <c r="A2950" s="9" t="str">
        <f aca="false">Vessels!B31</f>
        <v>Vessel 27</v>
      </c>
      <c r="B2950" s="9" t="s">
        <v>42</v>
      </c>
      <c r="C2950" s="7" t="s">
        <v>74</v>
      </c>
      <c r="D2950" s="9" t="s">
        <v>59</v>
      </c>
      <c r="E2950" s="9" t="s">
        <v>58</v>
      </c>
      <c r="F2950" s="5"/>
      <c r="G2950" s="10"/>
      <c r="H2950" s="11" t="str">
        <f aca="false">IFERROR(IF($D2950="Manual Review","",IF($G2950="","",IF($D2950="Direct Expiry",$G2950,EDATE($G2950,$F2950)))),"Check Date")</f>
        <v/>
      </c>
      <c r="I2950" s="12" t="str">
        <f aca="true">IF($H2950="","",IF(ISNUMBER($H2950),$H2950-TODAY(),""))</f>
        <v/>
      </c>
      <c r="J2950" s="4" t="str">
        <f aca="true">IF($D2950="Manual Review","Manual Review",IF($G2950="","No Data",IF(NOT(ISNUMBER($H2950)),"N/A",IF($H2950&lt;TODAY(),"Overdue",IF($H2950&lt;=TODAY()+30,"Due within 1 Month",IF($H2950&lt;=TODAY()+60,"Due within 2 Months","OK"))))))</f>
        <v>No Data</v>
      </c>
      <c r="K2950" s="13"/>
    </row>
    <row r="2951" customFormat="false" ht="15" hidden="false" customHeight="false" outlineLevel="0" collapsed="false">
      <c r="A2951" s="9" t="str">
        <f aca="false">Vessels!B31</f>
        <v>Vessel 27</v>
      </c>
      <c r="B2951" s="9" t="s">
        <v>42</v>
      </c>
      <c r="C2951" s="7" t="s">
        <v>75</v>
      </c>
      <c r="D2951" s="9" t="s">
        <v>45</v>
      </c>
      <c r="E2951" s="9" t="s">
        <v>44</v>
      </c>
      <c r="F2951" s="5" t="n">
        <v>12</v>
      </c>
      <c r="G2951" s="10"/>
      <c r="H2951" s="11" t="str">
        <f aca="false">IFERROR(IF($D2951="Manual Review","",IF($G2951="","",IF($D2951="Direct Expiry",$G2951,EDATE($G2951,$F2951)))),"Check Date")</f>
        <v/>
      </c>
      <c r="I2951" s="12" t="str">
        <f aca="true">IF($H2951="","",IF(ISNUMBER($H2951),$H2951-TODAY(),""))</f>
        <v/>
      </c>
      <c r="J2951" s="4" t="str">
        <f aca="true">IF($D2951="Manual Review","Manual Review",IF($G2951="","No Data",IF(NOT(ISNUMBER($H2951)),"N/A",IF($H2951&lt;TODAY(),"Overdue",IF($H2951&lt;=TODAY()+30,"Due within 1 Month",IF($H2951&lt;=TODAY()+60,"Due within 2 Months","OK"))))))</f>
        <v>No Data</v>
      </c>
      <c r="K2951" s="13"/>
    </row>
    <row r="2952" customFormat="false" ht="15" hidden="false" customHeight="false" outlineLevel="0" collapsed="false">
      <c r="A2952" s="9" t="str">
        <f aca="false">Vessels!B31</f>
        <v>Vessel 27</v>
      </c>
      <c r="B2952" s="9" t="s">
        <v>42</v>
      </c>
      <c r="C2952" s="7" t="s">
        <v>76</v>
      </c>
      <c r="D2952" s="9" t="s">
        <v>59</v>
      </c>
      <c r="E2952" s="9" t="s">
        <v>58</v>
      </c>
      <c r="F2952" s="5"/>
      <c r="G2952" s="10"/>
      <c r="H2952" s="11" t="str">
        <f aca="false">IFERROR(IF($D2952="Manual Review","",IF($G2952="","",IF($D2952="Direct Expiry",$G2952,EDATE($G2952,$F2952)))),"Check Date")</f>
        <v/>
      </c>
      <c r="I2952" s="12" t="str">
        <f aca="true">IF($H2952="","",IF(ISNUMBER($H2952),$H2952-TODAY(),""))</f>
        <v/>
      </c>
      <c r="J2952" s="4" t="str">
        <f aca="true">IF($D2952="Manual Review","Manual Review",IF($G2952="","No Data",IF(NOT(ISNUMBER($H2952)),"N/A",IF($H2952&lt;TODAY(),"Overdue",IF($H2952&lt;=TODAY()+30,"Due within 1 Month",IF($H2952&lt;=TODAY()+60,"Due within 2 Months","OK"))))))</f>
        <v>No Data</v>
      </c>
      <c r="K2952" s="13"/>
    </row>
    <row r="2953" customFormat="false" ht="15" hidden="false" customHeight="false" outlineLevel="0" collapsed="false">
      <c r="A2953" s="9" t="str">
        <f aca="false">Vessels!B31</f>
        <v>Vessel 27</v>
      </c>
      <c r="B2953" s="9" t="s">
        <v>42</v>
      </c>
      <c r="C2953" s="7" t="s">
        <v>77</v>
      </c>
      <c r="D2953" s="9" t="s">
        <v>59</v>
      </c>
      <c r="E2953" s="9" t="s">
        <v>58</v>
      </c>
      <c r="F2953" s="5"/>
      <c r="G2953" s="10"/>
      <c r="H2953" s="11" t="str">
        <f aca="false">IFERROR(IF($D2953="Manual Review","",IF($G2953="","",IF($D2953="Direct Expiry",$G2953,EDATE($G2953,$F2953)))),"Check Date")</f>
        <v/>
      </c>
      <c r="I2953" s="12" t="str">
        <f aca="true">IF($H2953="","",IF(ISNUMBER($H2953),$H2953-TODAY(),""))</f>
        <v/>
      </c>
      <c r="J2953" s="4" t="str">
        <f aca="true">IF($D2953="Manual Review","Manual Review",IF($G2953="","No Data",IF(NOT(ISNUMBER($H2953)),"N/A",IF($H2953&lt;TODAY(),"Overdue",IF($H2953&lt;=TODAY()+30,"Due within 1 Month",IF($H2953&lt;=TODAY()+60,"Due within 2 Months","OK"))))))</f>
        <v>No Data</v>
      </c>
      <c r="K2953" s="13"/>
    </row>
    <row r="2954" customFormat="false" ht="15" hidden="false" customHeight="false" outlineLevel="0" collapsed="false">
      <c r="A2954" s="9" t="str">
        <f aca="false">Vessels!B31</f>
        <v>Vessel 27</v>
      </c>
      <c r="B2954" s="9" t="s">
        <v>42</v>
      </c>
      <c r="C2954" s="7" t="s">
        <v>78</v>
      </c>
      <c r="D2954" s="9" t="s">
        <v>59</v>
      </c>
      <c r="E2954" s="9" t="s">
        <v>58</v>
      </c>
      <c r="F2954" s="5"/>
      <c r="G2954" s="10"/>
      <c r="H2954" s="11" t="str">
        <f aca="false">IFERROR(IF($D2954="Manual Review","",IF($G2954="","",IF($D2954="Direct Expiry",$G2954,EDATE($G2954,$F2954)))),"Check Date")</f>
        <v/>
      </c>
      <c r="I2954" s="12" t="str">
        <f aca="true">IF($H2954="","",IF(ISNUMBER($H2954),$H2954-TODAY(),""))</f>
        <v/>
      </c>
      <c r="J2954" s="4" t="str">
        <f aca="true">IF($D2954="Manual Review","Manual Review",IF($G2954="","No Data",IF(NOT(ISNUMBER($H2954)),"N/A",IF($H2954&lt;TODAY(),"Overdue",IF($H2954&lt;=TODAY()+30,"Due within 1 Month",IF($H2954&lt;=TODAY()+60,"Due within 2 Months","OK"))))))</f>
        <v>No Data</v>
      </c>
      <c r="K2954" s="13"/>
    </row>
    <row r="2955" customFormat="false" ht="15" hidden="false" customHeight="false" outlineLevel="0" collapsed="false">
      <c r="A2955" s="9" t="str">
        <f aca="false">Vessels!B31</f>
        <v>Vessel 27</v>
      </c>
      <c r="B2955" s="9" t="s">
        <v>42</v>
      </c>
      <c r="C2955" s="7" t="s">
        <v>79</v>
      </c>
      <c r="D2955" s="9" t="s">
        <v>45</v>
      </c>
      <c r="E2955" s="9" t="s">
        <v>44</v>
      </c>
      <c r="F2955" s="5" t="n">
        <v>12</v>
      </c>
      <c r="G2955" s="10"/>
      <c r="H2955" s="11" t="str">
        <f aca="false">IFERROR(IF($D2955="Manual Review","",IF($G2955="","",IF($D2955="Direct Expiry",$G2955,EDATE($G2955,$F2955)))),"Check Date")</f>
        <v/>
      </c>
      <c r="I2955" s="12" t="str">
        <f aca="true">IF($H2955="","",IF(ISNUMBER($H2955),$H2955-TODAY(),""))</f>
        <v/>
      </c>
      <c r="J2955" s="4" t="str">
        <f aca="true">IF($D2955="Manual Review","Manual Review",IF($G2955="","No Data",IF(NOT(ISNUMBER($H2955)),"N/A",IF($H2955&lt;TODAY(),"Overdue",IF($H2955&lt;=TODAY()+30,"Due within 1 Month",IF($H2955&lt;=TODAY()+60,"Due within 2 Months","OK"))))))</f>
        <v>No Data</v>
      </c>
      <c r="K2955" s="13"/>
    </row>
    <row r="2956" customFormat="false" ht="15" hidden="false" customHeight="false" outlineLevel="0" collapsed="false">
      <c r="A2956" s="9" t="str">
        <f aca="false">Vessels!B31</f>
        <v>Vessel 27</v>
      </c>
      <c r="B2956" s="9" t="s">
        <v>42</v>
      </c>
      <c r="C2956" s="7" t="s">
        <v>80</v>
      </c>
      <c r="D2956" s="9" t="s">
        <v>45</v>
      </c>
      <c r="E2956" s="9" t="s">
        <v>81</v>
      </c>
      <c r="F2956" s="5" t="n">
        <v>36</v>
      </c>
      <c r="G2956" s="10"/>
      <c r="H2956" s="11" t="str">
        <f aca="false">IFERROR(IF($D2956="Manual Review","",IF($G2956="","",IF($D2956="Direct Expiry",$G2956,EDATE($G2956,$F2956)))),"Check Date")</f>
        <v/>
      </c>
      <c r="I2956" s="12" t="str">
        <f aca="true">IF($H2956="","",IF(ISNUMBER($H2956),$H2956-TODAY(),""))</f>
        <v/>
      </c>
      <c r="J2956" s="4" t="str">
        <f aca="true">IF($D2956="Manual Review","Manual Review",IF($G2956="","No Data",IF(NOT(ISNUMBER($H2956)),"N/A",IF($H2956&lt;TODAY(),"Overdue",IF($H2956&lt;=TODAY()+30,"Due within 1 Month",IF($H2956&lt;=TODAY()+60,"Due within 2 Months","OK"))))))</f>
        <v>No Data</v>
      </c>
      <c r="K2956" s="13"/>
    </row>
    <row r="2957" customFormat="false" ht="15" hidden="false" customHeight="false" outlineLevel="0" collapsed="false">
      <c r="A2957" s="9" t="str">
        <f aca="false">Vessels!B31</f>
        <v>Vessel 27</v>
      </c>
      <c r="B2957" s="9" t="s">
        <v>42</v>
      </c>
      <c r="C2957" s="7" t="s">
        <v>80</v>
      </c>
      <c r="D2957" s="9" t="s">
        <v>45</v>
      </c>
      <c r="E2957" s="9" t="s">
        <v>82</v>
      </c>
      <c r="F2957" s="5" t="n">
        <v>24</v>
      </c>
      <c r="G2957" s="10"/>
      <c r="H2957" s="11" t="str">
        <f aca="false">IFERROR(IF($D2957="Manual Review","",IF($G2957="","",IF($D2957="Direct Expiry",$G2957,EDATE($G2957,$F2957)))),"Check Date")</f>
        <v/>
      </c>
      <c r="I2957" s="12" t="str">
        <f aca="true">IF($H2957="","",IF(ISNUMBER($H2957),$H2957-TODAY(),""))</f>
        <v/>
      </c>
      <c r="J2957" s="4" t="str">
        <f aca="true">IF($D2957="Manual Review","Manual Review",IF($G2957="","No Data",IF(NOT(ISNUMBER($H2957)),"N/A",IF($H2957&lt;TODAY(),"Overdue",IF($H2957&lt;=TODAY()+30,"Due within 1 Month",IF($H2957&lt;=TODAY()+60,"Due within 2 Months","OK"))))))</f>
        <v>No Data</v>
      </c>
      <c r="K2957" s="13"/>
    </row>
    <row r="2958" customFormat="false" ht="15" hidden="false" customHeight="false" outlineLevel="0" collapsed="false">
      <c r="A2958" s="9" t="str">
        <f aca="false">Vessels!B31</f>
        <v>Vessel 27</v>
      </c>
      <c r="B2958" s="9" t="s">
        <v>42</v>
      </c>
      <c r="C2958" s="7" t="s">
        <v>83</v>
      </c>
      <c r="D2958" s="9" t="s">
        <v>45</v>
      </c>
      <c r="E2958" s="9" t="s">
        <v>44</v>
      </c>
      <c r="F2958" s="5" t="n">
        <v>12</v>
      </c>
      <c r="G2958" s="10"/>
      <c r="H2958" s="11" t="str">
        <f aca="false">IFERROR(IF($D2958="Manual Review","",IF($G2958="","",IF($D2958="Direct Expiry",$G2958,EDATE($G2958,$F2958)))),"Check Date")</f>
        <v/>
      </c>
      <c r="I2958" s="12" t="str">
        <f aca="true">IF($H2958="","",IF(ISNUMBER($H2958),$H2958-TODAY(),""))</f>
        <v/>
      </c>
      <c r="J2958" s="4" t="str">
        <f aca="true">IF($D2958="Manual Review","Manual Review",IF($G2958="","No Data",IF(NOT(ISNUMBER($H2958)),"N/A",IF($H2958&lt;TODAY(),"Overdue",IF($H2958&lt;=TODAY()+30,"Due within 1 Month",IF($H2958&lt;=TODAY()+60,"Due within 2 Months","OK"))))))</f>
        <v>No Data</v>
      </c>
      <c r="K2958" s="13"/>
    </row>
    <row r="2959" customFormat="false" ht="15" hidden="false" customHeight="false" outlineLevel="0" collapsed="false">
      <c r="A2959" s="9" t="str">
        <f aca="false">Vessels!B31</f>
        <v>Vessel 27</v>
      </c>
      <c r="B2959" s="9" t="s">
        <v>42</v>
      </c>
      <c r="C2959" s="7" t="s">
        <v>83</v>
      </c>
      <c r="D2959" s="9" t="s">
        <v>45</v>
      </c>
      <c r="E2959" s="9" t="s">
        <v>84</v>
      </c>
      <c r="F2959" s="5" t="n">
        <v>60</v>
      </c>
      <c r="G2959" s="10"/>
      <c r="H2959" s="11" t="str">
        <f aca="false">IFERROR(IF($D2959="Manual Review","",IF($G2959="","",IF($D2959="Direct Expiry",$G2959,EDATE($G2959,$F2959)))),"Check Date")</f>
        <v/>
      </c>
      <c r="I2959" s="12" t="str">
        <f aca="true">IF($H2959="","",IF(ISNUMBER($H2959),$H2959-TODAY(),""))</f>
        <v/>
      </c>
      <c r="J2959" s="4" t="str">
        <f aca="true">IF($D2959="Manual Review","Manual Review",IF($G2959="","No Data",IF(NOT(ISNUMBER($H2959)),"N/A",IF($H2959&lt;TODAY(),"Overdue",IF($H2959&lt;=TODAY()+30,"Due within 1 Month",IF($H2959&lt;=TODAY()+60,"Due within 2 Months","OK"))))))</f>
        <v>No Data</v>
      </c>
      <c r="K2959" s="13"/>
    </row>
    <row r="2960" customFormat="false" ht="15" hidden="false" customHeight="false" outlineLevel="0" collapsed="false">
      <c r="A2960" s="9" t="str">
        <f aca="false">Vessels!B31</f>
        <v>Vessel 27</v>
      </c>
      <c r="B2960" s="9" t="s">
        <v>42</v>
      </c>
      <c r="C2960" s="7" t="s">
        <v>85</v>
      </c>
      <c r="D2960" s="9" t="s">
        <v>45</v>
      </c>
      <c r="E2960" s="9" t="s">
        <v>44</v>
      </c>
      <c r="F2960" s="5" t="n">
        <v>12</v>
      </c>
      <c r="G2960" s="10"/>
      <c r="H2960" s="11" t="str">
        <f aca="false">IFERROR(IF($D2960="Manual Review","",IF($G2960="","",IF($D2960="Direct Expiry",$G2960,EDATE($G2960,$F2960)))),"Check Date")</f>
        <v/>
      </c>
      <c r="I2960" s="12" t="str">
        <f aca="true">IF($H2960="","",IF(ISNUMBER($H2960),$H2960-TODAY(),""))</f>
        <v/>
      </c>
      <c r="J2960" s="4" t="str">
        <f aca="true">IF($D2960="Manual Review","Manual Review",IF($G2960="","No Data",IF(NOT(ISNUMBER($H2960)),"N/A",IF($H2960&lt;TODAY(),"Overdue",IF($H2960&lt;=TODAY()+30,"Due within 1 Month",IF($H2960&lt;=TODAY()+60,"Due within 2 Months","OK"))))))</f>
        <v>No Data</v>
      </c>
      <c r="K2960" s="13"/>
    </row>
    <row r="2961" customFormat="false" ht="15" hidden="false" customHeight="false" outlineLevel="0" collapsed="false">
      <c r="A2961" s="9" t="str">
        <f aca="false">Vessels!B31</f>
        <v>Vessel 27</v>
      </c>
      <c r="B2961" s="9" t="s">
        <v>42</v>
      </c>
      <c r="C2961" s="7" t="s">
        <v>85</v>
      </c>
      <c r="D2961" s="9" t="s">
        <v>45</v>
      </c>
      <c r="E2961" s="9" t="s">
        <v>84</v>
      </c>
      <c r="F2961" s="5" t="n">
        <v>60</v>
      </c>
      <c r="G2961" s="10"/>
      <c r="H2961" s="11" t="str">
        <f aca="false">IFERROR(IF($D2961="Manual Review","",IF($G2961="","",IF($D2961="Direct Expiry",$G2961,EDATE($G2961,$F2961)))),"Check Date")</f>
        <v/>
      </c>
      <c r="I2961" s="12" t="str">
        <f aca="true">IF($H2961="","",IF(ISNUMBER($H2961),$H2961-TODAY(),""))</f>
        <v/>
      </c>
      <c r="J2961" s="4" t="str">
        <f aca="true">IF($D2961="Manual Review","Manual Review",IF($G2961="","No Data",IF(NOT(ISNUMBER($H2961)),"N/A",IF($H2961&lt;TODAY(),"Overdue",IF($H2961&lt;=TODAY()+30,"Due within 1 Month",IF($H2961&lt;=TODAY()+60,"Due within 2 Months","OK"))))))</f>
        <v>No Data</v>
      </c>
      <c r="K2961" s="13"/>
    </row>
    <row r="2962" customFormat="false" ht="15" hidden="false" customHeight="false" outlineLevel="0" collapsed="false">
      <c r="A2962" s="9" t="str">
        <f aca="false">Vessels!B31</f>
        <v>Vessel 27</v>
      </c>
      <c r="B2962" s="9" t="s">
        <v>42</v>
      </c>
      <c r="C2962" s="7" t="s">
        <v>86</v>
      </c>
      <c r="D2962" s="9" t="s">
        <v>45</v>
      </c>
      <c r="E2962" s="9" t="s">
        <v>44</v>
      </c>
      <c r="F2962" s="5" t="n">
        <v>12</v>
      </c>
      <c r="G2962" s="10"/>
      <c r="H2962" s="11" t="str">
        <f aca="false">IFERROR(IF($D2962="Manual Review","",IF($G2962="","",IF($D2962="Direct Expiry",$G2962,EDATE($G2962,$F2962)))),"Check Date")</f>
        <v/>
      </c>
      <c r="I2962" s="12" t="str">
        <f aca="true">IF($H2962="","",IF(ISNUMBER($H2962),$H2962-TODAY(),""))</f>
        <v/>
      </c>
      <c r="J2962" s="4" t="str">
        <f aca="true">IF($D2962="Manual Review","Manual Review",IF($G2962="","No Data",IF(NOT(ISNUMBER($H2962)),"N/A",IF($H2962&lt;TODAY(),"Overdue",IF($H2962&lt;=TODAY()+30,"Due within 1 Month",IF($H2962&lt;=TODAY()+60,"Due within 2 Months","OK"))))))</f>
        <v>No Data</v>
      </c>
      <c r="K2962" s="13"/>
    </row>
    <row r="2963" customFormat="false" ht="15" hidden="false" customHeight="false" outlineLevel="0" collapsed="false">
      <c r="A2963" s="9" t="str">
        <f aca="false">Vessels!B31</f>
        <v>Vessel 27</v>
      </c>
      <c r="B2963" s="9" t="s">
        <v>42</v>
      </c>
      <c r="C2963" s="7" t="s">
        <v>87</v>
      </c>
      <c r="D2963" s="9" t="s">
        <v>45</v>
      </c>
      <c r="E2963" s="9" t="s">
        <v>44</v>
      </c>
      <c r="F2963" s="5" t="n">
        <v>12</v>
      </c>
      <c r="G2963" s="10"/>
      <c r="H2963" s="11" t="str">
        <f aca="false">IFERROR(IF($D2963="Manual Review","",IF($G2963="","",IF($D2963="Direct Expiry",$G2963,EDATE($G2963,$F2963)))),"Check Date")</f>
        <v/>
      </c>
      <c r="I2963" s="12" t="str">
        <f aca="true">IF($H2963="","",IF(ISNUMBER($H2963),$H2963-TODAY(),""))</f>
        <v/>
      </c>
      <c r="J2963" s="4" t="str">
        <f aca="true">IF($D2963="Manual Review","Manual Review",IF($G2963="","No Data",IF(NOT(ISNUMBER($H2963)),"N/A",IF($H2963&lt;TODAY(),"Overdue",IF($H2963&lt;=TODAY()+30,"Due within 1 Month",IF($H2963&lt;=TODAY()+60,"Due within 2 Months","OK"))))))</f>
        <v>No Data</v>
      </c>
      <c r="K2963" s="13"/>
    </row>
    <row r="2964" customFormat="false" ht="15" hidden="false" customHeight="false" outlineLevel="0" collapsed="false">
      <c r="A2964" s="9" t="str">
        <f aca="false">Vessels!B31</f>
        <v>Vessel 27</v>
      </c>
      <c r="B2964" s="9" t="s">
        <v>88</v>
      </c>
      <c r="C2964" s="7" t="s">
        <v>89</v>
      </c>
      <c r="D2964" s="9" t="s">
        <v>45</v>
      </c>
      <c r="E2964" s="9" t="s">
        <v>90</v>
      </c>
      <c r="F2964" s="5" t="n">
        <v>36</v>
      </c>
      <c r="G2964" s="10"/>
      <c r="H2964" s="11" t="str">
        <f aca="false">IFERROR(IF($D2964="Manual Review","",IF($G2964="","",IF($D2964="Direct Expiry",$G2964,EDATE($G2964,$F2964)))),"Check Date")</f>
        <v/>
      </c>
      <c r="I2964" s="12" t="str">
        <f aca="true">IF($H2964="","",IF(ISNUMBER($H2964),$H2964-TODAY(),""))</f>
        <v/>
      </c>
      <c r="J2964" s="4" t="str">
        <f aca="true">IF($D2964="Manual Review","Manual Review",IF($G2964="","No Data",IF(NOT(ISNUMBER($H2964)),"N/A",IF($H2964&lt;TODAY(),"Overdue",IF($H2964&lt;=TODAY()+30,"Due within 1 Month",IF($H2964&lt;=TODAY()+60,"Due within 2 Months","OK"))))))</f>
        <v>No Data</v>
      </c>
      <c r="K2964" s="13"/>
    </row>
    <row r="2965" customFormat="false" ht="15" hidden="false" customHeight="false" outlineLevel="0" collapsed="false">
      <c r="A2965" s="9" t="str">
        <f aca="false">Vessels!B31</f>
        <v>Vessel 27</v>
      </c>
      <c r="B2965" s="9" t="s">
        <v>88</v>
      </c>
      <c r="C2965" s="7" t="s">
        <v>91</v>
      </c>
      <c r="D2965" s="9" t="s">
        <v>45</v>
      </c>
      <c r="E2965" s="9" t="s">
        <v>44</v>
      </c>
      <c r="F2965" s="5" t="n">
        <v>12</v>
      </c>
      <c r="G2965" s="10"/>
      <c r="H2965" s="11" t="str">
        <f aca="false">IFERROR(IF($D2965="Manual Review","",IF($G2965="","",IF($D2965="Direct Expiry",$G2965,EDATE($G2965,$F2965)))),"Check Date")</f>
        <v/>
      </c>
      <c r="I2965" s="12" t="str">
        <f aca="true">IF($H2965="","",IF(ISNUMBER($H2965),$H2965-TODAY(),""))</f>
        <v/>
      </c>
      <c r="J2965" s="4" t="str">
        <f aca="true">IF($D2965="Manual Review","Manual Review",IF($G2965="","No Data",IF(NOT(ISNUMBER($H2965)),"N/A",IF($H2965&lt;TODAY(),"Overdue",IF($H2965&lt;=TODAY()+30,"Due within 1 Month",IF($H2965&lt;=TODAY()+60,"Due within 2 Months","OK"))))))</f>
        <v>No Data</v>
      </c>
      <c r="K2965" s="13"/>
    </row>
    <row r="2966" customFormat="false" ht="15" hidden="false" customHeight="false" outlineLevel="0" collapsed="false">
      <c r="A2966" s="9" t="str">
        <f aca="false">Vessels!B31</f>
        <v>Vessel 27</v>
      </c>
      <c r="B2966" s="9" t="s">
        <v>88</v>
      </c>
      <c r="C2966" s="7" t="s">
        <v>91</v>
      </c>
      <c r="D2966" s="9" t="s">
        <v>45</v>
      </c>
      <c r="E2966" s="9" t="s">
        <v>92</v>
      </c>
      <c r="F2966" s="5" t="n">
        <v>120</v>
      </c>
      <c r="G2966" s="10"/>
      <c r="H2966" s="11" t="str">
        <f aca="false">IFERROR(IF($D2966="Manual Review","",IF($G2966="","",IF($D2966="Direct Expiry",$G2966,EDATE($G2966,$F2966)))),"Check Date")</f>
        <v/>
      </c>
      <c r="I2966" s="12" t="str">
        <f aca="true">IF($H2966="","",IF(ISNUMBER($H2966),$H2966-TODAY(),""))</f>
        <v/>
      </c>
      <c r="J2966" s="4" t="str">
        <f aca="true">IF($D2966="Manual Review","Manual Review",IF($G2966="","No Data",IF(NOT(ISNUMBER($H2966)),"N/A",IF($H2966&lt;TODAY(),"Overdue",IF($H2966&lt;=TODAY()+30,"Due within 1 Month",IF($H2966&lt;=TODAY()+60,"Due within 2 Months","OK"))))))</f>
        <v>No Data</v>
      </c>
      <c r="K2966" s="13"/>
    </row>
    <row r="2967" customFormat="false" ht="15" hidden="false" customHeight="false" outlineLevel="0" collapsed="false">
      <c r="A2967" s="9" t="str">
        <f aca="false">Vessels!B31</f>
        <v>Vessel 27</v>
      </c>
      <c r="B2967" s="9" t="s">
        <v>88</v>
      </c>
      <c r="C2967" s="7" t="s">
        <v>93</v>
      </c>
      <c r="D2967" s="9" t="s">
        <v>45</v>
      </c>
      <c r="E2967" s="9" t="s">
        <v>44</v>
      </c>
      <c r="F2967" s="5" t="n">
        <v>12</v>
      </c>
      <c r="G2967" s="10"/>
      <c r="H2967" s="11" t="str">
        <f aca="false">IFERROR(IF($D2967="Manual Review","",IF($G2967="","",IF($D2967="Direct Expiry",$G2967,EDATE($G2967,$F2967)))),"Check Date")</f>
        <v/>
      </c>
      <c r="I2967" s="12" t="str">
        <f aca="true">IF($H2967="","",IF(ISNUMBER($H2967),$H2967-TODAY(),""))</f>
        <v/>
      </c>
      <c r="J2967" s="4" t="str">
        <f aca="true">IF($D2967="Manual Review","Manual Review",IF($G2967="","No Data",IF(NOT(ISNUMBER($H2967)),"N/A",IF($H2967&lt;TODAY(),"Overdue",IF($H2967&lt;=TODAY()+30,"Due within 1 Month",IF($H2967&lt;=TODAY()+60,"Due within 2 Months","OK"))))))</f>
        <v>No Data</v>
      </c>
      <c r="K2967" s="13"/>
    </row>
    <row r="2968" customFormat="false" ht="15" hidden="false" customHeight="false" outlineLevel="0" collapsed="false">
      <c r="A2968" s="9" t="str">
        <f aca="false">Vessels!B31</f>
        <v>Vessel 27</v>
      </c>
      <c r="B2968" s="9" t="s">
        <v>88</v>
      </c>
      <c r="C2968" s="7" t="s">
        <v>93</v>
      </c>
      <c r="D2968" s="9" t="s">
        <v>45</v>
      </c>
      <c r="E2968" s="9" t="s">
        <v>92</v>
      </c>
      <c r="F2968" s="5" t="n">
        <v>120</v>
      </c>
      <c r="G2968" s="10"/>
      <c r="H2968" s="11" t="str">
        <f aca="false">IFERROR(IF($D2968="Manual Review","",IF($G2968="","",IF($D2968="Direct Expiry",$G2968,EDATE($G2968,$F2968)))),"Check Date")</f>
        <v/>
      </c>
      <c r="I2968" s="12" t="str">
        <f aca="true">IF($H2968="","",IF(ISNUMBER($H2968),$H2968-TODAY(),""))</f>
        <v/>
      </c>
      <c r="J2968" s="4" t="str">
        <f aca="true">IF($D2968="Manual Review","Manual Review",IF($G2968="","No Data",IF(NOT(ISNUMBER($H2968)),"N/A",IF($H2968&lt;TODAY(),"Overdue",IF($H2968&lt;=TODAY()+30,"Due within 1 Month",IF($H2968&lt;=TODAY()+60,"Due within 2 Months","OK"))))))</f>
        <v>No Data</v>
      </c>
      <c r="K2968" s="13"/>
    </row>
    <row r="2969" customFormat="false" ht="15" hidden="false" customHeight="false" outlineLevel="0" collapsed="false">
      <c r="A2969" s="9" t="str">
        <f aca="false">Vessels!B31</f>
        <v>Vessel 27</v>
      </c>
      <c r="B2969" s="9" t="s">
        <v>88</v>
      </c>
      <c r="C2969" s="7" t="s">
        <v>94</v>
      </c>
      <c r="D2969" s="9" t="s">
        <v>45</v>
      </c>
      <c r="E2969" s="9" t="s">
        <v>44</v>
      </c>
      <c r="F2969" s="5" t="n">
        <v>12</v>
      </c>
      <c r="G2969" s="10"/>
      <c r="H2969" s="11" t="str">
        <f aca="false">IFERROR(IF($D2969="Manual Review","",IF($G2969="","",IF($D2969="Direct Expiry",$G2969,EDATE($G2969,$F2969)))),"Check Date")</f>
        <v/>
      </c>
      <c r="I2969" s="12" t="str">
        <f aca="true">IF($H2969="","",IF(ISNUMBER($H2969),$H2969-TODAY(),""))</f>
        <v/>
      </c>
      <c r="J2969" s="4" t="str">
        <f aca="true">IF($D2969="Manual Review","Manual Review",IF($G2969="","No Data",IF(NOT(ISNUMBER($H2969)),"N/A",IF($H2969&lt;TODAY(),"Overdue",IF($H2969&lt;=TODAY()+30,"Due within 1 Month",IF($H2969&lt;=TODAY()+60,"Due within 2 Months","OK"))))))</f>
        <v>No Data</v>
      </c>
      <c r="K2969" s="13"/>
    </row>
    <row r="2970" customFormat="false" ht="15" hidden="false" customHeight="false" outlineLevel="0" collapsed="false">
      <c r="A2970" s="9" t="str">
        <f aca="false">Vessels!B31</f>
        <v>Vessel 27</v>
      </c>
      <c r="B2970" s="9" t="s">
        <v>88</v>
      </c>
      <c r="C2970" s="7" t="s">
        <v>94</v>
      </c>
      <c r="D2970" s="9" t="s">
        <v>45</v>
      </c>
      <c r="E2970" s="9" t="s">
        <v>92</v>
      </c>
      <c r="F2970" s="5" t="n">
        <v>120</v>
      </c>
      <c r="G2970" s="10"/>
      <c r="H2970" s="11" t="str">
        <f aca="false">IFERROR(IF($D2970="Manual Review","",IF($G2970="","",IF($D2970="Direct Expiry",$G2970,EDATE($G2970,$F2970)))),"Check Date")</f>
        <v/>
      </c>
      <c r="I2970" s="12" t="str">
        <f aca="true">IF($H2970="","",IF(ISNUMBER($H2970),$H2970-TODAY(),""))</f>
        <v/>
      </c>
      <c r="J2970" s="4" t="str">
        <f aca="true">IF($D2970="Manual Review","Manual Review",IF($G2970="","No Data",IF(NOT(ISNUMBER($H2970)),"N/A",IF($H2970&lt;TODAY(),"Overdue",IF($H2970&lt;=TODAY()+30,"Due within 1 Month",IF($H2970&lt;=TODAY()+60,"Due within 2 Months","OK"))))))</f>
        <v>No Data</v>
      </c>
      <c r="K2970" s="13"/>
    </row>
    <row r="2971" customFormat="false" ht="15" hidden="false" customHeight="false" outlineLevel="0" collapsed="false">
      <c r="A2971" s="9" t="str">
        <f aca="false">Vessels!B31</f>
        <v>Vessel 27</v>
      </c>
      <c r="B2971" s="9" t="s">
        <v>88</v>
      </c>
      <c r="C2971" s="7" t="s">
        <v>95</v>
      </c>
      <c r="D2971" s="9" t="s">
        <v>45</v>
      </c>
      <c r="E2971" s="9" t="s">
        <v>44</v>
      </c>
      <c r="F2971" s="5" t="n">
        <v>12</v>
      </c>
      <c r="G2971" s="10"/>
      <c r="H2971" s="11" t="str">
        <f aca="false">IFERROR(IF($D2971="Manual Review","",IF($G2971="","",IF($D2971="Direct Expiry",$G2971,EDATE($G2971,$F2971)))),"Check Date")</f>
        <v/>
      </c>
      <c r="I2971" s="12" t="str">
        <f aca="true">IF($H2971="","",IF(ISNUMBER($H2971),$H2971-TODAY(),""))</f>
        <v/>
      </c>
      <c r="J2971" s="4" t="str">
        <f aca="true">IF($D2971="Manual Review","Manual Review",IF($G2971="","No Data",IF(NOT(ISNUMBER($H2971)),"N/A",IF($H2971&lt;TODAY(),"Overdue",IF($H2971&lt;=TODAY()+30,"Due within 1 Month",IF($H2971&lt;=TODAY()+60,"Due within 2 Months","OK"))))))</f>
        <v>No Data</v>
      </c>
      <c r="K2971" s="13"/>
    </row>
    <row r="2972" customFormat="false" ht="15" hidden="false" customHeight="false" outlineLevel="0" collapsed="false">
      <c r="A2972" s="9" t="str">
        <f aca="false">Vessels!B31</f>
        <v>Vessel 27</v>
      </c>
      <c r="B2972" s="9" t="s">
        <v>88</v>
      </c>
      <c r="C2972" s="7" t="s">
        <v>95</v>
      </c>
      <c r="D2972" s="9" t="s">
        <v>45</v>
      </c>
      <c r="E2972" s="9" t="s">
        <v>92</v>
      </c>
      <c r="F2972" s="5" t="n">
        <v>120</v>
      </c>
      <c r="G2972" s="10"/>
      <c r="H2972" s="11" t="str">
        <f aca="false">IFERROR(IF($D2972="Manual Review","",IF($G2972="","",IF($D2972="Direct Expiry",$G2972,EDATE($G2972,$F2972)))),"Check Date")</f>
        <v/>
      </c>
      <c r="I2972" s="12" t="str">
        <f aca="true">IF($H2972="","",IF(ISNUMBER($H2972),$H2972-TODAY(),""))</f>
        <v/>
      </c>
      <c r="J2972" s="4" t="str">
        <f aca="true">IF($D2972="Manual Review","Manual Review",IF($G2972="","No Data",IF(NOT(ISNUMBER($H2972)),"N/A",IF($H2972&lt;TODAY(),"Overdue",IF($H2972&lt;=TODAY()+30,"Due within 1 Month",IF($H2972&lt;=TODAY()+60,"Due within 2 Months","OK"))))))</f>
        <v>No Data</v>
      </c>
      <c r="K2972" s="13"/>
    </row>
    <row r="2973" customFormat="false" ht="15" hidden="false" customHeight="false" outlineLevel="0" collapsed="false">
      <c r="A2973" s="9" t="str">
        <f aca="false">Vessels!B31</f>
        <v>Vessel 27</v>
      </c>
      <c r="B2973" s="9" t="s">
        <v>88</v>
      </c>
      <c r="C2973" s="7" t="s">
        <v>96</v>
      </c>
      <c r="D2973" s="9" t="s">
        <v>45</v>
      </c>
      <c r="E2973" s="9" t="s">
        <v>44</v>
      </c>
      <c r="F2973" s="5" t="n">
        <v>12</v>
      </c>
      <c r="G2973" s="10"/>
      <c r="H2973" s="11" t="str">
        <f aca="false">IFERROR(IF($D2973="Manual Review","",IF($G2973="","",IF($D2973="Direct Expiry",$G2973,EDATE($G2973,$F2973)))),"Check Date")</f>
        <v/>
      </c>
      <c r="I2973" s="12" t="str">
        <f aca="true">IF($H2973="","",IF(ISNUMBER($H2973),$H2973-TODAY(),""))</f>
        <v/>
      </c>
      <c r="J2973" s="4" t="str">
        <f aca="true">IF($D2973="Manual Review","Manual Review",IF($G2973="","No Data",IF(NOT(ISNUMBER($H2973)),"N/A",IF($H2973&lt;TODAY(),"Overdue",IF($H2973&lt;=TODAY()+30,"Due within 1 Month",IF($H2973&lt;=TODAY()+60,"Due within 2 Months","OK"))))))</f>
        <v>No Data</v>
      </c>
      <c r="K2973" s="13"/>
    </row>
    <row r="2974" customFormat="false" ht="15" hidden="false" customHeight="false" outlineLevel="0" collapsed="false">
      <c r="A2974" s="9" t="str">
        <f aca="false">Vessels!B31</f>
        <v>Vessel 27</v>
      </c>
      <c r="B2974" s="9" t="s">
        <v>88</v>
      </c>
      <c r="C2974" s="7" t="s">
        <v>96</v>
      </c>
      <c r="D2974" s="9" t="s">
        <v>45</v>
      </c>
      <c r="E2974" s="9" t="s">
        <v>97</v>
      </c>
      <c r="F2974" s="5" t="n">
        <v>120</v>
      </c>
      <c r="G2974" s="10"/>
      <c r="H2974" s="11" t="str">
        <f aca="false">IFERROR(IF($D2974="Manual Review","",IF($G2974="","",IF($D2974="Direct Expiry",$G2974,EDATE($G2974,$F2974)))),"Check Date")</f>
        <v/>
      </c>
      <c r="I2974" s="12" t="str">
        <f aca="true">IF($H2974="","",IF(ISNUMBER($H2974),$H2974-TODAY(),""))</f>
        <v/>
      </c>
      <c r="J2974" s="4" t="str">
        <f aca="true">IF($D2974="Manual Review","Manual Review",IF($G2974="","No Data",IF(NOT(ISNUMBER($H2974)),"N/A",IF($H2974&lt;TODAY(),"Overdue",IF($H2974&lt;=TODAY()+30,"Due within 1 Month",IF($H2974&lt;=TODAY()+60,"Due within 2 Months","OK"))))))</f>
        <v>No Data</v>
      </c>
      <c r="K2974" s="13"/>
    </row>
    <row r="2975" customFormat="false" ht="15" hidden="false" customHeight="false" outlineLevel="0" collapsed="false">
      <c r="A2975" s="9" t="str">
        <f aca="false">Vessels!B31</f>
        <v>Vessel 27</v>
      </c>
      <c r="B2975" s="9" t="s">
        <v>88</v>
      </c>
      <c r="C2975" s="7" t="s">
        <v>98</v>
      </c>
      <c r="D2975" s="9" t="s">
        <v>45</v>
      </c>
      <c r="E2975" s="9" t="s">
        <v>44</v>
      </c>
      <c r="F2975" s="5" t="n">
        <v>12</v>
      </c>
      <c r="G2975" s="10"/>
      <c r="H2975" s="11" t="str">
        <f aca="false">IFERROR(IF($D2975="Manual Review","",IF($G2975="","",IF($D2975="Direct Expiry",$G2975,EDATE($G2975,$F2975)))),"Check Date")</f>
        <v/>
      </c>
      <c r="I2975" s="12" t="str">
        <f aca="true">IF($H2975="","",IF(ISNUMBER($H2975),$H2975-TODAY(),""))</f>
        <v/>
      </c>
      <c r="J2975" s="4" t="str">
        <f aca="true">IF($D2975="Manual Review","Manual Review",IF($G2975="","No Data",IF(NOT(ISNUMBER($H2975)),"N/A",IF($H2975&lt;TODAY(),"Overdue",IF($H2975&lt;=TODAY()+30,"Due within 1 Month",IF($H2975&lt;=TODAY()+60,"Due within 2 Months","OK"))))))</f>
        <v>No Data</v>
      </c>
      <c r="K2975" s="13"/>
    </row>
    <row r="2976" customFormat="false" ht="15" hidden="false" customHeight="false" outlineLevel="0" collapsed="false">
      <c r="A2976" s="9" t="str">
        <f aca="false">Vessels!B31</f>
        <v>Vessel 27</v>
      </c>
      <c r="B2976" s="9" t="s">
        <v>88</v>
      </c>
      <c r="C2976" s="7" t="s">
        <v>98</v>
      </c>
      <c r="D2976" s="9" t="s">
        <v>45</v>
      </c>
      <c r="E2976" s="9" t="s">
        <v>99</v>
      </c>
      <c r="F2976" s="5" t="n">
        <v>60</v>
      </c>
      <c r="G2976" s="10"/>
      <c r="H2976" s="11" t="str">
        <f aca="false">IFERROR(IF($D2976="Manual Review","",IF($G2976="","",IF($D2976="Direct Expiry",$G2976,EDATE($G2976,$F2976)))),"Check Date")</f>
        <v/>
      </c>
      <c r="I2976" s="12" t="str">
        <f aca="true">IF($H2976="","",IF(ISNUMBER($H2976),$H2976-TODAY(),""))</f>
        <v/>
      </c>
      <c r="J2976" s="4" t="str">
        <f aca="true">IF($D2976="Manual Review","Manual Review",IF($G2976="","No Data",IF(NOT(ISNUMBER($H2976)),"N/A",IF($H2976&lt;TODAY(),"Overdue",IF($H2976&lt;=TODAY()+30,"Due within 1 Month",IF($H2976&lt;=TODAY()+60,"Due within 2 Months","OK"))))))</f>
        <v>No Data</v>
      </c>
      <c r="K2976" s="13"/>
    </row>
    <row r="2977" customFormat="false" ht="15" hidden="false" customHeight="false" outlineLevel="0" collapsed="false">
      <c r="A2977" s="9" t="str">
        <f aca="false">Vessels!B31</f>
        <v>Vessel 27</v>
      </c>
      <c r="B2977" s="9" t="s">
        <v>88</v>
      </c>
      <c r="C2977" s="7" t="s">
        <v>100</v>
      </c>
      <c r="D2977" s="9" t="s">
        <v>45</v>
      </c>
      <c r="E2977" s="9" t="s">
        <v>44</v>
      </c>
      <c r="F2977" s="5" t="n">
        <v>12</v>
      </c>
      <c r="G2977" s="10"/>
      <c r="H2977" s="11" t="str">
        <f aca="false">IFERROR(IF($D2977="Manual Review","",IF($G2977="","",IF($D2977="Direct Expiry",$G2977,EDATE($G2977,$F2977)))),"Check Date")</f>
        <v/>
      </c>
      <c r="I2977" s="12" t="str">
        <f aca="true">IF($H2977="","",IF(ISNUMBER($H2977),$H2977-TODAY(),""))</f>
        <v/>
      </c>
      <c r="J2977" s="4" t="str">
        <f aca="true">IF($D2977="Manual Review","Manual Review",IF($G2977="","No Data",IF(NOT(ISNUMBER($H2977)),"N/A",IF($H2977&lt;TODAY(),"Overdue",IF($H2977&lt;=TODAY()+30,"Due within 1 Month",IF($H2977&lt;=TODAY()+60,"Due within 2 Months","OK"))))))</f>
        <v>No Data</v>
      </c>
      <c r="K2977" s="13"/>
    </row>
    <row r="2978" customFormat="false" ht="15" hidden="false" customHeight="false" outlineLevel="0" collapsed="false">
      <c r="A2978" s="9" t="str">
        <f aca="false">Vessels!B31</f>
        <v>Vessel 27</v>
      </c>
      <c r="B2978" s="9" t="s">
        <v>88</v>
      </c>
      <c r="C2978" s="7" t="s">
        <v>100</v>
      </c>
      <c r="D2978" s="9" t="s">
        <v>45</v>
      </c>
      <c r="E2978" s="9" t="s">
        <v>99</v>
      </c>
      <c r="F2978" s="5" t="n">
        <v>60</v>
      </c>
      <c r="G2978" s="10"/>
      <c r="H2978" s="11" t="str">
        <f aca="false">IFERROR(IF($D2978="Manual Review","",IF($G2978="","",IF($D2978="Direct Expiry",$G2978,EDATE($G2978,$F2978)))),"Check Date")</f>
        <v/>
      </c>
      <c r="I2978" s="12" t="str">
        <f aca="true">IF($H2978="","",IF(ISNUMBER($H2978),$H2978-TODAY(),""))</f>
        <v/>
      </c>
      <c r="J2978" s="4" t="str">
        <f aca="true">IF($D2978="Manual Review","Manual Review",IF($G2978="","No Data",IF(NOT(ISNUMBER($H2978)),"N/A",IF($H2978&lt;TODAY(),"Overdue",IF($H2978&lt;=TODAY()+30,"Due within 1 Month",IF($H2978&lt;=TODAY()+60,"Due within 2 Months","OK"))))))</f>
        <v>No Data</v>
      </c>
      <c r="K2978" s="13"/>
    </row>
    <row r="2979" customFormat="false" ht="15" hidden="false" customHeight="false" outlineLevel="0" collapsed="false">
      <c r="A2979" s="9" t="str">
        <f aca="false">Vessels!B31</f>
        <v>Vessel 27</v>
      </c>
      <c r="B2979" s="9" t="s">
        <v>88</v>
      </c>
      <c r="C2979" s="7" t="s">
        <v>101</v>
      </c>
      <c r="D2979" s="9" t="s">
        <v>45</v>
      </c>
      <c r="E2979" s="9" t="s">
        <v>44</v>
      </c>
      <c r="F2979" s="5" t="n">
        <v>12</v>
      </c>
      <c r="G2979" s="10"/>
      <c r="H2979" s="11" t="str">
        <f aca="false">IFERROR(IF($D2979="Manual Review","",IF($G2979="","",IF($D2979="Direct Expiry",$G2979,EDATE($G2979,$F2979)))),"Check Date")</f>
        <v/>
      </c>
      <c r="I2979" s="12" t="str">
        <f aca="true">IF($H2979="","",IF(ISNUMBER($H2979),$H2979-TODAY(),""))</f>
        <v/>
      </c>
      <c r="J2979" s="4" t="str">
        <f aca="true">IF($D2979="Manual Review","Manual Review",IF($G2979="","No Data",IF(NOT(ISNUMBER($H2979)),"N/A",IF($H2979&lt;TODAY(),"Overdue",IF($H2979&lt;=TODAY()+30,"Due within 1 Month",IF($H2979&lt;=TODAY()+60,"Due within 2 Months","OK"))))))</f>
        <v>No Data</v>
      </c>
      <c r="K2979" s="13"/>
    </row>
    <row r="2980" customFormat="false" ht="23.85" hidden="false" customHeight="false" outlineLevel="0" collapsed="false">
      <c r="A2980" s="9" t="str">
        <f aca="false">Vessels!B31</f>
        <v>Vessel 27</v>
      </c>
      <c r="B2980" s="9" t="s">
        <v>88</v>
      </c>
      <c r="C2980" s="7" t="s">
        <v>102</v>
      </c>
      <c r="D2980" s="9" t="s">
        <v>45</v>
      </c>
      <c r="E2980" s="9" t="s">
        <v>44</v>
      </c>
      <c r="F2980" s="5" t="n">
        <v>12</v>
      </c>
      <c r="G2980" s="10"/>
      <c r="H2980" s="11" t="str">
        <f aca="false">IFERROR(IF($D2980="Manual Review","",IF($G2980="","",IF($D2980="Direct Expiry",$G2980,EDATE($G2980,$F2980)))),"Check Date")</f>
        <v/>
      </c>
      <c r="I2980" s="12" t="str">
        <f aca="true">IF($H2980="","",IF(ISNUMBER($H2980),$H2980-TODAY(),""))</f>
        <v/>
      </c>
      <c r="J2980" s="4" t="str">
        <f aca="true">IF($D2980="Manual Review","Manual Review",IF($G2980="","No Data",IF(NOT(ISNUMBER($H2980)),"N/A",IF($H2980&lt;TODAY(),"Overdue",IF($H2980&lt;=TODAY()+30,"Due within 1 Month",IF($H2980&lt;=TODAY()+60,"Due within 2 Months","OK"))))))</f>
        <v>No Data</v>
      </c>
      <c r="K2980" s="13"/>
    </row>
    <row r="2981" customFormat="false" ht="23.85" hidden="false" customHeight="false" outlineLevel="0" collapsed="false">
      <c r="A2981" s="9" t="str">
        <f aca="false">Vessels!B31</f>
        <v>Vessel 27</v>
      </c>
      <c r="B2981" s="9" t="s">
        <v>88</v>
      </c>
      <c r="C2981" s="7" t="s">
        <v>102</v>
      </c>
      <c r="D2981" s="9" t="s">
        <v>45</v>
      </c>
      <c r="E2981" s="9" t="s">
        <v>97</v>
      </c>
      <c r="F2981" s="5" t="n">
        <v>120</v>
      </c>
      <c r="G2981" s="10"/>
      <c r="H2981" s="11" t="str">
        <f aca="false">IFERROR(IF($D2981="Manual Review","",IF($G2981="","",IF($D2981="Direct Expiry",$G2981,EDATE($G2981,$F2981)))),"Check Date")</f>
        <v/>
      </c>
      <c r="I2981" s="12" t="str">
        <f aca="true">IF($H2981="","",IF(ISNUMBER($H2981),$H2981-TODAY(),""))</f>
        <v/>
      </c>
      <c r="J2981" s="4" t="str">
        <f aca="true">IF($D2981="Manual Review","Manual Review",IF($G2981="","No Data",IF(NOT(ISNUMBER($H2981)),"N/A",IF($H2981&lt;TODAY(),"Overdue",IF($H2981&lt;=TODAY()+30,"Due within 1 Month",IF($H2981&lt;=TODAY()+60,"Due within 2 Months","OK"))))))</f>
        <v>No Data</v>
      </c>
      <c r="K2981" s="13"/>
    </row>
    <row r="2982" customFormat="false" ht="15" hidden="false" customHeight="false" outlineLevel="0" collapsed="false">
      <c r="A2982" s="9" t="str">
        <f aca="false">Vessels!B31</f>
        <v>Vessel 27</v>
      </c>
      <c r="B2982" s="9" t="s">
        <v>88</v>
      </c>
      <c r="C2982" s="7" t="s">
        <v>103</v>
      </c>
      <c r="D2982" s="9" t="s">
        <v>45</v>
      </c>
      <c r="E2982" s="9" t="s">
        <v>44</v>
      </c>
      <c r="F2982" s="5" t="n">
        <v>12</v>
      </c>
      <c r="G2982" s="10"/>
      <c r="H2982" s="11" t="str">
        <f aca="false">IFERROR(IF($D2982="Manual Review","",IF($G2982="","",IF($D2982="Direct Expiry",$G2982,EDATE($G2982,$F2982)))),"Check Date")</f>
        <v/>
      </c>
      <c r="I2982" s="12" t="str">
        <f aca="true">IF($H2982="","",IF(ISNUMBER($H2982),$H2982-TODAY(),""))</f>
        <v/>
      </c>
      <c r="J2982" s="4" t="str">
        <f aca="true">IF($D2982="Manual Review","Manual Review",IF($G2982="","No Data",IF(NOT(ISNUMBER($H2982)),"N/A",IF($H2982&lt;TODAY(),"Overdue",IF($H2982&lt;=TODAY()+30,"Due within 1 Month",IF($H2982&lt;=TODAY()+60,"Due within 2 Months","OK"))))))</f>
        <v>No Data</v>
      </c>
      <c r="K2982" s="13"/>
    </row>
    <row r="2983" customFormat="false" ht="15" hidden="false" customHeight="false" outlineLevel="0" collapsed="false">
      <c r="A2983" s="9" t="str">
        <f aca="false">Vessels!B31</f>
        <v>Vessel 27</v>
      </c>
      <c r="B2983" s="9" t="s">
        <v>88</v>
      </c>
      <c r="C2983" s="7" t="s">
        <v>103</v>
      </c>
      <c r="D2983" s="9" t="s">
        <v>45</v>
      </c>
      <c r="E2983" s="9" t="s">
        <v>97</v>
      </c>
      <c r="F2983" s="5" t="n">
        <v>120</v>
      </c>
      <c r="G2983" s="10"/>
      <c r="H2983" s="11" t="str">
        <f aca="false">IFERROR(IF($D2983="Manual Review","",IF($G2983="","",IF($D2983="Direct Expiry",$G2983,EDATE($G2983,$F2983)))),"Check Date")</f>
        <v/>
      </c>
      <c r="I2983" s="12" t="str">
        <f aca="true">IF($H2983="","",IF(ISNUMBER($H2983),$H2983-TODAY(),""))</f>
        <v/>
      </c>
      <c r="J2983" s="4" t="str">
        <f aca="true">IF($D2983="Manual Review","Manual Review",IF($G2983="","No Data",IF(NOT(ISNUMBER($H2983)),"N/A",IF($H2983&lt;TODAY(),"Overdue",IF($H2983&lt;=TODAY()+30,"Due within 1 Month",IF($H2983&lt;=TODAY()+60,"Due within 2 Months","OK"))))))</f>
        <v>No Data</v>
      </c>
      <c r="K2983" s="13"/>
    </row>
    <row r="2984" customFormat="false" ht="15" hidden="false" customHeight="false" outlineLevel="0" collapsed="false">
      <c r="A2984" s="9" t="str">
        <f aca="false">Vessels!B31</f>
        <v>Vessel 27</v>
      </c>
      <c r="B2984" s="9" t="s">
        <v>88</v>
      </c>
      <c r="C2984" s="7" t="s">
        <v>104</v>
      </c>
      <c r="D2984" s="9" t="s">
        <v>45</v>
      </c>
      <c r="E2984" s="9" t="s">
        <v>44</v>
      </c>
      <c r="F2984" s="5" t="n">
        <v>12</v>
      </c>
      <c r="G2984" s="10"/>
      <c r="H2984" s="11" t="str">
        <f aca="false">IFERROR(IF($D2984="Manual Review","",IF($G2984="","",IF($D2984="Direct Expiry",$G2984,EDATE($G2984,$F2984)))),"Check Date")</f>
        <v/>
      </c>
      <c r="I2984" s="12" t="str">
        <f aca="true">IF($H2984="","",IF(ISNUMBER($H2984),$H2984-TODAY(),""))</f>
        <v/>
      </c>
      <c r="J2984" s="4" t="str">
        <f aca="true">IF($D2984="Manual Review","Manual Review",IF($G2984="","No Data",IF(NOT(ISNUMBER($H2984)),"N/A",IF($H2984&lt;TODAY(),"Overdue",IF($H2984&lt;=TODAY()+30,"Due within 1 Month",IF($H2984&lt;=TODAY()+60,"Due within 2 Months","OK"))))))</f>
        <v>No Data</v>
      </c>
      <c r="K2984" s="13"/>
    </row>
    <row r="2985" customFormat="false" ht="15" hidden="false" customHeight="false" outlineLevel="0" collapsed="false">
      <c r="A2985" s="9" t="str">
        <f aca="false">Vessels!B31</f>
        <v>Vessel 27</v>
      </c>
      <c r="B2985" s="9" t="s">
        <v>88</v>
      </c>
      <c r="C2985" s="7" t="s">
        <v>105</v>
      </c>
      <c r="D2985" s="9" t="s">
        <v>45</v>
      </c>
      <c r="E2985" s="9" t="s">
        <v>44</v>
      </c>
      <c r="F2985" s="5" t="n">
        <v>12</v>
      </c>
      <c r="G2985" s="10"/>
      <c r="H2985" s="11" t="str">
        <f aca="false">IFERROR(IF($D2985="Manual Review","",IF($G2985="","",IF($D2985="Direct Expiry",$G2985,EDATE($G2985,$F2985)))),"Check Date")</f>
        <v/>
      </c>
      <c r="I2985" s="12" t="str">
        <f aca="true">IF($H2985="","",IF(ISNUMBER($H2985),$H2985-TODAY(),""))</f>
        <v/>
      </c>
      <c r="J2985" s="4" t="str">
        <f aca="true">IF($D2985="Manual Review","Manual Review",IF($G2985="","No Data",IF(NOT(ISNUMBER($H2985)),"N/A",IF($H2985&lt;TODAY(),"Overdue",IF($H2985&lt;=TODAY()+30,"Due within 1 Month",IF($H2985&lt;=TODAY()+60,"Due within 2 Months","OK"))))))</f>
        <v>No Data</v>
      </c>
      <c r="K2985" s="13"/>
    </row>
    <row r="2986" customFormat="false" ht="15" hidden="false" customHeight="false" outlineLevel="0" collapsed="false">
      <c r="A2986" s="9" t="str">
        <f aca="false">Vessels!B31</f>
        <v>Vessel 27</v>
      </c>
      <c r="B2986" s="9" t="s">
        <v>88</v>
      </c>
      <c r="C2986" s="7" t="s">
        <v>106</v>
      </c>
      <c r="D2986" s="9" t="s">
        <v>45</v>
      </c>
      <c r="E2986" s="9" t="s">
        <v>44</v>
      </c>
      <c r="F2986" s="5" t="n">
        <v>12</v>
      </c>
      <c r="G2986" s="10"/>
      <c r="H2986" s="11" t="str">
        <f aca="false">IFERROR(IF($D2986="Manual Review","",IF($G2986="","",IF($D2986="Direct Expiry",$G2986,EDATE($G2986,$F2986)))),"Check Date")</f>
        <v/>
      </c>
      <c r="I2986" s="12" t="str">
        <f aca="true">IF($H2986="","",IF(ISNUMBER($H2986),$H2986-TODAY(),""))</f>
        <v/>
      </c>
      <c r="J2986" s="4" t="str">
        <f aca="true">IF($D2986="Manual Review","Manual Review",IF($G2986="","No Data",IF(NOT(ISNUMBER($H2986)),"N/A",IF($H2986&lt;TODAY(),"Overdue",IF($H2986&lt;=TODAY()+30,"Due within 1 Month",IF($H2986&lt;=TODAY()+60,"Due within 2 Months","OK"))))))</f>
        <v>No Data</v>
      </c>
      <c r="K2986" s="13"/>
    </row>
    <row r="2987" customFormat="false" ht="15" hidden="false" customHeight="false" outlineLevel="0" collapsed="false">
      <c r="A2987" s="9" t="str">
        <f aca="false">Vessels!B31</f>
        <v>Vessel 27</v>
      </c>
      <c r="B2987" s="9" t="s">
        <v>88</v>
      </c>
      <c r="C2987" s="7" t="s">
        <v>107</v>
      </c>
      <c r="D2987" s="9" t="s">
        <v>45</v>
      </c>
      <c r="E2987" s="9" t="s">
        <v>44</v>
      </c>
      <c r="F2987" s="5" t="n">
        <v>12</v>
      </c>
      <c r="G2987" s="10"/>
      <c r="H2987" s="11" t="str">
        <f aca="false">IFERROR(IF($D2987="Manual Review","",IF($G2987="","",IF($D2987="Direct Expiry",$G2987,EDATE($G2987,$F2987)))),"Check Date")</f>
        <v/>
      </c>
      <c r="I2987" s="12" t="str">
        <f aca="true">IF($H2987="","",IF(ISNUMBER($H2987),$H2987-TODAY(),""))</f>
        <v/>
      </c>
      <c r="J2987" s="4" t="str">
        <f aca="true">IF($D2987="Manual Review","Manual Review",IF($G2987="","No Data",IF(NOT(ISNUMBER($H2987)),"N/A",IF($H2987&lt;TODAY(),"Overdue",IF($H2987&lt;=TODAY()+30,"Due within 1 Month",IF($H2987&lt;=TODAY()+60,"Due within 2 Months","OK"))))))</f>
        <v>No Data</v>
      </c>
      <c r="K2987" s="13"/>
    </row>
    <row r="2988" customFormat="false" ht="15" hidden="false" customHeight="false" outlineLevel="0" collapsed="false">
      <c r="A2988" s="9" t="str">
        <f aca="false">Vessels!B31</f>
        <v>Vessel 27</v>
      </c>
      <c r="B2988" s="9" t="s">
        <v>88</v>
      </c>
      <c r="C2988" s="7" t="s">
        <v>108</v>
      </c>
      <c r="D2988" s="9" t="s">
        <v>45</v>
      </c>
      <c r="E2988" s="9" t="s">
        <v>109</v>
      </c>
      <c r="F2988" s="5" t="n">
        <v>12</v>
      </c>
      <c r="G2988" s="10"/>
      <c r="H2988" s="11" t="str">
        <f aca="false">IFERROR(IF($D2988="Manual Review","",IF($G2988="","",IF($D2988="Direct Expiry",$G2988,EDATE($G2988,$F2988)))),"Check Date")</f>
        <v/>
      </c>
      <c r="I2988" s="12" t="str">
        <f aca="true">IF($H2988="","",IF(ISNUMBER($H2988),$H2988-TODAY(),""))</f>
        <v/>
      </c>
      <c r="J2988" s="4" t="str">
        <f aca="true">IF($D2988="Manual Review","Manual Review",IF($G2988="","No Data",IF(NOT(ISNUMBER($H2988)),"N/A",IF($H2988&lt;TODAY(),"Overdue",IF($H2988&lt;=TODAY()+30,"Due within 1 Month",IF($H2988&lt;=TODAY()+60,"Due within 2 Months","OK"))))))</f>
        <v>No Data</v>
      </c>
      <c r="K2988" s="13"/>
    </row>
    <row r="2989" customFormat="false" ht="15" hidden="false" customHeight="false" outlineLevel="0" collapsed="false">
      <c r="A2989" s="9" t="str">
        <f aca="false">Vessels!B31</f>
        <v>Vessel 27</v>
      </c>
      <c r="B2989" s="9" t="s">
        <v>88</v>
      </c>
      <c r="C2989" s="7" t="s">
        <v>108</v>
      </c>
      <c r="D2989" s="9" t="s">
        <v>45</v>
      </c>
      <c r="E2989" s="9" t="s">
        <v>110</v>
      </c>
      <c r="F2989" s="5" t="n">
        <v>60</v>
      </c>
      <c r="G2989" s="10"/>
      <c r="H2989" s="11" t="str">
        <f aca="false">IFERROR(IF($D2989="Manual Review","",IF($G2989="","",IF($D2989="Direct Expiry",$G2989,EDATE($G2989,$F2989)))),"Check Date")</f>
        <v/>
      </c>
      <c r="I2989" s="12" t="str">
        <f aca="true">IF($H2989="","",IF(ISNUMBER($H2989),$H2989-TODAY(),""))</f>
        <v/>
      </c>
      <c r="J2989" s="4" t="str">
        <f aca="true">IF($D2989="Manual Review","Manual Review",IF($G2989="","No Data",IF(NOT(ISNUMBER($H2989)),"N/A",IF($H2989&lt;TODAY(),"Overdue",IF($H2989&lt;=TODAY()+30,"Due within 1 Month",IF($H2989&lt;=TODAY()+60,"Due within 2 Months","OK"))))))</f>
        <v>No Data</v>
      </c>
      <c r="K2989" s="13"/>
    </row>
    <row r="2990" customFormat="false" ht="15" hidden="false" customHeight="false" outlineLevel="0" collapsed="false">
      <c r="A2990" s="9" t="str">
        <f aca="false">Vessels!B31</f>
        <v>Vessel 27</v>
      </c>
      <c r="B2990" s="9" t="s">
        <v>88</v>
      </c>
      <c r="C2990" s="7" t="s">
        <v>111</v>
      </c>
      <c r="D2990" s="9" t="s">
        <v>45</v>
      </c>
      <c r="E2990" s="9" t="s">
        <v>44</v>
      </c>
      <c r="F2990" s="5" t="n">
        <v>12</v>
      </c>
      <c r="G2990" s="10"/>
      <c r="H2990" s="11" t="str">
        <f aca="false">IFERROR(IF($D2990="Manual Review","",IF($G2990="","",IF($D2990="Direct Expiry",$G2990,EDATE($G2990,$F2990)))),"Check Date")</f>
        <v/>
      </c>
      <c r="I2990" s="12" t="str">
        <f aca="true">IF($H2990="","",IF(ISNUMBER($H2990),$H2990-TODAY(),""))</f>
        <v/>
      </c>
      <c r="J2990" s="4" t="str">
        <f aca="true">IF($D2990="Manual Review","Manual Review",IF($G2990="","No Data",IF(NOT(ISNUMBER($H2990)),"N/A",IF($H2990&lt;TODAY(),"Overdue",IF($H2990&lt;=TODAY()+30,"Due within 1 Month",IF($H2990&lt;=TODAY()+60,"Due within 2 Months","OK"))))))</f>
        <v>No Data</v>
      </c>
      <c r="K2990" s="13"/>
    </row>
    <row r="2991" customFormat="false" ht="15" hidden="false" customHeight="false" outlineLevel="0" collapsed="false">
      <c r="A2991" s="9" t="str">
        <f aca="false">Vessels!B31</f>
        <v>Vessel 27</v>
      </c>
      <c r="B2991" s="9" t="s">
        <v>88</v>
      </c>
      <c r="C2991" s="7" t="s">
        <v>112</v>
      </c>
      <c r="D2991" s="9" t="s">
        <v>45</v>
      </c>
      <c r="E2991" s="9" t="s">
        <v>44</v>
      </c>
      <c r="F2991" s="5" t="n">
        <v>12</v>
      </c>
      <c r="G2991" s="10"/>
      <c r="H2991" s="11" t="str">
        <f aca="false">IFERROR(IF($D2991="Manual Review","",IF($G2991="","",IF($D2991="Direct Expiry",$G2991,EDATE($G2991,$F2991)))),"Check Date")</f>
        <v/>
      </c>
      <c r="I2991" s="12" t="str">
        <f aca="true">IF($H2991="","",IF(ISNUMBER($H2991),$H2991-TODAY(),""))</f>
        <v/>
      </c>
      <c r="J2991" s="4" t="str">
        <f aca="true">IF($D2991="Manual Review","Manual Review",IF($G2991="","No Data",IF(NOT(ISNUMBER($H2991)),"N/A",IF($H2991&lt;TODAY(),"Overdue",IF($H2991&lt;=TODAY()+30,"Due within 1 Month",IF($H2991&lt;=TODAY()+60,"Due within 2 Months","OK"))))))</f>
        <v>No Data</v>
      </c>
      <c r="K2991" s="13"/>
    </row>
    <row r="2992" customFormat="false" ht="15" hidden="false" customHeight="false" outlineLevel="0" collapsed="false">
      <c r="A2992" s="9" t="str">
        <f aca="false">Vessels!B31</f>
        <v>Vessel 27</v>
      </c>
      <c r="B2992" s="9" t="s">
        <v>88</v>
      </c>
      <c r="C2992" s="7" t="s">
        <v>113</v>
      </c>
      <c r="D2992" s="9" t="s">
        <v>115</v>
      </c>
      <c r="E2992" s="9" t="s">
        <v>114</v>
      </c>
      <c r="F2992" s="5"/>
      <c r="G2992" s="10"/>
      <c r="H2992" s="11" t="str">
        <f aca="false">IFERROR(IF($D2992="Manual Review","",IF($G2992="","",IF($D2992="Direct Expiry",$G2992,EDATE($G2992,$F2992)))),"Check Date")</f>
        <v/>
      </c>
      <c r="I2992" s="12" t="str">
        <f aca="true">IF($H2992="","",IF(ISNUMBER($H2992),$H2992-TODAY(),""))</f>
        <v/>
      </c>
      <c r="J2992" s="4" t="str">
        <f aca="true">IF($D2992="Manual Review","Manual Review",IF($G2992="","No Data",IF(NOT(ISNUMBER($H2992)),"N/A",IF($H2992&lt;TODAY(),"Overdue",IF($H2992&lt;=TODAY()+30,"Due within 1 Month",IF($H2992&lt;=TODAY()+60,"Due within 2 Months","OK"))))))</f>
        <v>Manual Review</v>
      </c>
      <c r="K2992" s="13"/>
    </row>
    <row r="2993" customFormat="false" ht="15" hidden="false" customHeight="false" outlineLevel="0" collapsed="false">
      <c r="A2993" s="9" t="str">
        <f aca="false">Vessels!B31</f>
        <v>Vessel 27</v>
      </c>
      <c r="B2993" s="9" t="s">
        <v>88</v>
      </c>
      <c r="C2993" s="7" t="s">
        <v>116</v>
      </c>
      <c r="D2993" s="9" t="s">
        <v>115</v>
      </c>
      <c r="E2993" s="9" t="s">
        <v>114</v>
      </c>
      <c r="F2993" s="5"/>
      <c r="G2993" s="10"/>
      <c r="H2993" s="11" t="str">
        <f aca="false">IFERROR(IF($D2993="Manual Review","",IF($G2993="","",IF($D2993="Direct Expiry",$G2993,EDATE($G2993,$F2993)))),"Check Date")</f>
        <v/>
      </c>
      <c r="I2993" s="12" t="str">
        <f aca="true">IF($H2993="","",IF(ISNUMBER($H2993),$H2993-TODAY(),""))</f>
        <v/>
      </c>
      <c r="J2993" s="4" t="str">
        <f aca="true">IF($D2993="Manual Review","Manual Review",IF($G2993="","No Data",IF(NOT(ISNUMBER($H2993)),"N/A",IF($H2993&lt;TODAY(),"Overdue",IF($H2993&lt;=TODAY()+30,"Due within 1 Month",IF($H2993&lt;=TODAY()+60,"Due within 2 Months","OK"))))))</f>
        <v>Manual Review</v>
      </c>
      <c r="K2993" s="13"/>
    </row>
    <row r="2994" customFormat="false" ht="15" hidden="false" customHeight="false" outlineLevel="0" collapsed="false">
      <c r="A2994" s="9" t="str">
        <f aca="false">Vessels!B31</f>
        <v>Vessel 27</v>
      </c>
      <c r="B2994" s="9" t="s">
        <v>117</v>
      </c>
      <c r="C2994" s="7" t="s">
        <v>118</v>
      </c>
      <c r="D2994" s="9" t="s">
        <v>59</v>
      </c>
      <c r="E2994" s="9" t="s">
        <v>119</v>
      </c>
      <c r="F2994" s="5"/>
      <c r="G2994" s="10"/>
      <c r="H2994" s="11" t="str">
        <f aca="false">IFERROR(IF($D2994="Manual Review","",IF($G2994="","",IF($D2994="Direct Expiry",$G2994,EDATE($G2994,$F2994)))),"Check Date")</f>
        <v/>
      </c>
      <c r="I2994" s="12" t="str">
        <f aca="true">IF($H2994="","",IF(ISNUMBER($H2994),$H2994-TODAY(),""))</f>
        <v/>
      </c>
      <c r="J2994" s="4" t="str">
        <f aca="true">IF($D2994="Manual Review","Manual Review",IF($G2994="","No Data",IF(NOT(ISNUMBER($H2994)),"N/A",IF($H2994&lt;TODAY(),"Overdue",IF($H2994&lt;=TODAY()+30,"Due within 1 Month",IF($H2994&lt;=TODAY()+60,"Due within 2 Months","OK"))))))</f>
        <v>No Data</v>
      </c>
      <c r="K2994" s="13"/>
    </row>
    <row r="2995" customFormat="false" ht="15" hidden="false" customHeight="false" outlineLevel="0" collapsed="false">
      <c r="A2995" s="9" t="str">
        <f aca="false">Vessels!B31</f>
        <v>Vessel 27</v>
      </c>
      <c r="B2995" s="9" t="s">
        <v>117</v>
      </c>
      <c r="C2995" s="7" t="s">
        <v>120</v>
      </c>
      <c r="D2995" s="9" t="s">
        <v>45</v>
      </c>
      <c r="E2995" s="9" t="s">
        <v>44</v>
      </c>
      <c r="F2995" s="5" t="n">
        <v>12</v>
      </c>
      <c r="G2995" s="10"/>
      <c r="H2995" s="11" t="str">
        <f aca="false">IFERROR(IF($D2995="Manual Review","",IF($G2995="","",IF($D2995="Direct Expiry",$G2995,EDATE($G2995,$F2995)))),"Check Date")</f>
        <v/>
      </c>
      <c r="I2995" s="12" t="str">
        <f aca="true">IF($H2995="","",IF(ISNUMBER($H2995),$H2995-TODAY(),""))</f>
        <v/>
      </c>
      <c r="J2995" s="4" t="str">
        <f aca="true">IF($D2995="Manual Review","Manual Review",IF($G2995="","No Data",IF(NOT(ISNUMBER($H2995)),"N/A",IF($H2995&lt;TODAY(),"Overdue",IF($H2995&lt;=TODAY()+30,"Due within 1 Month",IF($H2995&lt;=TODAY()+60,"Due within 2 Months","OK"))))))</f>
        <v>No Data</v>
      </c>
      <c r="K2995" s="13"/>
    </row>
    <row r="2996" customFormat="false" ht="15" hidden="false" customHeight="false" outlineLevel="0" collapsed="false">
      <c r="A2996" s="9" t="str">
        <f aca="false">Vessels!B31</f>
        <v>Vessel 27</v>
      </c>
      <c r="B2996" s="9" t="s">
        <v>117</v>
      </c>
      <c r="C2996" s="7" t="s">
        <v>121</v>
      </c>
      <c r="D2996" s="9" t="s">
        <v>45</v>
      </c>
      <c r="E2996" s="9" t="s">
        <v>44</v>
      </c>
      <c r="F2996" s="5" t="n">
        <v>12</v>
      </c>
      <c r="G2996" s="10"/>
      <c r="H2996" s="11" t="str">
        <f aca="false">IFERROR(IF($D2996="Manual Review","",IF($G2996="","",IF($D2996="Direct Expiry",$G2996,EDATE($G2996,$F2996)))),"Check Date")</f>
        <v/>
      </c>
      <c r="I2996" s="12" t="str">
        <f aca="true">IF($H2996="","",IF(ISNUMBER($H2996),$H2996-TODAY(),""))</f>
        <v/>
      </c>
      <c r="J2996" s="4" t="str">
        <f aca="true">IF($D2996="Manual Review","Manual Review",IF($G2996="","No Data",IF(NOT(ISNUMBER($H2996)),"N/A",IF($H2996&lt;TODAY(),"Overdue",IF($H2996&lt;=TODAY()+30,"Due within 1 Month",IF($H2996&lt;=TODAY()+60,"Due within 2 Months","OK"))))))</f>
        <v>No Data</v>
      </c>
      <c r="K2996" s="13"/>
    </row>
    <row r="2997" customFormat="false" ht="15" hidden="false" customHeight="false" outlineLevel="0" collapsed="false">
      <c r="A2997" s="9" t="str">
        <f aca="false">Vessels!B31</f>
        <v>Vessel 27</v>
      </c>
      <c r="B2997" s="9" t="s">
        <v>117</v>
      </c>
      <c r="C2997" s="7" t="s">
        <v>122</v>
      </c>
      <c r="D2997" s="9" t="s">
        <v>45</v>
      </c>
      <c r="E2997" s="9" t="s">
        <v>123</v>
      </c>
      <c r="F2997" s="5" t="n">
        <v>24</v>
      </c>
      <c r="G2997" s="10"/>
      <c r="H2997" s="11" t="str">
        <f aca="false">IFERROR(IF($D2997="Manual Review","",IF($G2997="","",IF($D2997="Direct Expiry",$G2997,EDATE($G2997,$F2997)))),"Check Date")</f>
        <v/>
      </c>
      <c r="I2997" s="12" t="str">
        <f aca="true">IF($H2997="","",IF(ISNUMBER($H2997),$H2997-TODAY(),""))</f>
        <v/>
      </c>
      <c r="J2997" s="4" t="str">
        <f aca="true">IF($D2997="Manual Review","Manual Review",IF($G2997="","No Data",IF(NOT(ISNUMBER($H2997)),"N/A",IF($H2997&lt;TODAY(),"Overdue",IF($H2997&lt;=TODAY()+30,"Due within 1 Month",IF($H2997&lt;=TODAY()+60,"Due within 2 Months","OK"))))))</f>
        <v>No Data</v>
      </c>
      <c r="K2997" s="13"/>
    </row>
    <row r="2998" customFormat="false" ht="15" hidden="false" customHeight="false" outlineLevel="0" collapsed="false">
      <c r="A2998" s="9" t="str">
        <f aca="false">Vessels!B31</f>
        <v>Vessel 27</v>
      </c>
      <c r="B2998" s="9" t="s">
        <v>117</v>
      </c>
      <c r="C2998" s="7" t="s">
        <v>124</v>
      </c>
      <c r="D2998" s="9" t="s">
        <v>59</v>
      </c>
      <c r="E2998" s="9" t="s">
        <v>58</v>
      </c>
      <c r="F2998" s="5"/>
      <c r="G2998" s="10"/>
      <c r="H2998" s="11" t="str">
        <f aca="false">IFERROR(IF($D2998="Manual Review","",IF($G2998="","",IF($D2998="Direct Expiry",$G2998,EDATE($G2998,$F2998)))),"Check Date")</f>
        <v/>
      </c>
      <c r="I2998" s="12" t="str">
        <f aca="true">IF($H2998="","",IF(ISNUMBER($H2998),$H2998-TODAY(),""))</f>
        <v/>
      </c>
      <c r="J2998" s="4" t="str">
        <f aca="true">IF($D2998="Manual Review","Manual Review",IF($G2998="","No Data",IF(NOT(ISNUMBER($H2998)),"N/A",IF($H2998&lt;TODAY(),"Overdue",IF($H2998&lt;=TODAY()+30,"Due within 1 Month",IF($H2998&lt;=TODAY()+60,"Due within 2 Months","OK"))))))</f>
        <v>No Data</v>
      </c>
      <c r="K2998" s="13"/>
    </row>
    <row r="2999" customFormat="false" ht="15" hidden="false" customHeight="false" outlineLevel="0" collapsed="false">
      <c r="A2999" s="9" t="str">
        <f aca="false">Vessels!B31</f>
        <v>Vessel 27</v>
      </c>
      <c r="B2999" s="9" t="s">
        <v>117</v>
      </c>
      <c r="C2999" s="7" t="s">
        <v>125</v>
      </c>
      <c r="D2999" s="9" t="s">
        <v>59</v>
      </c>
      <c r="E2999" s="9" t="s">
        <v>58</v>
      </c>
      <c r="F2999" s="5"/>
      <c r="G2999" s="10"/>
      <c r="H2999" s="11" t="str">
        <f aca="false">IFERROR(IF($D2999="Manual Review","",IF($G2999="","",IF($D2999="Direct Expiry",$G2999,EDATE($G2999,$F2999)))),"Check Date")</f>
        <v/>
      </c>
      <c r="I2999" s="12" t="str">
        <f aca="true">IF($H2999="","",IF(ISNUMBER($H2999),$H2999-TODAY(),""))</f>
        <v/>
      </c>
      <c r="J2999" s="4" t="str">
        <f aca="true">IF($D2999="Manual Review","Manual Review",IF($G2999="","No Data",IF(NOT(ISNUMBER($H2999)),"N/A",IF($H2999&lt;TODAY(),"Overdue",IF($H2999&lt;=TODAY()+30,"Due within 1 Month",IF($H2999&lt;=TODAY()+60,"Due within 2 Months","OK"))))))</f>
        <v>No Data</v>
      </c>
      <c r="K2999" s="13"/>
    </row>
    <row r="3000" customFormat="false" ht="15" hidden="false" customHeight="false" outlineLevel="0" collapsed="false">
      <c r="A3000" s="9" t="str">
        <f aca="false">Vessels!B31</f>
        <v>Vessel 27</v>
      </c>
      <c r="B3000" s="9" t="s">
        <v>117</v>
      </c>
      <c r="C3000" s="7" t="s">
        <v>126</v>
      </c>
      <c r="D3000" s="9" t="s">
        <v>45</v>
      </c>
      <c r="E3000" s="9" t="s">
        <v>44</v>
      </c>
      <c r="F3000" s="5" t="n">
        <v>12</v>
      </c>
      <c r="G3000" s="10"/>
      <c r="H3000" s="11" t="str">
        <f aca="false">IFERROR(IF($D3000="Manual Review","",IF($G3000="","",IF($D3000="Direct Expiry",$G3000,EDATE($G3000,$F3000)))),"Check Date")</f>
        <v/>
      </c>
      <c r="I3000" s="12" t="str">
        <f aca="true">IF($H3000="","",IF(ISNUMBER($H3000),$H3000-TODAY(),""))</f>
        <v/>
      </c>
      <c r="J3000" s="4" t="str">
        <f aca="true">IF($D3000="Manual Review","Manual Review",IF($G3000="","No Data",IF(NOT(ISNUMBER($H3000)),"N/A",IF($H3000&lt;TODAY(),"Overdue",IF($H3000&lt;=TODAY()+30,"Due within 1 Month",IF($H3000&lt;=TODAY()+60,"Due within 2 Months","OK"))))))</f>
        <v>No Data</v>
      </c>
      <c r="K3000" s="13"/>
    </row>
    <row r="3001" customFormat="false" ht="15" hidden="false" customHeight="false" outlineLevel="0" collapsed="false">
      <c r="A3001" s="9" t="str">
        <f aca="false">Vessels!B31</f>
        <v>Vessel 27</v>
      </c>
      <c r="B3001" s="9" t="s">
        <v>117</v>
      </c>
      <c r="C3001" s="7" t="s">
        <v>127</v>
      </c>
      <c r="D3001" s="9" t="s">
        <v>59</v>
      </c>
      <c r="E3001" s="9" t="s">
        <v>58</v>
      </c>
      <c r="F3001" s="5"/>
      <c r="G3001" s="10"/>
      <c r="H3001" s="11" t="str">
        <f aca="false">IFERROR(IF($D3001="Manual Review","",IF($G3001="","",IF($D3001="Direct Expiry",$G3001,EDATE($G3001,$F3001)))),"Check Date")</f>
        <v/>
      </c>
      <c r="I3001" s="12" t="str">
        <f aca="true">IF($H3001="","",IF(ISNUMBER($H3001),$H3001-TODAY(),""))</f>
        <v/>
      </c>
      <c r="J3001" s="4" t="str">
        <f aca="true">IF($D3001="Manual Review","Manual Review",IF($G3001="","No Data",IF(NOT(ISNUMBER($H3001)),"N/A",IF($H3001&lt;TODAY(),"Overdue",IF($H3001&lt;=TODAY()+30,"Due within 1 Month",IF($H3001&lt;=TODAY()+60,"Due within 2 Months","OK"))))))</f>
        <v>No Data</v>
      </c>
      <c r="K3001" s="13"/>
    </row>
    <row r="3002" customFormat="false" ht="15" hidden="false" customHeight="false" outlineLevel="0" collapsed="false">
      <c r="A3002" s="9" t="str">
        <f aca="false">Vessels!B31</f>
        <v>Vessel 27</v>
      </c>
      <c r="B3002" s="9" t="s">
        <v>117</v>
      </c>
      <c r="C3002" s="7" t="s">
        <v>128</v>
      </c>
      <c r="D3002" s="9" t="s">
        <v>59</v>
      </c>
      <c r="E3002" s="9" t="s">
        <v>58</v>
      </c>
      <c r="F3002" s="5"/>
      <c r="G3002" s="10"/>
      <c r="H3002" s="11" t="str">
        <f aca="false">IFERROR(IF($D3002="Manual Review","",IF($G3002="","",IF($D3002="Direct Expiry",$G3002,EDATE($G3002,$F3002)))),"Check Date")</f>
        <v/>
      </c>
      <c r="I3002" s="12" t="str">
        <f aca="true">IF($H3002="","",IF(ISNUMBER($H3002),$H3002-TODAY(),""))</f>
        <v/>
      </c>
      <c r="J3002" s="4" t="str">
        <f aca="true">IF($D3002="Manual Review","Manual Review",IF($G3002="","No Data",IF(NOT(ISNUMBER($H3002)),"N/A",IF($H3002&lt;TODAY(),"Overdue",IF($H3002&lt;=TODAY()+30,"Due within 1 Month",IF($H3002&lt;=TODAY()+60,"Due within 2 Months","OK"))))))</f>
        <v>No Data</v>
      </c>
      <c r="K3002" s="13"/>
    </row>
    <row r="3003" customFormat="false" ht="15" hidden="false" customHeight="false" outlineLevel="0" collapsed="false">
      <c r="A3003" s="9" t="str">
        <f aca="false">Vessels!B31</f>
        <v>Vessel 27</v>
      </c>
      <c r="B3003" s="9" t="s">
        <v>117</v>
      </c>
      <c r="C3003" s="7" t="s">
        <v>129</v>
      </c>
      <c r="D3003" s="9" t="s">
        <v>59</v>
      </c>
      <c r="E3003" s="9" t="s">
        <v>58</v>
      </c>
      <c r="F3003" s="5"/>
      <c r="G3003" s="10"/>
      <c r="H3003" s="11" t="str">
        <f aca="false">IFERROR(IF($D3003="Manual Review","",IF($G3003="","",IF($D3003="Direct Expiry",$G3003,EDATE($G3003,$F3003)))),"Check Date")</f>
        <v/>
      </c>
      <c r="I3003" s="12" t="str">
        <f aca="true">IF($H3003="","",IF(ISNUMBER($H3003),$H3003-TODAY(),""))</f>
        <v/>
      </c>
      <c r="J3003" s="4" t="str">
        <f aca="true">IF($D3003="Manual Review","Manual Review",IF($G3003="","No Data",IF(NOT(ISNUMBER($H3003)),"N/A",IF($H3003&lt;TODAY(),"Overdue",IF($H3003&lt;=TODAY()+30,"Due within 1 Month",IF($H3003&lt;=TODAY()+60,"Due within 2 Months","OK"))))))</f>
        <v>No Data</v>
      </c>
      <c r="K3003" s="13"/>
    </row>
    <row r="3004" customFormat="false" ht="15" hidden="false" customHeight="false" outlineLevel="0" collapsed="false">
      <c r="A3004" s="9" t="str">
        <f aca="false">Vessels!B31</f>
        <v>Vessel 27</v>
      </c>
      <c r="B3004" s="9" t="s">
        <v>117</v>
      </c>
      <c r="C3004" s="7" t="s">
        <v>130</v>
      </c>
      <c r="D3004" s="9" t="s">
        <v>45</v>
      </c>
      <c r="E3004" s="9" t="s">
        <v>44</v>
      </c>
      <c r="F3004" s="5" t="n">
        <v>12</v>
      </c>
      <c r="G3004" s="10"/>
      <c r="H3004" s="11" t="str">
        <f aca="false">IFERROR(IF($D3004="Manual Review","",IF($G3004="","",IF($D3004="Direct Expiry",$G3004,EDATE($G3004,$F3004)))),"Check Date")</f>
        <v/>
      </c>
      <c r="I3004" s="12" t="str">
        <f aca="true">IF($H3004="","",IF(ISNUMBER($H3004),$H3004-TODAY(),""))</f>
        <v/>
      </c>
      <c r="J3004" s="4" t="str">
        <f aca="true">IF($D3004="Manual Review","Manual Review",IF($G3004="","No Data",IF(NOT(ISNUMBER($H3004)),"N/A",IF($H3004&lt;TODAY(),"Overdue",IF($H3004&lt;=TODAY()+30,"Due within 1 Month",IF($H3004&lt;=TODAY()+60,"Due within 2 Months","OK"))))))</f>
        <v>No Data</v>
      </c>
      <c r="K3004" s="13"/>
    </row>
    <row r="3005" customFormat="false" ht="15" hidden="false" customHeight="false" outlineLevel="0" collapsed="false">
      <c r="A3005" s="9" t="str">
        <f aca="false">Vessels!B31</f>
        <v>Vessel 27</v>
      </c>
      <c r="B3005" s="9" t="s">
        <v>117</v>
      </c>
      <c r="C3005" s="7" t="s">
        <v>131</v>
      </c>
      <c r="D3005" s="9" t="s">
        <v>45</v>
      </c>
      <c r="E3005" s="9" t="s">
        <v>44</v>
      </c>
      <c r="F3005" s="5" t="n">
        <v>12</v>
      </c>
      <c r="G3005" s="10"/>
      <c r="H3005" s="11" t="str">
        <f aca="false">IFERROR(IF($D3005="Manual Review","",IF($G3005="","",IF($D3005="Direct Expiry",$G3005,EDATE($G3005,$F3005)))),"Check Date")</f>
        <v/>
      </c>
      <c r="I3005" s="12" t="str">
        <f aca="true">IF($H3005="","",IF(ISNUMBER($H3005),$H3005-TODAY(),""))</f>
        <v/>
      </c>
      <c r="J3005" s="4" t="str">
        <f aca="true">IF($D3005="Manual Review","Manual Review",IF($G3005="","No Data",IF(NOT(ISNUMBER($H3005)),"N/A",IF($H3005&lt;TODAY(),"Overdue",IF($H3005&lt;=TODAY()+30,"Due within 1 Month",IF($H3005&lt;=TODAY()+60,"Due within 2 Months","OK"))))))</f>
        <v>No Data</v>
      </c>
      <c r="K3005" s="13"/>
    </row>
    <row r="3006" customFormat="false" ht="15" hidden="false" customHeight="false" outlineLevel="0" collapsed="false">
      <c r="A3006" s="9" t="str">
        <f aca="false">Vessels!B31</f>
        <v>Vessel 27</v>
      </c>
      <c r="B3006" s="9" t="s">
        <v>117</v>
      </c>
      <c r="C3006" s="7" t="s">
        <v>132</v>
      </c>
      <c r="D3006" s="9" t="s">
        <v>45</v>
      </c>
      <c r="E3006" s="9" t="s">
        <v>44</v>
      </c>
      <c r="F3006" s="5" t="n">
        <v>12</v>
      </c>
      <c r="G3006" s="10"/>
      <c r="H3006" s="11" t="str">
        <f aca="false">IFERROR(IF($D3006="Manual Review","",IF($G3006="","",IF($D3006="Direct Expiry",$G3006,EDATE($G3006,$F3006)))),"Check Date")</f>
        <v/>
      </c>
      <c r="I3006" s="12" t="str">
        <f aca="true">IF($H3006="","",IF(ISNUMBER($H3006),$H3006-TODAY(),""))</f>
        <v/>
      </c>
      <c r="J3006" s="4" t="str">
        <f aca="true">IF($D3006="Manual Review","Manual Review",IF($G3006="","No Data",IF(NOT(ISNUMBER($H3006)),"N/A",IF($H3006&lt;TODAY(),"Overdue",IF($H3006&lt;=TODAY()+30,"Due within 1 Month",IF($H3006&lt;=TODAY()+60,"Due within 2 Months","OK"))))))</f>
        <v>No Data</v>
      </c>
      <c r="K3006" s="13"/>
    </row>
    <row r="3007" customFormat="false" ht="15" hidden="false" customHeight="false" outlineLevel="0" collapsed="false">
      <c r="A3007" s="9" t="str">
        <f aca="false">Vessels!B31</f>
        <v>Vessel 27</v>
      </c>
      <c r="B3007" s="9" t="s">
        <v>117</v>
      </c>
      <c r="C3007" s="7" t="s">
        <v>133</v>
      </c>
      <c r="D3007" s="9" t="s">
        <v>45</v>
      </c>
      <c r="E3007" s="9" t="s">
        <v>44</v>
      </c>
      <c r="F3007" s="5" t="n">
        <v>12</v>
      </c>
      <c r="G3007" s="10"/>
      <c r="H3007" s="11" t="str">
        <f aca="false">IFERROR(IF($D3007="Manual Review","",IF($G3007="","",IF($D3007="Direct Expiry",$G3007,EDATE($G3007,$F3007)))),"Check Date")</f>
        <v/>
      </c>
      <c r="I3007" s="12" t="str">
        <f aca="true">IF($H3007="","",IF(ISNUMBER($H3007),$H3007-TODAY(),""))</f>
        <v/>
      </c>
      <c r="J3007" s="4" t="str">
        <f aca="true">IF($D3007="Manual Review","Manual Review",IF($G3007="","No Data",IF(NOT(ISNUMBER($H3007)),"N/A",IF($H3007&lt;TODAY(),"Overdue",IF($H3007&lt;=TODAY()+30,"Due within 1 Month",IF($H3007&lt;=TODAY()+60,"Due within 2 Months","OK"))))))</f>
        <v>No Data</v>
      </c>
      <c r="K3007" s="13"/>
    </row>
    <row r="3008" customFormat="false" ht="15" hidden="false" customHeight="false" outlineLevel="0" collapsed="false">
      <c r="A3008" s="9" t="str">
        <f aca="false">Vessels!B31</f>
        <v>Vessel 27</v>
      </c>
      <c r="B3008" s="9" t="s">
        <v>117</v>
      </c>
      <c r="C3008" s="7" t="s">
        <v>134</v>
      </c>
      <c r="D3008" s="9" t="s">
        <v>45</v>
      </c>
      <c r="E3008" s="9" t="s">
        <v>44</v>
      </c>
      <c r="F3008" s="5" t="n">
        <v>12</v>
      </c>
      <c r="G3008" s="10"/>
      <c r="H3008" s="11" t="str">
        <f aca="false">IFERROR(IF($D3008="Manual Review","",IF($G3008="","",IF($D3008="Direct Expiry",$G3008,EDATE($G3008,$F3008)))),"Check Date")</f>
        <v/>
      </c>
      <c r="I3008" s="12" t="str">
        <f aca="true">IF($H3008="","",IF(ISNUMBER($H3008),$H3008-TODAY(),""))</f>
        <v/>
      </c>
      <c r="J3008" s="4" t="str">
        <f aca="true">IF($D3008="Manual Review","Manual Review",IF($G3008="","No Data",IF(NOT(ISNUMBER($H3008)),"N/A",IF($H3008&lt;TODAY(),"Overdue",IF($H3008&lt;=TODAY()+30,"Due within 1 Month",IF($H3008&lt;=TODAY()+60,"Due within 2 Months","OK"))))))</f>
        <v>No Data</v>
      </c>
      <c r="K3008" s="13"/>
    </row>
    <row r="3009" customFormat="false" ht="15" hidden="false" customHeight="false" outlineLevel="0" collapsed="false">
      <c r="A3009" s="9" t="str">
        <f aca="false">Vessels!B31</f>
        <v>Vessel 27</v>
      </c>
      <c r="B3009" s="9" t="s">
        <v>117</v>
      </c>
      <c r="C3009" s="7" t="s">
        <v>135</v>
      </c>
      <c r="D3009" s="9" t="s">
        <v>45</v>
      </c>
      <c r="E3009" s="9" t="s">
        <v>44</v>
      </c>
      <c r="F3009" s="5" t="n">
        <v>12</v>
      </c>
      <c r="G3009" s="10"/>
      <c r="H3009" s="11" t="str">
        <f aca="false">IFERROR(IF($D3009="Manual Review","",IF($G3009="","",IF($D3009="Direct Expiry",$G3009,EDATE($G3009,$F3009)))),"Check Date")</f>
        <v/>
      </c>
      <c r="I3009" s="12" t="str">
        <f aca="true">IF($H3009="","",IF(ISNUMBER($H3009),$H3009-TODAY(),""))</f>
        <v/>
      </c>
      <c r="J3009" s="4" t="str">
        <f aca="true">IF($D3009="Manual Review","Manual Review",IF($G3009="","No Data",IF(NOT(ISNUMBER($H3009)),"N/A",IF($H3009&lt;TODAY(),"Overdue",IF($H3009&lt;=TODAY()+30,"Due within 1 Month",IF($H3009&lt;=TODAY()+60,"Due within 2 Months","OK"))))))</f>
        <v>No Data</v>
      </c>
      <c r="K3009" s="13"/>
    </row>
    <row r="3010" customFormat="false" ht="15" hidden="false" customHeight="false" outlineLevel="0" collapsed="false">
      <c r="A3010" s="9" t="str">
        <f aca="false">Vessels!B31</f>
        <v>Vessel 27</v>
      </c>
      <c r="B3010" s="9" t="s">
        <v>136</v>
      </c>
      <c r="C3010" s="7" t="s">
        <v>137</v>
      </c>
      <c r="D3010" s="9" t="s">
        <v>45</v>
      </c>
      <c r="E3010" s="9" t="s">
        <v>44</v>
      </c>
      <c r="F3010" s="5" t="n">
        <v>12</v>
      </c>
      <c r="G3010" s="10"/>
      <c r="H3010" s="11" t="str">
        <f aca="false">IFERROR(IF($D3010="Manual Review","",IF($G3010="","",IF($D3010="Direct Expiry",$G3010,EDATE($G3010,$F3010)))),"Check Date")</f>
        <v/>
      </c>
      <c r="I3010" s="12" t="str">
        <f aca="true">IF($H3010="","",IF(ISNUMBER($H3010),$H3010-TODAY(),""))</f>
        <v/>
      </c>
      <c r="J3010" s="4" t="str">
        <f aca="true">IF($D3010="Manual Review","Manual Review",IF($G3010="","No Data",IF(NOT(ISNUMBER($H3010)),"N/A",IF($H3010&lt;TODAY(),"Overdue",IF($H3010&lt;=TODAY()+30,"Due within 1 Month",IF($H3010&lt;=TODAY()+60,"Due within 2 Months","OK"))))))</f>
        <v>No Data</v>
      </c>
      <c r="K3010" s="13"/>
    </row>
    <row r="3011" customFormat="false" ht="15" hidden="false" customHeight="false" outlineLevel="0" collapsed="false">
      <c r="A3011" s="9" t="str">
        <f aca="false">Vessels!B31</f>
        <v>Vessel 27</v>
      </c>
      <c r="B3011" s="9" t="s">
        <v>136</v>
      </c>
      <c r="C3011" s="7" t="s">
        <v>138</v>
      </c>
      <c r="D3011" s="9" t="s">
        <v>45</v>
      </c>
      <c r="E3011" s="9" t="s">
        <v>44</v>
      </c>
      <c r="F3011" s="5" t="n">
        <v>12</v>
      </c>
      <c r="G3011" s="10"/>
      <c r="H3011" s="11" t="str">
        <f aca="false">IFERROR(IF($D3011="Manual Review","",IF($G3011="","",IF($D3011="Direct Expiry",$G3011,EDATE($G3011,$F3011)))),"Check Date")</f>
        <v/>
      </c>
      <c r="I3011" s="12" t="str">
        <f aca="true">IF($H3011="","",IF(ISNUMBER($H3011),$H3011-TODAY(),""))</f>
        <v/>
      </c>
      <c r="J3011" s="4" t="str">
        <f aca="true">IF($D3011="Manual Review","Manual Review",IF($G3011="","No Data",IF(NOT(ISNUMBER($H3011)),"N/A",IF($H3011&lt;TODAY(),"Overdue",IF($H3011&lt;=TODAY()+30,"Due within 1 Month",IF($H3011&lt;=TODAY()+60,"Due within 2 Months","OK"))))))</f>
        <v>No Data</v>
      </c>
      <c r="K3011" s="13"/>
    </row>
    <row r="3012" customFormat="false" ht="15" hidden="false" customHeight="false" outlineLevel="0" collapsed="false">
      <c r="A3012" s="9" t="str">
        <f aca="false">Vessels!B31</f>
        <v>Vessel 27</v>
      </c>
      <c r="B3012" s="9" t="s">
        <v>136</v>
      </c>
      <c r="C3012" s="7" t="s">
        <v>139</v>
      </c>
      <c r="D3012" s="9" t="s">
        <v>45</v>
      </c>
      <c r="E3012" s="9" t="s">
        <v>140</v>
      </c>
      <c r="F3012" s="5" t="n">
        <v>12</v>
      </c>
      <c r="G3012" s="10"/>
      <c r="H3012" s="11" t="str">
        <f aca="false">IFERROR(IF($D3012="Manual Review","",IF($G3012="","",IF($D3012="Direct Expiry",$G3012,EDATE($G3012,$F3012)))),"Check Date")</f>
        <v/>
      </c>
      <c r="I3012" s="12" t="str">
        <f aca="true">IF($H3012="","",IF(ISNUMBER($H3012),$H3012-TODAY(),""))</f>
        <v/>
      </c>
      <c r="J3012" s="4" t="str">
        <f aca="true">IF($D3012="Manual Review","Manual Review",IF($G3012="","No Data",IF(NOT(ISNUMBER($H3012)),"N/A",IF($H3012&lt;TODAY(),"Overdue",IF($H3012&lt;=TODAY()+30,"Due within 1 Month",IF($H3012&lt;=TODAY()+60,"Due within 2 Months","OK"))))))</f>
        <v>No Data</v>
      </c>
      <c r="K3012" s="13"/>
    </row>
    <row r="3013" customFormat="false" ht="15" hidden="false" customHeight="false" outlineLevel="0" collapsed="false">
      <c r="A3013" s="9" t="str">
        <f aca="false">Vessels!B31</f>
        <v>Vessel 27</v>
      </c>
      <c r="B3013" s="9" t="s">
        <v>136</v>
      </c>
      <c r="C3013" s="7" t="s">
        <v>141</v>
      </c>
      <c r="D3013" s="9" t="s">
        <v>45</v>
      </c>
      <c r="E3013" s="9" t="s">
        <v>44</v>
      </c>
      <c r="F3013" s="5" t="n">
        <v>12</v>
      </c>
      <c r="G3013" s="10"/>
      <c r="H3013" s="11" t="str">
        <f aca="false">IFERROR(IF($D3013="Manual Review","",IF($G3013="","",IF($D3013="Direct Expiry",$G3013,EDATE($G3013,$F3013)))),"Check Date")</f>
        <v/>
      </c>
      <c r="I3013" s="12" t="str">
        <f aca="true">IF($H3013="","",IF(ISNUMBER($H3013),$H3013-TODAY(),""))</f>
        <v/>
      </c>
      <c r="J3013" s="4" t="str">
        <f aca="true">IF($D3013="Manual Review","Manual Review",IF($G3013="","No Data",IF(NOT(ISNUMBER($H3013)),"N/A",IF($H3013&lt;TODAY(),"Overdue",IF($H3013&lt;=TODAY()+30,"Due within 1 Month",IF($H3013&lt;=TODAY()+60,"Due within 2 Months","OK"))))))</f>
        <v>No Data</v>
      </c>
      <c r="K3013" s="13"/>
    </row>
    <row r="3014" customFormat="false" ht="15" hidden="false" customHeight="false" outlineLevel="0" collapsed="false">
      <c r="A3014" s="9" t="str">
        <f aca="false">Vessels!B31</f>
        <v>Vessel 27</v>
      </c>
      <c r="B3014" s="9" t="s">
        <v>136</v>
      </c>
      <c r="C3014" s="7" t="s">
        <v>142</v>
      </c>
      <c r="D3014" s="9" t="s">
        <v>115</v>
      </c>
      <c r="E3014" s="9" t="s">
        <v>143</v>
      </c>
      <c r="F3014" s="5"/>
      <c r="G3014" s="10"/>
      <c r="H3014" s="11" t="str">
        <f aca="false">IFERROR(IF($D3014="Manual Review","",IF($G3014="","",IF($D3014="Direct Expiry",$G3014,EDATE($G3014,$F3014)))),"Check Date")</f>
        <v/>
      </c>
      <c r="I3014" s="12" t="str">
        <f aca="true">IF($H3014="","",IF(ISNUMBER($H3014),$H3014-TODAY(),""))</f>
        <v/>
      </c>
      <c r="J3014" s="4" t="str">
        <f aca="true">IF($D3014="Manual Review","Manual Review",IF($G3014="","No Data",IF(NOT(ISNUMBER($H3014)),"N/A",IF($H3014&lt;TODAY(),"Overdue",IF($H3014&lt;=TODAY()+30,"Due within 1 Month",IF($H3014&lt;=TODAY()+60,"Due within 2 Months","OK"))))))</f>
        <v>Manual Review</v>
      </c>
      <c r="K3014" s="13"/>
    </row>
    <row r="3015" customFormat="false" ht="15" hidden="false" customHeight="false" outlineLevel="0" collapsed="false">
      <c r="A3015" s="9" t="str">
        <f aca="false">Vessels!B31</f>
        <v>Vessel 27</v>
      </c>
      <c r="B3015" s="9" t="s">
        <v>136</v>
      </c>
      <c r="C3015" s="7" t="s">
        <v>144</v>
      </c>
      <c r="D3015" s="9" t="s">
        <v>45</v>
      </c>
      <c r="E3015" s="9" t="s">
        <v>44</v>
      </c>
      <c r="F3015" s="5" t="n">
        <v>12</v>
      </c>
      <c r="G3015" s="10"/>
      <c r="H3015" s="11" t="str">
        <f aca="false">IFERROR(IF($D3015="Manual Review","",IF($G3015="","",IF($D3015="Direct Expiry",$G3015,EDATE($G3015,$F3015)))),"Check Date")</f>
        <v/>
      </c>
      <c r="I3015" s="12" t="str">
        <f aca="true">IF($H3015="","",IF(ISNUMBER($H3015),$H3015-TODAY(),""))</f>
        <v/>
      </c>
      <c r="J3015" s="4" t="str">
        <f aca="true">IF($D3015="Manual Review","Manual Review",IF($G3015="","No Data",IF(NOT(ISNUMBER($H3015)),"N/A",IF($H3015&lt;TODAY(),"Overdue",IF($H3015&lt;=TODAY()+30,"Due within 1 Month",IF($H3015&lt;=TODAY()+60,"Due within 2 Months","OK"))))))</f>
        <v>No Data</v>
      </c>
      <c r="K3015" s="13"/>
    </row>
    <row r="3016" customFormat="false" ht="15" hidden="false" customHeight="false" outlineLevel="0" collapsed="false">
      <c r="A3016" s="9" t="str">
        <f aca="false">Vessels!B31</f>
        <v>Vessel 27</v>
      </c>
      <c r="B3016" s="9" t="s">
        <v>136</v>
      </c>
      <c r="C3016" s="7" t="s">
        <v>145</v>
      </c>
      <c r="D3016" s="9" t="s">
        <v>45</v>
      </c>
      <c r="E3016" s="9" t="s">
        <v>44</v>
      </c>
      <c r="F3016" s="5" t="n">
        <v>12</v>
      </c>
      <c r="G3016" s="10"/>
      <c r="H3016" s="11" t="str">
        <f aca="false">IFERROR(IF($D3016="Manual Review","",IF($G3016="","",IF($D3016="Direct Expiry",$G3016,EDATE($G3016,$F3016)))),"Check Date")</f>
        <v/>
      </c>
      <c r="I3016" s="12" t="str">
        <f aca="true">IF($H3016="","",IF(ISNUMBER($H3016),$H3016-TODAY(),""))</f>
        <v/>
      </c>
      <c r="J3016" s="4" t="str">
        <f aca="true">IF($D3016="Manual Review","Manual Review",IF($G3016="","No Data",IF(NOT(ISNUMBER($H3016)),"N/A",IF($H3016&lt;TODAY(),"Overdue",IF($H3016&lt;=TODAY()+30,"Due within 1 Month",IF($H3016&lt;=TODAY()+60,"Due within 2 Months","OK"))))))</f>
        <v>No Data</v>
      </c>
      <c r="K3016" s="13"/>
    </row>
    <row r="3017" customFormat="false" ht="15" hidden="false" customHeight="false" outlineLevel="0" collapsed="false">
      <c r="A3017" s="9" t="str">
        <f aca="false">Vessels!B31</f>
        <v>Vessel 27</v>
      </c>
      <c r="B3017" s="9" t="s">
        <v>136</v>
      </c>
      <c r="C3017" s="7" t="s">
        <v>146</v>
      </c>
      <c r="D3017" s="9" t="s">
        <v>45</v>
      </c>
      <c r="E3017" s="9" t="s">
        <v>44</v>
      </c>
      <c r="F3017" s="5" t="n">
        <v>12</v>
      </c>
      <c r="G3017" s="10"/>
      <c r="H3017" s="11" t="str">
        <f aca="false">IFERROR(IF($D3017="Manual Review","",IF($G3017="","",IF($D3017="Direct Expiry",$G3017,EDATE($G3017,$F3017)))),"Check Date")</f>
        <v/>
      </c>
      <c r="I3017" s="12" t="str">
        <f aca="true">IF($H3017="","",IF(ISNUMBER($H3017),$H3017-TODAY(),""))</f>
        <v/>
      </c>
      <c r="J3017" s="4" t="str">
        <f aca="true">IF($D3017="Manual Review","Manual Review",IF($G3017="","No Data",IF(NOT(ISNUMBER($H3017)),"N/A",IF($H3017&lt;TODAY(),"Overdue",IF($H3017&lt;=TODAY()+30,"Due within 1 Month",IF($H3017&lt;=TODAY()+60,"Due within 2 Months","OK"))))))</f>
        <v>No Data</v>
      </c>
      <c r="K3017" s="13"/>
    </row>
    <row r="3018" customFormat="false" ht="15" hidden="false" customHeight="false" outlineLevel="0" collapsed="false">
      <c r="A3018" s="9" t="str">
        <f aca="false">Vessels!B31</f>
        <v>Vessel 27</v>
      </c>
      <c r="B3018" s="9" t="s">
        <v>136</v>
      </c>
      <c r="C3018" s="7" t="s">
        <v>147</v>
      </c>
      <c r="D3018" s="9" t="s">
        <v>45</v>
      </c>
      <c r="E3018" s="9" t="s">
        <v>44</v>
      </c>
      <c r="F3018" s="5" t="n">
        <v>12</v>
      </c>
      <c r="G3018" s="10"/>
      <c r="H3018" s="11" t="str">
        <f aca="false">IFERROR(IF($D3018="Manual Review","",IF($G3018="","",IF($D3018="Direct Expiry",$G3018,EDATE($G3018,$F3018)))),"Check Date")</f>
        <v/>
      </c>
      <c r="I3018" s="12" t="str">
        <f aca="true">IF($H3018="","",IF(ISNUMBER($H3018),$H3018-TODAY(),""))</f>
        <v/>
      </c>
      <c r="J3018" s="4" t="str">
        <f aca="true">IF($D3018="Manual Review","Manual Review",IF($G3018="","No Data",IF(NOT(ISNUMBER($H3018)),"N/A",IF($H3018&lt;TODAY(),"Overdue",IF($H3018&lt;=TODAY()+30,"Due within 1 Month",IF($H3018&lt;=TODAY()+60,"Due within 2 Months","OK"))))))</f>
        <v>No Data</v>
      </c>
      <c r="K3018" s="13"/>
    </row>
    <row r="3019" customFormat="false" ht="15" hidden="false" customHeight="false" outlineLevel="0" collapsed="false">
      <c r="A3019" s="9" t="str">
        <f aca="false">Vessels!B31</f>
        <v>Vessel 27</v>
      </c>
      <c r="B3019" s="9" t="s">
        <v>136</v>
      </c>
      <c r="C3019" s="7" t="s">
        <v>148</v>
      </c>
      <c r="D3019" s="9" t="s">
        <v>45</v>
      </c>
      <c r="E3019" s="9" t="s">
        <v>44</v>
      </c>
      <c r="F3019" s="5" t="n">
        <v>12</v>
      </c>
      <c r="G3019" s="10"/>
      <c r="H3019" s="11" t="str">
        <f aca="false">IFERROR(IF($D3019="Manual Review","",IF($G3019="","",IF($D3019="Direct Expiry",$G3019,EDATE($G3019,$F3019)))),"Check Date")</f>
        <v/>
      </c>
      <c r="I3019" s="12" t="str">
        <f aca="true">IF($H3019="","",IF(ISNUMBER($H3019),$H3019-TODAY(),""))</f>
        <v/>
      </c>
      <c r="J3019" s="4" t="str">
        <f aca="true">IF($D3019="Manual Review","Manual Review",IF($G3019="","No Data",IF(NOT(ISNUMBER($H3019)),"N/A",IF($H3019&lt;TODAY(),"Overdue",IF($H3019&lt;=TODAY()+30,"Due within 1 Month",IF($H3019&lt;=TODAY()+60,"Due within 2 Months","OK"))))))</f>
        <v>No Data</v>
      </c>
      <c r="K3019" s="13"/>
    </row>
    <row r="3020" customFormat="false" ht="15" hidden="false" customHeight="false" outlineLevel="0" collapsed="false">
      <c r="A3020" s="9" t="str">
        <f aca="false">Vessels!B31</f>
        <v>Vessel 27</v>
      </c>
      <c r="B3020" s="9" t="s">
        <v>136</v>
      </c>
      <c r="C3020" s="7" t="s">
        <v>149</v>
      </c>
      <c r="D3020" s="9" t="s">
        <v>45</v>
      </c>
      <c r="E3020" s="9" t="s">
        <v>44</v>
      </c>
      <c r="F3020" s="5" t="n">
        <v>12</v>
      </c>
      <c r="G3020" s="10"/>
      <c r="H3020" s="11" t="str">
        <f aca="false">IFERROR(IF($D3020="Manual Review","",IF($G3020="","",IF($D3020="Direct Expiry",$G3020,EDATE($G3020,$F3020)))),"Check Date")</f>
        <v/>
      </c>
      <c r="I3020" s="12" t="str">
        <f aca="true">IF($H3020="","",IF(ISNUMBER($H3020),$H3020-TODAY(),""))</f>
        <v/>
      </c>
      <c r="J3020" s="4" t="str">
        <f aca="true">IF($D3020="Manual Review","Manual Review",IF($G3020="","No Data",IF(NOT(ISNUMBER($H3020)),"N/A",IF($H3020&lt;TODAY(),"Overdue",IF($H3020&lt;=TODAY()+30,"Due within 1 Month",IF($H3020&lt;=TODAY()+60,"Due within 2 Months","OK"))))))</f>
        <v>No Data</v>
      </c>
      <c r="K3020" s="13"/>
    </row>
    <row r="3021" customFormat="false" ht="15" hidden="false" customHeight="false" outlineLevel="0" collapsed="false">
      <c r="A3021" s="9" t="str">
        <f aca="false">Vessels!B31</f>
        <v>Vessel 27</v>
      </c>
      <c r="B3021" s="9" t="s">
        <v>136</v>
      </c>
      <c r="C3021" s="7" t="s">
        <v>150</v>
      </c>
      <c r="D3021" s="9" t="s">
        <v>45</v>
      </c>
      <c r="E3021" s="9" t="s">
        <v>44</v>
      </c>
      <c r="F3021" s="5" t="n">
        <v>12</v>
      </c>
      <c r="G3021" s="10"/>
      <c r="H3021" s="11" t="str">
        <f aca="false">IFERROR(IF($D3021="Manual Review","",IF($G3021="","",IF($D3021="Direct Expiry",$G3021,EDATE($G3021,$F3021)))),"Check Date")</f>
        <v/>
      </c>
      <c r="I3021" s="12" t="str">
        <f aca="true">IF($H3021="","",IF(ISNUMBER($H3021),$H3021-TODAY(),""))</f>
        <v/>
      </c>
      <c r="J3021" s="4" t="str">
        <f aca="true">IF($D3021="Manual Review","Manual Review",IF($G3021="","No Data",IF(NOT(ISNUMBER($H3021)),"N/A",IF($H3021&lt;TODAY(),"Overdue",IF($H3021&lt;=TODAY()+30,"Due within 1 Month",IF($H3021&lt;=TODAY()+60,"Due within 2 Months","OK"))))))</f>
        <v>No Data</v>
      </c>
      <c r="K3021" s="13"/>
    </row>
    <row r="3022" customFormat="false" ht="15" hidden="false" customHeight="false" outlineLevel="0" collapsed="false">
      <c r="A3022" s="9" t="str">
        <f aca="false">Vessels!B31</f>
        <v>Vessel 27</v>
      </c>
      <c r="B3022" s="9" t="s">
        <v>136</v>
      </c>
      <c r="C3022" s="7" t="s">
        <v>151</v>
      </c>
      <c r="D3022" s="9" t="s">
        <v>45</v>
      </c>
      <c r="E3022" s="9" t="s">
        <v>44</v>
      </c>
      <c r="F3022" s="5" t="n">
        <v>12</v>
      </c>
      <c r="G3022" s="10"/>
      <c r="H3022" s="11" t="str">
        <f aca="false">IFERROR(IF($D3022="Manual Review","",IF($G3022="","",IF($D3022="Direct Expiry",$G3022,EDATE($G3022,$F3022)))),"Check Date")</f>
        <v/>
      </c>
      <c r="I3022" s="12" t="str">
        <f aca="true">IF($H3022="","",IF(ISNUMBER($H3022),$H3022-TODAY(),""))</f>
        <v/>
      </c>
      <c r="J3022" s="4" t="str">
        <f aca="true">IF($D3022="Manual Review","Manual Review",IF($G3022="","No Data",IF(NOT(ISNUMBER($H3022)),"N/A",IF($H3022&lt;TODAY(),"Overdue",IF($H3022&lt;=TODAY()+30,"Due within 1 Month",IF($H3022&lt;=TODAY()+60,"Due within 2 Months","OK"))))))</f>
        <v>No Data</v>
      </c>
      <c r="K3022" s="13"/>
    </row>
    <row r="3023" customFormat="false" ht="15" hidden="false" customHeight="false" outlineLevel="0" collapsed="false">
      <c r="A3023" s="9" t="str">
        <f aca="false">Vessels!B31</f>
        <v>Vessel 27</v>
      </c>
      <c r="B3023" s="9" t="s">
        <v>136</v>
      </c>
      <c r="C3023" s="7" t="s">
        <v>152</v>
      </c>
      <c r="D3023" s="9" t="s">
        <v>45</v>
      </c>
      <c r="E3023" s="9" t="s">
        <v>44</v>
      </c>
      <c r="F3023" s="5" t="n">
        <v>12</v>
      </c>
      <c r="G3023" s="10"/>
      <c r="H3023" s="11" t="str">
        <f aca="false">IFERROR(IF($D3023="Manual Review","",IF($G3023="","",IF($D3023="Direct Expiry",$G3023,EDATE($G3023,$F3023)))),"Check Date")</f>
        <v/>
      </c>
      <c r="I3023" s="12" t="str">
        <f aca="true">IF($H3023="","",IF(ISNUMBER($H3023),$H3023-TODAY(),""))</f>
        <v/>
      </c>
      <c r="J3023" s="4" t="str">
        <f aca="true">IF($D3023="Manual Review","Manual Review",IF($G3023="","No Data",IF(NOT(ISNUMBER($H3023)),"N/A",IF($H3023&lt;TODAY(),"Overdue",IF($H3023&lt;=TODAY()+30,"Due within 1 Month",IF($H3023&lt;=TODAY()+60,"Due within 2 Months","OK"))))))</f>
        <v>No Data</v>
      </c>
      <c r="K3023" s="13"/>
    </row>
    <row r="3024" customFormat="false" ht="15" hidden="false" customHeight="false" outlineLevel="0" collapsed="false">
      <c r="A3024" s="9" t="str">
        <f aca="false">Vessels!B31</f>
        <v>Vessel 27</v>
      </c>
      <c r="B3024" s="9" t="s">
        <v>136</v>
      </c>
      <c r="C3024" s="7" t="s">
        <v>153</v>
      </c>
      <c r="D3024" s="9" t="s">
        <v>45</v>
      </c>
      <c r="E3024" s="9" t="s">
        <v>44</v>
      </c>
      <c r="F3024" s="5" t="n">
        <v>12</v>
      </c>
      <c r="G3024" s="10"/>
      <c r="H3024" s="11" t="str">
        <f aca="false">IFERROR(IF($D3024="Manual Review","",IF($G3024="","",IF($D3024="Direct Expiry",$G3024,EDATE($G3024,$F3024)))),"Check Date")</f>
        <v/>
      </c>
      <c r="I3024" s="12" t="str">
        <f aca="true">IF($H3024="","",IF(ISNUMBER($H3024),$H3024-TODAY(),""))</f>
        <v/>
      </c>
      <c r="J3024" s="4" t="str">
        <f aca="true">IF($D3024="Manual Review","Manual Review",IF($G3024="","No Data",IF(NOT(ISNUMBER($H3024)),"N/A",IF($H3024&lt;TODAY(),"Overdue",IF($H3024&lt;=TODAY()+30,"Due within 1 Month",IF($H3024&lt;=TODAY()+60,"Due within 2 Months","OK"))))))</f>
        <v>No Data</v>
      </c>
      <c r="K3024" s="13"/>
    </row>
    <row r="3025" customFormat="false" ht="15" hidden="false" customHeight="false" outlineLevel="0" collapsed="false">
      <c r="A3025" s="9" t="str">
        <f aca="false">Vessels!B31</f>
        <v>Vessel 27</v>
      </c>
      <c r="B3025" s="9" t="s">
        <v>136</v>
      </c>
      <c r="C3025" s="7" t="s">
        <v>154</v>
      </c>
      <c r="D3025" s="9" t="s">
        <v>45</v>
      </c>
      <c r="E3025" s="9" t="s">
        <v>44</v>
      </c>
      <c r="F3025" s="5" t="n">
        <v>12</v>
      </c>
      <c r="G3025" s="10"/>
      <c r="H3025" s="11" t="str">
        <f aca="false">IFERROR(IF($D3025="Manual Review","",IF($G3025="","",IF($D3025="Direct Expiry",$G3025,EDATE($G3025,$F3025)))),"Check Date")</f>
        <v/>
      </c>
      <c r="I3025" s="12" t="str">
        <f aca="true">IF($H3025="","",IF(ISNUMBER($H3025),$H3025-TODAY(),""))</f>
        <v/>
      </c>
      <c r="J3025" s="4" t="str">
        <f aca="true">IF($D3025="Manual Review","Manual Review",IF($G3025="","No Data",IF(NOT(ISNUMBER($H3025)),"N/A",IF($H3025&lt;TODAY(),"Overdue",IF($H3025&lt;=TODAY()+30,"Due within 1 Month",IF($H3025&lt;=TODAY()+60,"Due within 2 Months","OK"))))))</f>
        <v>No Data</v>
      </c>
      <c r="K3025" s="13"/>
    </row>
    <row r="3026" customFormat="false" ht="15" hidden="false" customHeight="false" outlineLevel="0" collapsed="false">
      <c r="A3026" s="9" t="str">
        <f aca="false">Vessels!B31</f>
        <v>Vessel 27</v>
      </c>
      <c r="B3026" s="9" t="s">
        <v>136</v>
      </c>
      <c r="C3026" s="7" t="s">
        <v>155</v>
      </c>
      <c r="D3026" s="9" t="s">
        <v>45</v>
      </c>
      <c r="E3026" s="9" t="s">
        <v>44</v>
      </c>
      <c r="F3026" s="5" t="n">
        <v>12</v>
      </c>
      <c r="G3026" s="10"/>
      <c r="H3026" s="11" t="str">
        <f aca="false">IFERROR(IF($D3026="Manual Review","",IF($G3026="","",IF($D3026="Direct Expiry",$G3026,EDATE($G3026,$F3026)))),"Check Date")</f>
        <v/>
      </c>
      <c r="I3026" s="12" t="str">
        <f aca="true">IF($H3026="","",IF(ISNUMBER($H3026),$H3026-TODAY(),""))</f>
        <v/>
      </c>
      <c r="J3026" s="4" t="str">
        <f aca="true">IF($D3026="Manual Review","Manual Review",IF($G3026="","No Data",IF(NOT(ISNUMBER($H3026)),"N/A",IF($H3026&lt;TODAY(),"Overdue",IF($H3026&lt;=TODAY()+30,"Due within 1 Month",IF($H3026&lt;=TODAY()+60,"Due within 2 Months","OK"))))))</f>
        <v>No Data</v>
      </c>
      <c r="K3026" s="13"/>
    </row>
    <row r="3027" customFormat="false" ht="15" hidden="false" customHeight="false" outlineLevel="0" collapsed="false">
      <c r="A3027" s="9" t="str">
        <f aca="false">Vessels!B31</f>
        <v>Vessel 27</v>
      </c>
      <c r="B3027" s="9" t="s">
        <v>136</v>
      </c>
      <c r="C3027" s="7" t="s">
        <v>156</v>
      </c>
      <c r="D3027" s="9" t="s">
        <v>45</v>
      </c>
      <c r="E3027" s="9" t="s">
        <v>44</v>
      </c>
      <c r="F3027" s="5" t="n">
        <v>12</v>
      </c>
      <c r="G3027" s="10"/>
      <c r="H3027" s="11" t="str">
        <f aca="false">IFERROR(IF($D3027="Manual Review","",IF($G3027="","",IF($D3027="Direct Expiry",$G3027,EDATE($G3027,$F3027)))),"Check Date")</f>
        <v/>
      </c>
      <c r="I3027" s="12" t="str">
        <f aca="true">IF($H3027="","",IF(ISNUMBER($H3027),$H3027-TODAY(),""))</f>
        <v/>
      </c>
      <c r="J3027" s="4" t="str">
        <f aca="true">IF($D3027="Manual Review","Manual Review",IF($G3027="","No Data",IF(NOT(ISNUMBER($H3027)),"N/A",IF($H3027&lt;TODAY(),"Overdue",IF($H3027&lt;=TODAY()+30,"Due within 1 Month",IF($H3027&lt;=TODAY()+60,"Due within 2 Months","OK"))))))</f>
        <v>No Data</v>
      </c>
      <c r="K3027" s="13"/>
    </row>
    <row r="3028" customFormat="false" ht="15" hidden="false" customHeight="false" outlineLevel="0" collapsed="false">
      <c r="A3028" s="9" t="str">
        <f aca="false">Vessels!B31</f>
        <v>Vessel 27</v>
      </c>
      <c r="B3028" s="9" t="s">
        <v>136</v>
      </c>
      <c r="C3028" s="7" t="s">
        <v>157</v>
      </c>
      <c r="D3028" s="9" t="s">
        <v>45</v>
      </c>
      <c r="E3028" s="9" t="s">
        <v>44</v>
      </c>
      <c r="F3028" s="5" t="n">
        <v>12</v>
      </c>
      <c r="G3028" s="10"/>
      <c r="H3028" s="11" t="str">
        <f aca="false">IFERROR(IF($D3028="Manual Review","",IF($G3028="","",IF($D3028="Direct Expiry",$G3028,EDATE($G3028,$F3028)))),"Check Date")</f>
        <v/>
      </c>
      <c r="I3028" s="12" t="str">
        <f aca="true">IF($H3028="","",IF(ISNUMBER($H3028),$H3028-TODAY(),""))</f>
        <v/>
      </c>
      <c r="J3028" s="4" t="str">
        <f aca="true">IF($D3028="Manual Review","Manual Review",IF($G3028="","No Data",IF(NOT(ISNUMBER($H3028)),"N/A",IF($H3028&lt;TODAY(),"Overdue",IF($H3028&lt;=TODAY()+30,"Due within 1 Month",IF($H3028&lt;=TODAY()+60,"Due within 2 Months","OK"))))))</f>
        <v>No Data</v>
      </c>
      <c r="K3028" s="13"/>
    </row>
    <row r="3029" customFormat="false" ht="15" hidden="false" customHeight="false" outlineLevel="0" collapsed="false">
      <c r="A3029" s="9" t="str">
        <f aca="false">Vessels!B32</f>
        <v>Vessel 28</v>
      </c>
      <c r="B3029" s="9" t="s">
        <v>42</v>
      </c>
      <c r="C3029" s="7" t="s">
        <v>43</v>
      </c>
      <c r="D3029" s="9" t="s">
        <v>45</v>
      </c>
      <c r="E3029" s="9" t="s">
        <v>44</v>
      </c>
      <c r="F3029" s="5" t="n">
        <v>12</v>
      </c>
      <c r="G3029" s="10"/>
      <c r="H3029" s="11" t="str">
        <f aca="false">IFERROR(IF($D3029="Manual Review","",IF($G3029="","",IF($D3029="Direct Expiry",$G3029,EDATE($G3029,$F3029)))),"Check Date")</f>
        <v/>
      </c>
      <c r="I3029" s="12" t="str">
        <f aca="true">IF($H3029="","",IF(ISNUMBER($H3029),$H3029-TODAY(),""))</f>
        <v/>
      </c>
      <c r="J3029" s="4" t="str">
        <f aca="true">IF($D3029="Manual Review","Manual Review",IF($G3029="","No Data",IF(NOT(ISNUMBER($H3029)),"N/A",IF($H3029&lt;TODAY(),"Overdue",IF($H3029&lt;=TODAY()+30,"Due within 1 Month",IF($H3029&lt;=TODAY()+60,"Due within 2 Months","OK"))))))</f>
        <v>No Data</v>
      </c>
      <c r="K3029" s="13"/>
    </row>
    <row r="3030" customFormat="false" ht="15" hidden="false" customHeight="false" outlineLevel="0" collapsed="false">
      <c r="A3030" s="9" t="str">
        <f aca="false">Vessels!B32</f>
        <v>Vessel 28</v>
      </c>
      <c r="B3030" s="9" t="s">
        <v>42</v>
      </c>
      <c r="C3030" s="7" t="s">
        <v>43</v>
      </c>
      <c r="D3030" s="9" t="s">
        <v>45</v>
      </c>
      <c r="E3030" s="9" t="s">
        <v>46</v>
      </c>
      <c r="F3030" s="5" t="n">
        <v>60</v>
      </c>
      <c r="G3030" s="10"/>
      <c r="H3030" s="11" t="str">
        <f aca="false">IFERROR(IF($D3030="Manual Review","",IF($G3030="","",IF($D3030="Direct Expiry",$G3030,EDATE($G3030,$F3030)))),"Check Date")</f>
        <v/>
      </c>
      <c r="I3030" s="12" t="str">
        <f aca="true">IF($H3030="","",IF(ISNUMBER($H3030),$H3030-TODAY(),""))</f>
        <v/>
      </c>
      <c r="J3030" s="4" t="str">
        <f aca="true">IF($D3030="Manual Review","Manual Review",IF($G3030="","No Data",IF(NOT(ISNUMBER($H3030)),"N/A",IF($H3030&lt;TODAY(),"Overdue",IF($H3030&lt;=TODAY()+30,"Due within 1 Month",IF($H3030&lt;=TODAY()+60,"Due within 2 Months","OK"))))))</f>
        <v>No Data</v>
      </c>
      <c r="K3030" s="13"/>
    </row>
    <row r="3031" customFormat="false" ht="15" hidden="false" customHeight="false" outlineLevel="0" collapsed="false">
      <c r="A3031" s="9" t="str">
        <f aca="false">Vessels!B32</f>
        <v>Vessel 28</v>
      </c>
      <c r="B3031" s="9" t="s">
        <v>42</v>
      </c>
      <c r="C3031" s="7" t="s">
        <v>47</v>
      </c>
      <c r="D3031" s="9" t="s">
        <v>45</v>
      </c>
      <c r="E3031" s="9" t="s">
        <v>44</v>
      </c>
      <c r="F3031" s="5" t="n">
        <v>12</v>
      </c>
      <c r="G3031" s="10"/>
      <c r="H3031" s="11" t="str">
        <f aca="false">IFERROR(IF($D3031="Manual Review","",IF($G3031="","",IF($D3031="Direct Expiry",$G3031,EDATE($G3031,$F3031)))),"Check Date")</f>
        <v/>
      </c>
      <c r="I3031" s="12" t="str">
        <f aca="true">IF($H3031="","",IF(ISNUMBER($H3031),$H3031-TODAY(),""))</f>
        <v/>
      </c>
      <c r="J3031" s="4" t="str">
        <f aca="true">IF($D3031="Manual Review","Manual Review",IF($G3031="","No Data",IF(NOT(ISNUMBER($H3031)),"N/A",IF($H3031&lt;TODAY(),"Overdue",IF($H3031&lt;=TODAY()+30,"Due within 1 Month",IF($H3031&lt;=TODAY()+60,"Due within 2 Months","OK"))))))</f>
        <v>No Data</v>
      </c>
      <c r="K3031" s="13"/>
    </row>
    <row r="3032" customFormat="false" ht="15" hidden="false" customHeight="false" outlineLevel="0" collapsed="false">
      <c r="A3032" s="9" t="str">
        <f aca="false">Vessels!B32</f>
        <v>Vessel 28</v>
      </c>
      <c r="B3032" s="9" t="s">
        <v>42</v>
      </c>
      <c r="C3032" s="7" t="s">
        <v>47</v>
      </c>
      <c r="D3032" s="9" t="s">
        <v>45</v>
      </c>
      <c r="E3032" s="9" t="s">
        <v>46</v>
      </c>
      <c r="F3032" s="5" t="n">
        <v>60</v>
      </c>
      <c r="G3032" s="10"/>
      <c r="H3032" s="11" t="str">
        <f aca="false">IFERROR(IF($D3032="Manual Review","",IF($G3032="","",IF($D3032="Direct Expiry",$G3032,EDATE($G3032,$F3032)))),"Check Date")</f>
        <v/>
      </c>
      <c r="I3032" s="12" t="str">
        <f aca="true">IF($H3032="","",IF(ISNUMBER($H3032),$H3032-TODAY(),""))</f>
        <v/>
      </c>
      <c r="J3032" s="4" t="str">
        <f aca="true">IF($D3032="Manual Review","Manual Review",IF($G3032="","No Data",IF(NOT(ISNUMBER($H3032)),"N/A",IF($H3032&lt;TODAY(),"Overdue",IF($H3032&lt;=TODAY()+30,"Due within 1 Month",IF($H3032&lt;=TODAY()+60,"Due within 2 Months","OK"))))))</f>
        <v>No Data</v>
      </c>
      <c r="K3032" s="13"/>
    </row>
    <row r="3033" customFormat="false" ht="15" hidden="false" customHeight="false" outlineLevel="0" collapsed="false">
      <c r="A3033" s="9" t="str">
        <f aca="false">Vessels!B32</f>
        <v>Vessel 28</v>
      </c>
      <c r="B3033" s="9" t="s">
        <v>42</v>
      </c>
      <c r="C3033" s="7" t="s">
        <v>48</v>
      </c>
      <c r="D3033" s="9" t="s">
        <v>45</v>
      </c>
      <c r="E3033" s="9" t="s">
        <v>44</v>
      </c>
      <c r="F3033" s="5" t="n">
        <v>12</v>
      </c>
      <c r="G3033" s="10"/>
      <c r="H3033" s="11" t="str">
        <f aca="false">IFERROR(IF($D3033="Manual Review","",IF($G3033="","",IF($D3033="Direct Expiry",$G3033,EDATE($G3033,$F3033)))),"Check Date")</f>
        <v/>
      </c>
      <c r="I3033" s="12" t="str">
        <f aca="true">IF($H3033="","",IF(ISNUMBER($H3033),$H3033-TODAY(),""))</f>
        <v/>
      </c>
      <c r="J3033" s="4" t="str">
        <f aca="true">IF($D3033="Manual Review","Manual Review",IF($G3033="","No Data",IF(NOT(ISNUMBER($H3033)),"N/A",IF($H3033&lt;TODAY(),"Overdue",IF($H3033&lt;=TODAY()+30,"Due within 1 Month",IF($H3033&lt;=TODAY()+60,"Due within 2 Months","OK"))))))</f>
        <v>No Data</v>
      </c>
      <c r="K3033" s="13"/>
    </row>
    <row r="3034" customFormat="false" ht="15" hidden="false" customHeight="false" outlineLevel="0" collapsed="false">
      <c r="A3034" s="9" t="str">
        <f aca="false">Vessels!B32</f>
        <v>Vessel 28</v>
      </c>
      <c r="B3034" s="9" t="s">
        <v>42</v>
      </c>
      <c r="C3034" s="7" t="s">
        <v>48</v>
      </c>
      <c r="D3034" s="9" t="s">
        <v>45</v>
      </c>
      <c r="E3034" s="9" t="s">
        <v>49</v>
      </c>
      <c r="F3034" s="5" t="n">
        <v>60</v>
      </c>
      <c r="G3034" s="10"/>
      <c r="H3034" s="11" t="str">
        <f aca="false">IFERROR(IF($D3034="Manual Review","",IF($G3034="","",IF($D3034="Direct Expiry",$G3034,EDATE($G3034,$F3034)))),"Check Date")</f>
        <v/>
      </c>
      <c r="I3034" s="12" t="str">
        <f aca="true">IF($H3034="","",IF(ISNUMBER($H3034),$H3034-TODAY(),""))</f>
        <v/>
      </c>
      <c r="J3034" s="4" t="str">
        <f aca="true">IF($D3034="Manual Review","Manual Review",IF($G3034="","No Data",IF(NOT(ISNUMBER($H3034)),"N/A",IF($H3034&lt;TODAY(),"Overdue",IF($H3034&lt;=TODAY()+30,"Due within 1 Month",IF($H3034&lt;=TODAY()+60,"Due within 2 Months","OK"))))))</f>
        <v>No Data</v>
      </c>
      <c r="K3034" s="13"/>
    </row>
    <row r="3035" customFormat="false" ht="15" hidden="false" customHeight="false" outlineLevel="0" collapsed="false">
      <c r="A3035" s="9" t="str">
        <f aca="false">Vessels!B32</f>
        <v>Vessel 28</v>
      </c>
      <c r="B3035" s="9" t="s">
        <v>42</v>
      </c>
      <c r="C3035" s="7" t="s">
        <v>50</v>
      </c>
      <c r="D3035" s="9" t="s">
        <v>45</v>
      </c>
      <c r="E3035" s="9" t="s">
        <v>44</v>
      </c>
      <c r="F3035" s="5" t="n">
        <v>12</v>
      </c>
      <c r="G3035" s="10"/>
      <c r="H3035" s="11" t="str">
        <f aca="false">IFERROR(IF($D3035="Manual Review","",IF($G3035="","",IF($D3035="Direct Expiry",$G3035,EDATE($G3035,$F3035)))),"Check Date")</f>
        <v/>
      </c>
      <c r="I3035" s="12" t="str">
        <f aca="true">IF($H3035="","",IF(ISNUMBER($H3035),$H3035-TODAY(),""))</f>
        <v/>
      </c>
      <c r="J3035" s="4" t="str">
        <f aca="true">IF($D3035="Manual Review","Manual Review",IF($G3035="","No Data",IF(NOT(ISNUMBER($H3035)),"N/A",IF($H3035&lt;TODAY(),"Overdue",IF($H3035&lt;=TODAY()+30,"Due within 1 Month",IF($H3035&lt;=TODAY()+60,"Due within 2 Months","OK"))))))</f>
        <v>No Data</v>
      </c>
      <c r="K3035" s="13"/>
    </row>
    <row r="3036" customFormat="false" ht="15" hidden="false" customHeight="false" outlineLevel="0" collapsed="false">
      <c r="A3036" s="9" t="str">
        <f aca="false">Vessels!B32</f>
        <v>Vessel 28</v>
      </c>
      <c r="B3036" s="9" t="s">
        <v>42</v>
      </c>
      <c r="C3036" s="7" t="s">
        <v>50</v>
      </c>
      <c r="D3036" s="9" t="s">
        <v>45</v>
      </c>
      <c r="E3036" s="9" t="s">
        <v>49</v>
      </c>
      <c r="F3036" s="5" t="n">
        <v>60</v>
      </c>
      <c r="G3036" s="10"/>
      <c r="H3036" s="11" t="str">
        <f aca="false">IFERROR(IF($D3036="Manual Review","",IF($G3036="","",IF($D3036="Direct Expiry",$G3036,EDATE($G3036,$F3036)))),"Check Date")</f>
        <v/>
      </c>
      <c r="I3036" s="12" t="str">
        <f aca="true">IF($H3036="","",IF(ISNUMBER($H3036),$H3036-TODAY(),""))</f>
        <v/>
      </c>
      <c r="J3036" s="4" t="str">
        <f aca="true">IF($D3036="Manual Review","Manual Review",IF($G3036="","No Data",IF(NOT(ISNUMBER($H3036)),"N/A",IF($H3036&lt;TODAY(),"Overdue",IF($H3036&lt;=TODAY()+30,"Due within 1 Month",IF($H3036&lt;=TODAY()+60,"Due within 2 Months","OK"))))))</f>
        <v>No Data</v>
      </c>
      <c r="K3036" s="13"/>
    </row>
    <row r="3037" customFormat="false" ht="15" hidden="false" customHeight="false" outlineLevel="0" collapsed="false">
      <c r="A3037" s="9" t="str">
        <f aca="false">Vessels!B32</f>
        <v>Vessel 28</v>
      </c>
      <c r="B3037" s="9" t="s">
        <v>42</v>
      </c>
      <c r="C3037" s="7" t="s">
        <v>51</v>
      </c>
      <c r="D3037" s="9" t="s">
        <v>45</v>
      </c>
      <c r="E3037" s="9" t="s">
        <v>46</v>
      </c>
      <c r="F3037" s="5" t="n">
        <v>60</v>
      </c>
      <c r="G3037" s="10"/>
      <c r="H3037" s="11" t="str">
        <f aca="false">IFERROR(IF($D3037="Manual Review","",IF($G3037="","",IF($D3037="Direct Expiry",$G3037,EDATE($G3037,$F3037)))),"Check Date")</f>
        <v/>
      </c>
      <c r="I3037" s="12" t="str">
        <f aca="true">IF($H3037="","",IF(ISNUMBER($H3037),$H3037-TODAY(),""))</f>
        <v/>
      </c>
      <c r="J3037" s="4" t="str">
        <f aca="true">IF($D3037="Manual Review","Manual Review",IF($G3037="","No Data",IF(NOT(ISNUMBER($H3037)),"N/A",IF($H3037&lt;TODAY(),"Overdue",IF($H3037&lt;=TODAY()+30,"Due within 1 Month",IF($H3037&lt;=TODAY()+60,"Due within 2 Months","OK"))))))</f>
        <v>No Data</v>
      </c>
      <c r="K3037" s="13"/>
    </row>
    <row r="3038" customFormat="false" ht="15" hidden="false" customHeight="false" outlineLevel="0" collapsed="false">
      <c r="A3038" s="9" t="str">
        <f aca="false">Vessels!B32</f>
        <v>Vessel 28</v>
      </c>
      <c r="B3038" s="9" t="s">
        <v>42</v>
      </c>
      <c r="C3038" s="7" t="s">
        <v>52</v>
      </c>
      <c r="D3038" s="9" t="s">
        <v>45</v>
      </c>
      <c r="E3038" s="9" t="s">
        <v>46</v>
      </c>
      <c r="F3038" s="5" t="n">
        <v>60</v>
      </c>
      <c r="G3038" s="10"/>
      <c r="H3038" s="11" t="str">
        <f aca="false">IFERROR(IF($D3038="Manual Review","",IF($G3038="","",IF($D3038="Direct Expiry",$G3038,EDATE($G3038,$F3038)))),"Check Date")</f>
        <v/>
      </c>
      <c r="I3038" s="12" t="str">
        <f aca="true">IF($H3038="","",IF(ISNUMBER($H3038),$H3038-TODAY(),""))</f>
        <v/>
      </c>
      <c r="J3038" s="4" t="str">
        <f aca="true">IF($D3038="Manual Review","Manual Review",IF($G3038="","No Data",IF(NOT(ISNUMBER($H3038)),"N/A",IF($H3038&lt;TODAY(),"Overdue",IF($H3038&lt;=TODAY()+30,"Due within 1 Month",IF($H3038&lt;=TODAY()+60,"Due within 2 Months","OK"))))))</f>
        <v>No Data</v>
      </c>
      <c r="K3038" s="13"/>
    </row>
    <row r="3039" customFormat="false" ht="15" hidden="false" customHeight="false" outlineLevel="0" collapsed="false">
      <c r="A3039" s="9" t="str">
        <f aca="false">Vessels!B32</f>
        <v>Vessel 28</v>
      </c>
      <c r="B3039" s="9" t="s">
        <v>42</v>
      </c>
      <c r="C3039" s="7" t="s">
        <v>53</v>
      </c>
      <c r="D3039" s="9" t="s">
        <v>45</v>
      </c>
      <c r="E3039" s="9" t="s">
        <v>46</v>
      </c>
      <c r="F3039" s="5" t="n">
        <v>60</v>
      </c>
      <c r="G3039" s="10"/>
      <c r="H3039" s="11" t="str">
        <f aca="false">IFERROR(IF($D3039="Manual Review","",IF($G3039="","",IF($D3039="Direct Expiry",$G3039,EDATE($G3039,$F3039)))),"Check Date")</f>
        <v/>
      </c>
      <c r="I3039" s="12" t="str">
        <f aca="true">IF($H3039="","",IF(ISNUMBER($H3039),$H3039-TODAY(),""))</f>
        <v/>
      </c>
      <c r="J3039" s="4" t="str">
        <f aca="true">IF($D3039="Manual Review","Manual Review",IF($G3039="","No Data",IF(NOT(ISNUMBER($H3039)),"N/A",IF($H3039&lt;TODAY(),"Overdue",IF($H3039&lt;=TODAY()+30,"Due within 1 Month",IF($H3039&lt;=TODAY()+60,"Due within 2 Months","OK"))))))</f>
        <v>No Data</v>
      </c>
      <c r="K3039" s="13"/>
    </row>
    <row r="3040" customFormat="false" ht="15" hidden="false" customHeight="false" outlineLevel="0" collapsed="false">
      <c r="A3040" s="9" t="str">
        <f aca="false">Vessels!B32</f>
        <v>Vessel 28</v>
      </c>
      <c r="B3040" s="9" t="s">
        <v>42</v>
      </c>
      <c r="C3040" s="7" t="s">
        <v>54</v>
      </c>
      <c r="D3040" s="9" t="s">
        <v>45</v>
      </c>
      <c r="E3040" s="9" t="s">
        <v>46</v>
      </c>
      <c r="F3040" s="5" t="n">
        <v>60</v>
      </c>
      <c r="G3040" s="10"/>
      <c r="H3040" s="11" t="str">
        <f aca="false">IFERROR(IF($D3040="Manual Review","",IF($G3040="","",IF($D3040="Direct Expiry",$G3040,EDATE($G3040,$F3040)))),"Check Date")</f>
        <v/>
      </c>
      <c r="I3040" s="12" t="str">
        <f aca="true">IF($H3040="","",IF(ISNUMBER($H3040),$H3040-TODAY(),""))</f>
        <v/>
      </c>
      <c r="J3040" s="4" t="str">
        <f aca="true">IF($D3040="Manual Review","Manual Review",IF($G3040="","No Data",IF(NOT(ISNUMBER($H3040)),"N/A",IF($H3040&lt;TODAY(),"Overdue",IF($H3040&lt;=TODAY()+30,"Due within 1 Month",IF($H3040&lt;=TODAY()+60,"Due within 2 Months","OK"))))))</f>
        <v>No Data</v>
      </c>
      <c r="K3040" s="13"/>
    </row>
    <row r="3041" customFormat="false" ht="15" hidden="false" customHeight="false" outlineLevel="0" collapsed="false">
      <c r="A3041" s="9" t="str">
        <f aca="false">Vessels!B32</f>
        <v>Vessel 28</v>
      </c>
      <c r="B3041" s="9" t="s">
        <v>42</v>
      </c>
      <c r="C3041" s="7" t="s">
        <v>55</v>
      </c>
      <c r="D3041" s="9" t="s">
        <v>45</v>
      </c>
      <c r="E3041" s="9" t="s">
        <v>46</v>
      </c>
      <c r="F3041" s="5" t="n">
        <v>60</v>
      </c>
      <c r="G3041" s="10"/>
      <c r="H3041" s="11" t="str">
        <f aca="false">IFERROR(IF($D3041="Manual Review","",IF($G3041="","",IF($D3041="Direct Expiry",$G3041,EDATE($G3041,$F3041)))),"Check Date")</f>
        <v/>
      </c>
      <c r="I3041" s="12" t="str">
        <f aca="true">IF($H3041="","",IF(ISNUMBER($H3041),$H3041-TODAY(),""))</f>
        <v/>
      </c>
      <c r="J3041" s="4" t="str">
        <f aca="true">IF($D3041="Manual Review","Manual Review",IF($G3041="","No Data",IF(NOT(ISNUMBER($H3041)),"N/A",IF($H3041&lt;TODAY(),"Overdue",IF($H3041&lt;=TODAY()+30,"Due within 1 Month",IF($H3041&lt;=TODAY()+60,"Due within 2 Months","OK"))))))</f>
        <v>No Data</v>
      </c>
      <c r="K3041" s="13"/>
    </row>
    <row r="3042" customFormat="false" ht="15" hidden="false" customHeight="false" outlineLevel="0" collapsed="false">
      <c r="A3042" s="9" t="str">
        <f aca="false">Vessels!B32</f>
        <v>Vessel 28</v>
      </c>
      <c r="B3042" s="9" t="s">
        <v>42</v>
      </c>
      <c r="C3042" s="7" t="s">
        <v>56</v>
      </c>
      <c r="D3042" s="9" t="s">
        <v>45</v>
      </c>
      <c r="E3042" s="9" t="s">
        <v>46</v>
      </c>
      <c r="F3042" s="5" t="n">
        <v>60</v>
      </c>
      <c r="G3042" s="10"/>
      <c r="H3042" s="11" t="str">
        <f aca="false">IFERROR(IF($D3042="Manual Review","",IF($G3042="","",IF($D3042="Direct Expiry",$G3042,EDATE($G3042,$F3042)))),"Check Date")</f>
        <v/>
      </c>
      <c r="I3042" s="12" t="str">
        <f aca="true">IF($H3042="","",IF(ISNUMBER($H3042),$H3042-TODAY(),""))</f>
        <v/>
      </c>
      <c r="J3042" s="4" t="str">
        <f aca="true">IF($D3042="Manual Review","Manual Review",IF($G3042="","No Data",IF(NOT(ISNUMBER($H3042)),"N/A",IF($H3042&lt;TODAY(),"Overdue",IF($H3042&lt;=TODAY()+30,"Due within 1 Month",IF($H3042&lt;=TODAY()+60,"Due within 2 Months","OK"))))))</f>
        <v>No Data</v>
      </c>
      <c r="K3042" s="13"/>
    </row>
    <row r="3043" customFormat="false" ht="15" hidden="false" customHeight="false" outlineLevel="0" collapsed="false">
      <c r="A3043" s="9" t="str">
        <f aca="false">Vessels!B32</f>
        <v>Vessel 28</v>
      </c>
      <c r="B3043" s="9" t="s">
        <v>42</v>
      </c>
      <c r="C3043" s="7" t="s">
        <v>57</v>
      </c>
      <c r="D3043" s="9" t="s">
        <v>59</v>
      </c>
      <c r="E3043" s="9" t="s">
        <v>58</v>
      </c>
      <c r="F3043" s="5"/>
      <c r="G3043" s="10"/>
      <c r="H3043" s="11" t="str">
        <f aca="false">IFERROR(IF($D3043="Manual Review","",IF($G3043="","",IF($D3043="Direct Expiry",$G3043,EDATE($G3043,$F3043)))),"Check Date")</f>
        <v/>
      </c>
      <c r="I3043" s="12" t="str">
        <f aca="true">IF($H3043="","",IF(ISNUMBER($H3043),$H3043-TODAY(),""))</f>
        <v/>
      </c>
      <c r="J3043" s="4" t="str">
        <f aca="true">IF($D3043="Manual Review","Manual Review",IF($G3043="","No Data",IF(NOT(ISNUMBER($H3043)),"N/A",IF($H3043&lt;TODAY(),"Overdue",IF($H3043&lt;=TODAY()+30,"Due within 1 Month",IF($H3043&lt;=TODAY()+60,"Due within 2 Months","OK"))))))</f>
        <v>No Data</v>
      </c>
      <c r="K3043" s="13"/>
    </row>
    <row r="3044" customFormat="false" ht="15" hidden="false" customHeight="false" outlineLevel="0" collapsed="false">
      <c r="A3044" s="9" t="str">
        <f aca="false">Vessels!B32</f>
        <v>Vessel 28</v>
      </c>
      <c r="B3044" s="9" t="s">
        <v>42</v>
      </c>
      <c r="C3044" s="7" t="s">
        <v>60</v>
      </c>
      <c r="D3044" s="9" t="s">
        <v>45</v>
      </c>
      <c r="E3044" s="9" t="s">
        <v>44</v>
      </c>
      <c r="F3044" s="5" t="n">
        <v>12</v>
      </c>
      <c r="G3044" s="10"/>
      <c r="H3044" s="11" t="str">
        <f aca="false">IFERROR(IF($D3044="Manual Review","",IF($G3044="","",IF($D3044="Direct Expiry",$G3044,EDATE($G3044,$F3044)))),"Check Date")</f>
        <v/>
      </c>
      <c r="I3044" s="12" t="str">
        <f aca="true">IF($H3044="","",IF(ISNUMBER($H3044),$H3044-TODAY(),""))</f>
        <v/>
      </c>
      <c r="J3044" s="4" t="str">
        <f aca="true">IF($D3044="Manual Review","Manual Review",IF($G3044="","No Data",IF(NOT(ISNUMBER($H3044)),"N/A",IF($H3044&lt;TODAY(),"Overdue",IF($H3044&lt;=TODAY()+30,"Due within 1 Month",IF($H3044&lt;=TODAY()+60,"Due within 2 Months","OK"))))))</f>
        <v>No Data</v>
      </c>
      <c r="K3044" s="13"/>
    </row>
    <row r="3045" customFormat="false" ht="15" hidden="false" customHeight="false" outlineLevel="0" collapsed="false">
      <c r="A3045" s="9" t="str">
        <f aca="false">Vessels!B32</f>
        <v>Vessel 28</v>
      </c>
      <c r="B3045" s="9" t="s">
        <v>42</v>
      </c>
      <c r="C3045" s="7" t="s">
        <v>60</v>
      </c>
      <c r="D3045" s="9" t="s">
        <v>45</v>
      </c>
      <c r="E3045" s="9" t="s">
        <v>46</v>
      </c>
      <c r="F3045" s="5" t="n">
        <v>60</v>
      </c>
      <c r="G3045" s="10"/>
      <c r="H3045" s="11" t="str">
        <f aca="false">IFERROR(IF($D3045="Manual Review","",IF($G3045="","",IF($D3045="Direct Expiry",$G3045,EDATE($G3045,$F3045)))),"Check Date")</f>
        <v/>
      </c>
      <c r="I3045" s="12" t="str">
        <f aca="true">IF($H3045="","",IF(ISNUMBER($H3045),$H3045-TODAY(),""))</f>
        <v/>
      </c>
      <c r="J3045" s="4" t="str">
        <f aca="true">IF($D3045="Manual Review","Manual Review",IF($G3045="","No Data",IF(NOT(ISNUMBER($H3045)),"N/A",IF($H3045&lt;TODAY(),"Overdue",IF($H3045&lt;=TODAY()+30,"Due within 1 Month",IF($H3045&lt;=TODAY()+60,"Due within 2 Months","OK"))))))</f>
        <v>No Data</v>
      </c>
      <c r="K3045" s="13"/>
    </row>
    <row r="3046" customFormat="false" ht="15" hidden="false" customHeight="false" outlineLevel="0" collapsed="false">
      <c r="A3046" s="9" t="str">
        <f aca="false">Vessels!B32</f>
        <v>Vessel 28</v>
      </c>
      <c r="B3046" s="9" t="s">
        <v>42</v>
      </c>
      <c r="C3046" s="7" t="s">
        <v>61</v>
      </c>
      <c r="D3046" s="9" t="s">
        <v>45</v>
      </c>
      <c r="E3046" s="9" t="s">
        <v>44</v>
      </c>
      <c r="F3046" s="5" t="n">
        <v>12</v>
      </c>
      <c r="G3046" s="10"/>
      <c r="H3046" s="11" t="str">
        <f aca="false">IFERROR(IF($D3046="Manual Review","",IF($G3046="","",IF($D3046="Direct Expiry",$G3046,EDATE($G3046,$F3046)))),"Check Date")</f>
        <v/>
      </c>
      <c r="I3046" s="12" t="str">
        <f aca="true">IF($H3046="","",IF(ISNUMBER($H3046),$H3046-TODAY(),""))</f>
        <v/>
      </c>
      <c r="J3046" s="4" t="str">
        <f aca="true">IF($D3046="Manual Review","Manual Review",IF($G3046="","No Data",IF(NOT(ISNUMBER($H3046)),"N/A",IF($H3046&lt;TODAY(),"Overdue",IF($H3046&lt;=TODAY()+30,"Due within 1 Month",IF($H3046&lt;=TODAY()+60,"Due within 2 Months","OK"))))))</f>
        <v>No Data</v>
      </c>
      <c r="K3046" s="13"/>
    </row>
    <row r="3047" customFormat="false" ht="15" hidden="false" customHeight="false" outlineLevel="0" collapsed="false">
      <c r="A3047" s="9" t="str">
        <f aca="false">Vessels!B32</f>
        <v>Vessel 28</v>
      </c>
      <c r="B3047" s="9" t="s">
        <v>42</v>
      </c>
      <c r="C3047" s="7" t="s">
        <v>61</v>
      </c>
      <c r="D3047" s="9" t="s">
        <v>45</v>
      </c>
      <c r="E3047" s="9" t="s">
        <v>46</v>
      </c>
      <c r="F3047" s="5" t="n">
        <v>60</v>
      </c>
      <c r="G3047" s="10"/>
      <c r="H3047" s="11" t="str">
        <f aca="false">IFERROR(IF($D3047="Manual Review","",IF($G3047="","",IF($D3047="Direct Expiry",$G3047,EDATE($G3047,$F3047)))),"Check Date")</f>
        <v/>
      </c>
      <c r="I3047" s="12" t="str">
        <f aca="true">IF($H3047="","",IF(ISNUMBER($H3047),$H3047-TODAY(),""))</f>
        <v/>
      </c>
      <c r="J3047" s="4" t="str">
        <f aca="true">IF($D3047="Manual Review","Manual Review",IF($G3047="","No Data",IF(NOT(ISNUMBER($H3047)),"N/A",IF($H3047&lt;TODAY(),"Overdue",IF($H3047&lt;=TODAY()+30,"Due within 1 Month",IF($H3047&lt;=TODAY()+60,"Due within 2 Months","OK"))))))</f>
        <v>No Data</v>
      </c>
      <c r="K3047" s="13"/>
    </row>
    <row r="3048" customFormat="false" ht="15" hidden="false" customHeight="false" outlineLevel="0" collapsed="false">
      <c r="A3048" s="9" t="str">
        <f aca="false">Vessels!B32</f>
        <v>Vessel 28</v>
      </c>
      <c r="B3048" s="9" t="s">
        <v>42</v>
      </c>
      <c r="C3048" s="7" t="s">
        <v>62</v>
      </c>
      <c r="D3048" s="9" t="s">
        <v>45</v>
      </c>
      <c r="E3048" s="9" t="s">
        <v>44</v>
      </c>
      <c r="F3048" s="5" t="n">
        <v>12</v>
      </c>
      <c r="G3048" s="10"/>
      <c r="H3048" s="11" t="str">
        <f aca="false">IFERROR(IF($D3048="Manual Review","",IF($G3048="","",IF($D3048="Direct Expiry",$G3048,EDATE($G3048,$F3048)))),"Check Date")</f>
        <v/>
      </c>
      <c r="I3048" s="12" t="str">
        <f aca="true">IF($H3048="","",IF(ISNUMBER($H3048),$H3048-TODAY(),""))</f>
        <v/>
      </c>
      <c r="J3048" s="4" t="str">
        <f aca="true">IF($D3048="Manual Review","Manual Review",IF($G3048="","No Data",IF(NOT(ISNUMBER($H3048)),"N/A",IF($H3048&lt;TODAY(),"Overdue",IF($H3048&lt;=TODAY()+30,"Due within 1 Month",IF($H3048&lt;=TODAY()+60,"Due within 2 Months","OK"))))))</f>
        <v>No Data</v>
      </c>
      <c r="K3048" s="13"/>
    </row>
    <row r="3049" customFormat="false" ht="15" hidden="false" customHeight="false" outlineLevel="0" collapsed="false">
      <c r="A3049" s="9" t="str">
        <f aca="false">Vessels!B32</f>
        <v>Vessel 28</v>
      </c>
      <c r="B3049" s="9" t="s">
        <v>42</v>
      </c>
      <c r="C3049" s="7" t="s">
        <v>62</v>
      </c>
      <c r="D3049" s="9" t="s">
        <v>45</v>
      </c>
      <c r="E3049" s="9" t="s">
        <v>49</v>
      </c>
      <c r="F3049" s="5" t="n">
        <v>60</v>
      </c>
      <c r="G3049" s="10"/>
      <c r="H3049" s="11" t="str">
        <f aca="false">IFERROR(IF($D3049="Manual Review","",IF($G3049="","",IF($D3049="Direct Expiry",$G3049,EDATE($G3049,$F3049)))),"Check Date")</f>
        <v/>
      </c>
      <c r="I3049" s="12" t="str">
        <f aca="true">IF($H3049="","",IF(ISNUMBER($H3049),$H3049-TODAY(),""))</f>
        <v/>
      </c>
      <c r="J3049" s="4" t="str">
        <f aca="true">IF($D3049="Manual Review","Manual Review",IF($G3049="","No Data",IF(NOT(ISNUMBER($H3049)),"N/A",IF($H3049&lt;TODAY(),"Overdue",IF($H3049&lt;=TODAY()+30,"Due within 1 Month",IF($H3049&lt;=TODAY()+60,"Due within 2 Months","OK"))))))</f>
        <v>No Data</v>
      </c>
      <c r="K3049" s="13"/>
    </row>
    <row r="3050" customFormat="false" ht="15" hidden="false" customHeight="false" outlineLevel="0" collapsed="false">
      <c r="A3050" s="9" t="str">
        <f aca="false">Vessels!B32</f>
        <v>Vessel 28</v>
      </c>
      <c r="B3050" s="9" t="s">
        <v>42</v>
      </c>
      <c r="C3050" s="7" t="s">
        <v>63</v>
      </c>
      <c r="D3050" s="9" t="s">
        <v>45</v>
      </c>
      <c r="E3050" s="9" t="s">
        <v>44</v>
      </c>
      <c r="F3050" s="5" t="n">
        <v>12</v>
      </c>
      <c r="G3050" s="10"/>
      <c r="H3050" s="11" t="str">
        <f aca="false">IFERROR(IF($D3050="Manual Review","",IF($G3050="","",IF($D3050="Direct Expiry",$G3050,EDATE($G3050,$F3050)))),"Check Date")</f>
        <v/>
      </c>
      <c r="I3050" s="12" t="str">
        <f aca="true">IF($H3050="","",IF(ISNUMBER($H3050),$H3050-TODAY(),""))</f>
        <v/>
      </c>
      <c r="J3050" s="4" t="str">
        <f aca="true">IF($D3050="Manual Review","Manual Review",IF($G3050="","No Data",IF(NOT(ISNUMBER($H3050)),"N/A",IF($H3050&lt;TODAY(),"Overdue",IF($H3050&lt;=TODAY()+30,"Due within 1 Month",IF($H3050&lt;=TODAY()+60,"Due within 2 Months","OK"))))))</f>
        <v>No Data</v>
      </c>
      <c r="K3050" s="13"/>
    </row>
    <row r="3051" customFormat="false" ht="15" hidden="false" customHeight="false" outlineLevel="0" collapsed="false">
      <c r="A3051" s="9" t="str">
        <f aca="false">Vessels!B32</f>
        <v>Vessel 28</v>
      </c>
      <c r="B3051" s="9" t="s">
        <v>42</v>
      </c>
      <c r="C3051" s="7" t="s">
        <v>63</v>
      </c>
      <c r="D3051" s="9" t="s">
        <v>45</v>
      </c>
      <c r="E3051" s="9" t="s">
        <v>49</v>
      </c>
      <c r="F3051" s="5" t="n">
        <v>60</v>
      </c>
      <c r="G3051" s="10"/>
      <c r="H3051" s="11" t="str">
        <f aca="false">IFERROR(IF($D3051="Manual Review","",IF($G3051="","",IF($D3051="Direct Expiry",$G3051,EDATE($G3051,$F3051)))),"Check Date")</f>
        <v/>
      </c>
      <c r="I3051" s="12" t="str">
        <f aca="true">IF($H3051="","",IF(ISNUMBER($H3051),$H3051-TODAY(),""))</f>
        <v/>
      </c>
      <c r="J3051" s="4" t="str">
        <f aca="true">IF($D3051="Manual Review","Manual Review",IF($G3051="","No Data",IF(NOT(ISNUMBER($H3051)),"N/A",IF($H3051&lt;TODAY(),"Overdue",IF($H3051&lt;=TODAY()+30,"Due within 1 Month",IF($H3051&lt;=TODAY()+60,"Due within 2 Months","OK"))))))</f>
        <v>No Data</v>
      </c>
      <c r="K3051" s="13"/>
    </row>
    <row r="3052" customFormat="false" ht="15" hidden="false" customHeight="false" outlineLevel="0" collapsed="false">
      <c r="A3052" s="9" t="str">
        <f aca="false">Vessels!B32</f>
        <v>Vessel 28</v>
      </c>
      <c r="B3052" s="9" t="s">
        <v>42</v>
      </c>
      <c r="C3052" s="7" t="s">
        <v>64</v>
      </c>
      <c r="D3052" s="9" t="s">
        <v>45</v>
      </c>
      <c r="E3052" s="9" t="s">
        <v>46</v>
      </c>
      <c r="F3052" s="5" t="n">
        <v>60</v>
      </c>
      <c r="G3052" s="10"/>
      <c r="H3052" s="11" t="str">
        <f aca="false">IFERROR(IF($D3052="Manual Review","",IF($G3052="","",IF($D3052="Direct Expiry",$G3052,EDATE($G3052,$F3052)))),"Check Date")</f>
        <v/>
      </c>
      <c r="I3052" s="12" t="str">
        <f aca="true">IF($H3052="","",IF(ISNUMBER($H3052),$H3052-TODAY(),""))</f>
        <v/>
      </c>
      <c r="J3052" s="4" t="str">
        <f aca="true">IF($D3052="Manual Review","Manual Review",IF($G3052="","No Data",IF(NOT(ISNUMBER($H3052)),"N/A",IF($H3052&lt;TODAY(),"Overdue",IF($H3052&lt;=TODAY()+30,"Due within 1 Month",IF($H3052&lt;=TODAY()+60,"Due within 2 Months","OK"))))))</f>
        <v>No Data</v>
      </c>
      <c r="K3052" s="13"/>
    </row>
    <row r="3053" customFormat="false" ht="15" hidden="false" customHeight="false" outlineLevel="0" collapsed="false">
      <c r="A3053" s="9" t="str">
        <f aca="false">Vessels!B32</f>
        <v>Vessel 28</v>
      </c>
      <c r="B3053" s="9" t="s">
        <v>42</v>
      </c>
      <c r="C3053" s="7" t="s">
        <v>65</v>
      </c>
      <c r="D3053" s="9" t="s">
        <v>45</v>
      </c>
      <c r="E3053" s="9" t="s">
        <v>46</v>
      </c>
      <c r="F3053" s="5" t="n">
        <v>60</v>
      </c>
      <c r="G3053" s="10"/>
      <c r="H3053" s="11" t="str">
        <f aca="false">IFERROR(IF($D3053="Manual Review","",IF($G3053="","",IF($D3053="Direct Expiry",$G3053,EDATE($G3053,$F3053)))),"Check Date")</f>
        <v/>
      </c>
      <c r="I3053" s="12" t="str">
        <f aca="true">IF($H3053="","",IF(ISNUMBER($H3053),$H3053-TODAY(),""))</f>
        <v/>
      </c>
      <c r="J3053" s="4" t="str">
        <f aca="true">IF($D3053="Manual Review","Manual Review",IF($G3053="","No Data",IF(NOT(ISNUMBER($H3053)),"N/A",IF($H3053&lt;TODAY(),"Overdue",IF($H3053&lt;=TODAY()+30,"Due within 1 Month",IF($H3053&lt;=TODAY()+60,"Due within 2 Months","OK"))))))</f>
        <v>No Data</v>
      </c>
      <c r="K3053" s="13"/>
    </row>
    <row r="3054" customFormat="false" ht="15" hidden="false" customHeight="false" outlineLevel="0" collapsed="false">
      <c r="A3054" s="9" t="str">
        <f aca="false">Vessels!B32</f>
        <v>Vessel 28</v>
      </c>
      <c r="B3054" s="9" t="s">
        <v>42</v>
      </c>
      <c r="C3054" s="7" t="s">
        <v>66</v>
      </c>
      <c r="D3054" s="9" t="s">
        <v>45</v>
      </c>
      <c r="E3054" s="9" t="s">
        <v>46</v>
      </c>
      <c r="F3054" s="5" t="n">
        <v>60</v>
      </c>
      <c r="G3054" s="10"/>
      <c r="H3054" s="11" t="str">
        <f aca="false">IFERROR(IF($D3054="Manual Review","",IF($G3054="","",IF($D3054="Direct Expiry",$G3054,EDATE($G3054,$F3054)))),"Check Date")</f>
        <v/>
      </c>
      <c r="I3054" s="12" t="str">
        <f aca="true">IF($H3054="","",IF(ISNUMBER($H3054),$H3054-TODAY(),""))</f>
        <v/>
      </c>
      <c r="J3054" s="4" t="str">
        <f aca="true">IF($D3054="Manual Review","Manual Review",IF($G3054="","No Data",IF(NOT(ISNUMBER($H3054)),"N/A",IF($H3054&lt;TODAY(),"Overdue",IF($H3054&lt;=TODAY()+30,"Due within 1 Month",IF($H3054&lt;=TODAY()+60,"Due within 2 Months","OK"))))))</f>
        <v>No Data</v>
      </c>
      <c r="K3054" s="13"/>
    </row>
    <row r="3055" customFormat="false" ht="15" hidden="false" customHeight="false" outlineLevel="0" collapsed="false">
      <c r="A3055" s="9" t="str">
        <f aca="false">Vessels!B32</f>
        <v>Vessel 28</v>
      </c>
      <c r="B3055" s="9" t="s">
        <v>42</v>
      </c>
      <c r="C3055" s="7" t="s">
        <v>67</v>
      </c>
      <c r="D3055" s="9" t="s">
        <v>45</v>
      </c>
      <c r="E3055" s="9" t="s">
        <v>46</v>
      </c>
      <c r="F3055" s="5" t="n">
        <v>60</v>
      </c>
      <c r="G3055" s="10"/>
      <c r="H3055" s="11" t="str">
        <f aca="false">IFERROR(IF($D3055="Manual Review","",IF($G3055="","",IF($D3055="Direct Expiry",$G3055,EDATE($G3055,$F3055)))),"Check Date")</f>
        <v/>
      </c>
      <c r="I3055" s="12" t="str">
        <f aca="true">IF($H3055="","",IF(ISNUMBER($H3055),$H3055-TODAY(),""))</f>
        <v/>
      </c>
      <c r="J3055" s="4" t="str">
        <f aca="true">IF($D3055="Manual Review","Manual Review",IF($G3055="","No Data",IF(NOT(ISNUMBER($H3055)),"N/A",IF($H3055&lt;TODAY(),"Overdue",IF($H3055&lt;=TODAY()+30,"Due within 1 Month",IF($H3055&lt;=TODAY()+60,"Due within 2 Months","OK"))))))</f>
        <v>No Data</v>
      </c>
      <c r="K3055" s="13"/>
    </row>
    <row r="3056" customFormat="false" ht="15" hidden="false" customHeight="false" outlineLevel="0" collapsed="false">
      <c r="A3056" s="9" t="str">
        <f aca="false">Vessels!B32</f>
        <v>Vessel 28</v>
      </c>
      <c r="B3056" s="9" t="s">
        <v>42</v>
      </c>
      <c r="C3056" s="7" t="s">
        <v>68</v>
      </c>
      <c r="D3056" s="9" t="s">
        <v>45</v>
      </c>
      <c r="E3056" s="9" t="s">
        <v>46</v>
      </c>
      <c r="F3056" s="5" t="n">
        <v>60</v>
      </c>
      <c r="G3056" s="10"/>
      <c r="H3056" s="11" t="str">
        <f aca="false">IFERROR(IF($D3056="Manual Review","",IF($G3056="","",IF($D3056="Direct Expiry",$G3056,EDATE($G3056,$F3056)))),"Check Date")</f>
        <v/>
      </c>
      <c r="I3056" s="12" t="str">
        <f aca="true">IF($H3056="","",IF(ISNUMBER($H3056),$H3056-TODAY(),""))</f>
        <v/>
      </c>
      <c r="J3056" s="4" t="str">
        <f aca="true">IF($D3056="Manual Review","Manual Review",IF($G3056="","No Data",IF(NOT(ISNUMBER($H3056)),"N/A",IF($H3056&lt;TODAY(),"Overdue",IF($H3056&lt;=TODAY()+30,"Due within 1 Month",IF($H3056&lt;=TODAY()+60,"Due within 2 Months","OK"))))))</f>
        <v>No Data</v>
      </c>
      <c r="K3056" s="13"/>
    </row>
    <row r="3057" customFormat="false" ht="15" hidden="false" customHeight="false" outlineLevel="0" collapsed="false">
      <c r="A3057" s="9" t="str">
        <f aca="false">Vessels!B32</f>
        <v>Vessel 28</v>
      </c>
      <c r="B3057" s="9" t="s">
        <v>42</v>
      </c>
      <c r="C3057" s="7" t="s">
        <v>69</v>
      </c>
      <c r="D3057" s="9" t="s">
        <v>45</v>
      </c>
      <c r="E3057" s="9" t="s">
        <v>46</v>
      </c>
      <c r="F3057" s="5" t="n">
        <v>60</v>
      </c>
      <c r="G3057" s="10"/>
      <c r="H3057" s="11" t="str">
        <f aca="false">IFERROR(IF($D3057="Manual Review","",IF($G3057="","",IF($D3057="Direct Expiry",$G3057,EDATE($G3057,$F3057)))),"Check Date")</f>
        <v/>
      </c>
      <c r="I3057" s="12" t="str">
        <f aca="true">IF($H3057="","",IF(ISNUMBER($H3057),$H3057-TODAY(),""))</f>
        <v/>
      </c>
      <c r="J3057" s="4" t="str">
        <f aca="true">IF($D3057="Manual Review","Manual Review",IF($G3057="","No Data",IF(NOT(ISNUMBER($H3057)),"N/A",IF($H3057&lt;TODAY(),"Overdue",IF($H3057&lt;=TODAY()+30,"Due within 1 Month",IF($H3057&lt;=TODAY()+60,"Due within 2 Months","OK"))))))</f>
        <v>No Data</v>
      </c>
      <c r="K3057" s="13"/>
    </row>
    <row r="3058" customFormat="false" ht="15" hidden="false" customHeight="false" outlineLevel="0" collapsed="false">
      <c r="A3058" s="9" t="str">
        <f aca="false">Vessels!B32</f>
        <v>Vessel 28</v>
      </c>
      <c r="B3058" s="9" t="s">
        <v>42</v>
      </c>
      <c r="C3058" s="7" t="s">
        <v>70</v>
      </c>
      <c r="D3058" s="9" t="s">
        <v>59</v>
      </c>
      <c r="E3058" s="9" t="s">
        <v>58</v>
      </c>
      <c r="F3058" s="5"/>
      <c r="G3058" s="10"/>
      <c r="H3058" s="11" t="str">
        <f aca="false">IFERROR(IF($D3058="Manual Review","",IF($G3058="","",IF($D3058="Direct Expiry",$G3058,EDATE($G3058,$F3058)))),"Check Date")</f>
        <v/>
      </c>
      <c r="I3058" s="12" t="str">
        <f aca="true">IF($H3058="","",IF(ISNUMBER($H3058),$H3058-TODAY(),""))</f>
        <v/>
      </c>
      <c r="J3058" s="4" t="str">
        <f aca="true">IF($D3058="Manual Review","Manual Review",IF($G3058="","No Data",IF(NOT(ISNUMBER($H3058)),"N/A",IF($H3058&lt;TODAY(),"Overdue",IF($H3058&lt;=TODAY()+30,"Due within 1 Month",IF($H3058&lt;=TODAY()+60,"Due within 2 Months","OK"))))))</f>
        <v>No Data</v>
      </c>
      <c r="K3058" s="13"/>
    </row>
    <row r="3059" customFormat="false" ht="15" hidden="false" customHeight="false" outlineLevel="0" collapsed="false">
      <c r="A3059" s="9" t="str">
        <f aca="false">Vessels!B32</f>
        <v>Vessel 28</v>
      </c>
      <c r="B3059" s="9" t="s">
        <v>42</v>
      </c>
      <c r="C3059" s="7" t="s">
        <v>71</v>
      </c>
      <c r="D3059" s="9" t="s">
        <v>45</v>
      </c>
      <c r="E3059" s="9" t="s">
        <v>44</v>
      </c>
      <c r="F3059" s="5" t="n">
        <v>12</v>
      </c>
      <c r="G3059" s="10"/>
      <c r="H3059" s="11" t="str">
        <f aca="false">IFERROR(IF($D3059="Manual Review","",IF($G3059="","",IF($D3059="Direct Expiry",$G3059,EDATE($G3059,$F3059)))),"Check Date")</f>
        <v/>
      </c>
      <c r="I3059" s="12" t="str">
        <f aca="true">IF($H3059="","",IF(ISNUMBER($H3059),$H3059-TODAY(),""))</f>
        <v/>
      </c>
      <c r="J3059" s="4" t="str">
        <f aca="true">IF($D3059="Manual Review","Manual Review",IF($G3059="","No Data",IF(NOT(ISNUMBER($H3059)),"N/A",IF($H3059&lt;TODAY(),"Overdue",IF($H3059&lt;=TODAY()+30,"Due within 1 Month",IF($H3059&lt;=TODAY()+60,"Due within 2 Months","OK"))))))</f>
        <v>No Data</v>
      </c>
      <c r="K3059" s="13"/>
    </row>
    <row r="3060" customFormat="false" ht="15" hidden="false" customHeight="false" outlineLevel="0" collapsed="false">
      <c r="A3060" s="9" t="str">
        <f aca="false">Vessels!B32</f>
        <v>Vessel 28</v>
      </c>
      <c r="B3060" s="9" t="s">
        <v>42</v>
      </c>
      <c r="C3060" s="7" t="s">
        <v>72</v>
      </c>
      <c r="D3060" s="9" t="s">
        <v>59</v>
      </c>
      <c r="E3060" s="9" t="s">
        <v>58</v>
      </c>
      <c r="F3060" s="5"/>
      <c r="G3060" s="10"/>
      <c r="H3060" s="11" t="str">
        <f aca="false">IFERROR(IF($D3060="Manual Review","",IF($G3060="","",IF($D3060="Direct Expiry",$G3060,EDATE($G3060,$F3060)))),"Check Date")</f>
        <v/>
      </c>
      <c r="I3060" s="12" t="str">
        <f aca="true">IF($H3060="","",IF(ISNUMBER($H3060),$H3060-TODAY(),""))</f>
        <v/>
      </c>
      <c r="J3060" s="4" t="str">
        <f aca="true">IF($D3060="Manual Review","Manual Review",IF($G3060="","No Data",IF(NOT(ISNUMBER($H3060)),"N/A",IF($H3060&lt;TODAY(),"Overdue",IF($H3060&lt;=TODAY()+30,"Due within 1 Month",IF($H3060&lt;=TODAY()+60,"Due within 2 Months","OK"))))))</f>
        <v>No Data</v>
      </c>
      <c r="K3060" s="13"/>
    </row>
    <row r="3061" customFormat="false" ht="15" hidden="false" customHeight="false" outlineLevel="0" collapsed="false">
      <c r="A3061" s="9" t="str">
        <f aca="false">Vessels!B32</f>
        <v>Vessel 28</v>
      </c>
      <c r="B3061" s="9" t="s">
        <v>42</v>
      </c>
      <c r="C3061" s="7" t="s">
        <v>73</v>
      </c>
      <c r="D3061" s="9" t="s">
        <v>45</v>
      </c>
      <c r="E3061" s="9" t="s">
        <v>44</v>
      </c>
      <c r="F3061" s="5" t="n">
        <v>12</v>
      </c>
      <c r="G3061" s="10"/>
      <c r="H3061" s="11" t="str">
        <f aca="false">IFERROR(IF($D3061="Manual Review","",IF($G3061="","",IF($D3061="Direct Expiry",$G3061,EDATE($G3061,$F3061)))),"Check Date")</f>
        <v/>
      </c>
      <c r="I3061" s="12" t="str">
        <f aca="true">IF($H3061="","",IF(ISNUMBER($H3061),$H3061-TODAY(),""))</f>
        <v/>
      </c>
      <c r="J3061" s="4" t="str">
        <f aca="true">IF($D3061="Manual Review","Manual Review",IF($G3061="","No Data",IF(NOT(ISNUMBER($H3061)),"N/A",IF($H3061&lt;TODAY(),"Overdue",IF($H3061&lt;=TODAY()+30,"Due within 1 Month",IF($H3061&lt;=TODAY()+60,"Due within 2 Months","OK"))))))</f>
        <v>No Data</v>
      </c>
      <c r="K3061" s="13"/>
    </row>
    <row r="3062" customFormat="false" ht="15" hidden="false" customHeight="false" outlineLevel="0" collapsed="false">
      <c r="A3062" s="9" t="str">
        <f aca="false">Vessels!B32</f>
        <v>Vessel 28</v>
      </c>
      <c r="B3062" s="9" t="s">
        <v>42</v>
      </c>
      <c r="C3062" s="7" t="s">
        <v>74</v>
      </c>
      <c r="D3062" s="9" t="s">
        <v>59</v>
      </c>
      <c r="E3062" s="9" t="s">
        <v>58</v>
      </c>
      <c r="F3062" s="5"/>
      <c r="G3062" s="10"/>
      <c r="H3062" s="11" t="str">
        <f aca="false">IFERROR(IF($D3062="Manual Review","",IF($G3062="","",IF($D3062="Direct Expiry",$G3062,EDATE($G3062,$F3062)))),"Check Date")</f>
        <v/>
      </c>
      <c r="I3062" s="12" t="str">
        <f aca="true">IF($H3062="","",IF(ISNUMBER($H3062),$H3062-TODAY(),""))</f>
        <v/>
      </c>
      <c r="J3062" s="4" t="str">
        <f aca="true">IF($D3062="Manual Review","Manual Review",IF($G3062="","No Data",IF(NOT(ISNUMBER($H3062)),"N/A",IF($H3062&lt;TODAY(),"Overdue",IF($H3062&lt;=TODAY()+30,"Due within 1 Month",IF($H3062&lt;=TODAY()+60,"Due within 2 Months","OK"))))))</f>
        <v>No Data</v>
      </c>
      <c r="K3062" s="13"/>
    </row>
    <row r="3063" customFormat="false" ht="15" hidden="false" customHeight="false" outlineLevel="0" collapsed="false">
      <c r="A3063" s="9" t="str">
        <f aca="false">Vessels!B32</f>
        <v>Vessel 28</v>
      </c>
      <c r="B3063" s="9" t="s">
        <v>42</v>
      </c>
      <c r="C3063" s="7" t="s">
        <v>75</v>
      </c>
      <c r="D3063" s="9" t="s">
        <v>45</v>
      </c>
      <c r="E3063" s="9" t="s">
        <v>44</v>
      </c>
      <c r="F3063" s="5" t="n">
        <v>12</v>
      </c>
      <c r="G3063" s="10"/>
      <c r="H3063" s="11" t="str">
        <f aca="false">IFERROR(IF($D3063="Manual Review","",IF($G3063="","",IF($D3063="Direct Expiry",$G3063,EDATE($G3063,$F3063)))),"Check Date")</f>
        <v/>
      </c>
      <c r="I3063" s="12" t="str">
        <f aca="true">IF($H3063="","",IF(ISNUMBER($H3063),$H3063-TODAY(),""))</f>
        <v/>
      </c>
      <c r="J3063" s="4" t="str">
        <f aca="true">IF($D3063="Manual Review","Manual Review",IF($G3063="","No Data",IF(NOT(ISNUMBER($H3063)),"N/A",IF($H3063&lt;TODAY(),"Overdue",IF($H3063&lt;=TODAY()+30,"Due within 1 Month",IF($H3063&lt;=TODAY()+60,"Due within 2 Months","OK"))))))</f>
        <v>No Data</v>
      </c>
      <c r="K3063" s="13"/>
    </row>
    <row r="3064" customFormat="false" ht="15" hidden="false" customHeight="false" outlineLevel="0" collapsed="false">
      <c r="A3064" s="9" t="str">
        <f aca="false">Vessels!B32</f>
        <v>Vessel 28</v>
      </c>
      <c r="B3064" s="9" t="s">
        <v>42</v>
      </c>
      <c r="C3064" s="7" t="s">
        <v>76</v>
      </c>
      <c r="D3064" s="9" t="s">
        <v>59</v>
      </c>
      <c r="E3064" s="9" t="s">
        <v>58</v>
      </c>
      <c r="F3064" s="5"/>
      <c r="G3064" s="10"/>
      <c r="H3064" s="11" t="str">
        <f aca="false">IFERROR(IF($D3064="Manual Review","",IF($G3064="","",IF($D3064="Direct Expiry",$G3064,EDATE($G3064,$F3064)))),"Check Date")</f>
        <v/>
      </c>
      <c r="I3064" s="12" t="str">
        <f aca="true">IF($H3064="","",IF(ISNUMBER($H3064),$H3064-TODAY(),""))</f>
        <v/>
      </c>
      <c r="J3064" s="4" t="str">
        <f aca="true">IF($D3064="Manual Review","Manual Review",IF($G3064="","No Data",IF(NOT(ISNUMBER($H3064)),"N/A",IF($H3064&lt;TODAY(),"Overdue",IF($H3064&lt;=TODAY()+30,"Due within 1 Month",IF($H3064&lt;=TODAY()+60,"Due within 2 Months","OK"))))))</f>
        <v>No Data</v>
      </c>
      <c r="K3064" s="13"/>
    </row>
    <row r="3065" customFormat="false" ht="15" hidden="false" customHeight="false" outlineLevel="0" collapsed="false">
      <c r="A3065" s="9" t="str">
        <f aca="false">Vessels!B32</f>
        <v>Vessel 28</v>
      </c>
      <c r="B3065" s="9" t="s">
        <v>42</v>
      </c>
      <c r="C3065" s="7" t="s">
        <v>77</v>
      </c>
      <c r="D3065" s="9" t="s">
        <v>59</v>
      </c>
      <c r="E3065" s="9" t="s">
        <v>58</v>
      </c>
      <c r="F3065" s="5"/>
      <c r="G3065" s="10"/>
      <c r="H3065" s="11" t="str">
        <f aca="false">IFERROR(IF($D3065="Manual Review","",IF($G3065="","",IF($D3065="Direct Expiry",$G3065,EDATE($G3065,$F3065)))),"Check Date")</f>
        <v/>
      </c>
      <c r="I3065" s="12" t="str">
        <f aca="true">IF($H3065="","",IF(ISNUMBER($H3065),$H3065-TODAY(),""))</f>
        <v/>
      </c>
      <c r="J3065" s="4" t="str">
        <f aca="true">IF($D3065="Manual Review","Manual Review",IF($G3065="","No Data",IF(NOT(ISNUMBER($H3065)),"N/A",IF($H3065&lt;TODAY(),"Overdue",IF($H3065&lt;=TODAY()+30,"Due within 1 Month",IF($H3065&lt;=TODAY()+60,"Due within 2 Months","OK"))))))</f>
        <v>No Data</v>
      </c>
      <c r="K3065" s="13"/>
    </row>
    <row r="3066" customFormat="false" ht="15" hidden="false" customHeight="false" outlineLevel="0" collapsed="false">
      <c r="A3066" s="9" t="str">
        <f aca="false">Vessels!B32</f>
        <v>Vessel 28</v>
      </c>
      <c r="B3066" s="9" t="s">
        <v>42</v>
      </c>
      <c r="C3066" s="7" t="s">
        <v>78</v>
      </c>
      <c r="D3066" s="9" t="s">
        <v>59</v>
      </c>
      <c r="E3066" s="9" t="s">
        <v>58</v>
      </c>
      <c r="F3066" s="5"/>
      <c r="G3066" s="10"/>
      <c r="H3066" s="11" t="str">
        <f aca="false">IFERROR(IF($D3066="Manual Review","",IF($G3066="","",IF($D3066="Direct Expiry",$G3066,EDATE($G3066,$F3066)))),"Check Date")</f>
        <v/>
      </c>
      <c r="I3066" s="12" t="str">
        <f aca="true">IF($H3066="","",IF(ISNUMBER($H3066),$H3066-TODAY(),""))</f>
        <v/>
      </c>
      <c r="J3066" s="4" t="str">
        <f aca="true">IF($D3066="Manual Review","Manual Review",IF($G3066="","No Data",IF(NOT(ISNUMBER($H3066)),"N/A",IF($H3066&lt;TODAY(),"Overdue",IF($H3066&lt;=TODAY()+30,"Due within 1 Month",IF($H3066&lt;=TODAY()+60,"Due within 2 Months","OK"))))))</f>
        <v>No Data</v>
      </c>
      <c r="K3066" s="13"/>
    </row>
    <row r="3067" customFormat="false" ht="15" hidden="false" customHeight="false" outlineLevel="0" collapsed="false">
      <c r="A3067" s="9" t="str">
        <f aca="false">Vessels!B32</f>
        <v>Vessel 28</v>
      </c>
      <c r="B3067" s="9" t="s">
        <v>42</v>
      </c>
      <c r="C3067" s="7" t="s">
        <v>79</v>
      </c>
      <c r="D3067" s="9" t="s">
        <v>45</v>
      </c>
      <c r="E3067" s="9" t="s">
        <v>44</v>
      </c>
      <c r="F3067" s="5" t="n">
        <v>12</v>
      </c>
      <c r="G3067" s="10"/>
      <c r="H3067" s="11" t="str">
        <f aca="false">IFERROR(IF($D3067="Manual Review","",IF($G3067="","",IF($D3067="Direct Expiry",$G3067,EDATE($G3067,$F3067)))),"Check Date")</f>
        <v/>
      </c>
      <c r="I3067" s="12" t="str">
        <f aca="true">IF($H3067="","",IF(ISNUMBER($H3067),$H3067-TODAY(),""))</f>
        <v/>
      </c>
      <c r="J3067" s="4" t="str">
        <f aca="true">IF($D3067="Manual Review","Manual Review",IF($G3067="","No Data",IF(NOT(ISNUMBER($H3067)),"N/A",IF($H3067&lt;TODAY(),"Overdue",IF($H3067&lt;=TODAY()+30,"Due within 1 Month",IF($H3067&lt;=TODAY()+60,"Due within 2 Months","OK"))))))</f>
        <v>No Data</v>
      </c>
      <c r="K3067" s="13"/>
    </row>
    <row r="3068" customFormat="false" ht="15" hidden="false" customHeight="false" outlineLevel="0" collapsed="false">
      <c r="A3068" s="9" t="str">
        <f aca="false">Vessels!B32</f>
        <v>Vessel 28</v>
      </c>
      <c r="B3068" s="9" t="s">
        <v>42</v>
      </c>
      <c r="C3068" s="7" t="s">
        <v>80</v>
      </c>
      <c r="D3068" s="9" t="s">
        <v>45</v>
      </c>
      <c r="E3068" s="9" t="s">
        <v>81</v>
      </c>
      <c r="F3068" s="5" t="n">
        <v>36</v>
      </c>
      <c r="G3068" s="10"/>
      <c r="H3068" s="11" t="str">
        <f aca="false">IFERROR(IF($D3068="Manual Review","",IF($G3068="","",IF($D3068="Direct Expiry",$G3068,EDATE($G3068,$F3068)))),"Check Date")</f>
        <v/>
      </c>
      <c r="I3068" s="12" t="str">
        <f aca="true">IF($H3068="","",IF(ISNUMBER($H3068),$H3068-TODAY(),""))</f>
        <v/>
      </c>
      <c r="J3068" s="4" t="str">
        <f aca="true">IF($D3068="Manual Review","Manual Review",IF($G3068="","No Data",IF(NOT(ISNUMBER($H3068)),"N/A",IF($H3068&lt;TODAY(),"Overdue",IF($H3068&lt;=TODAY()+30,"Due within 1 Month",IF($H3068&lt;=TODAY()+60,"Due within 2 Months","OK"))))))</f>
        <v>No Data</v>
      </c>
      <c r="K3068" s="13"/>
    </row>
    <row r="3069" customFormat="false" ht="15" hidden="false" customHeight="false" outlineLevel="0" collapsed="false">
      <c r="A3069" s="9" t="str">
        <f aca="false">Vessels!B32</f>
        <v>Vessel 28</v>
      </c>
      <c r="B3069" s="9" t="s">
        <v>42</v>
      </c>
      <c r="C3069" s="7" t="s">
        <v>80</v>
      </c>
      <c r="D3069" s="9" t="s">
        <v>45</v>
      </c>
      <c r="E3069" s="9" t="s">
        <v>82</v>
      </c>
      <c r="F3069" s="5" t="n">
        <v>24</v>
      </c>
      <c r="G3069" s="10"/>
      <c r="H3069" s="11" t="str">
        <f aca="false">IFERROR(IF($D3069="Manual Review","",IF($G3069="","",IF($D3069="Direct Expiry",$G3069,EDATE($G3069,$F3069)))),"Check Date")</f>
        <v/>
      </c>
      <c r="I3069" s="12" t="str">
        <f aca="true">IF($H3069="","",IF(ISNUMBER($H3069),$H3069-TODAY(),""))</f>
        <v/>
      </c>
      <c r="J3069" s="4" t="str">
        <f aca="true">IF($D3069="Manual Review","Manual Review",IF($G3069="","No Data",IF(NOT(ISNUMBER($H3069)),"N/A",IF($H3069&lt;TODAY(),"Overdue",IF($H3069&lt;=TODAY()+30,"Due within 1 Month",IF($H3069&lt;=TODAY()+60,"Due within 2 Months","OK"))))))</f>
        <v>No Data</v>
      </c>
      <c r="K3069" s="13"/>
    </row>
    <row r="3070" customFormat="false" ht="15" hidden="false" customHeight="false" outlineLevel="0" collapsed="false">
      <c r="A3070" s="9" t="str">
        <f aca="false">Vessels!B32</f>
        <v>Vessel 28</v>
      </c>
      <c r="B3070" s="9" t="s">
        <v>42</v>
      </c>
      <c r="C3070" s="7" t="s">
        <v>83</v>
      </c>
      <c r="D3070" s="9" t="s">
        <v>45</v>
      </c>
      <c r="E3070" s="9" t="s">
        <v>44</v>
      </c>
      <c r="F3070" s="5" t="n">
        <v>12</v>
      </c>
      <c r="G3070" s="10"/>
      <c r="H3070" s="11" t="str">
        <f aca="false">IFERROR(IF($D3070="Manual Review","",IF($G3070="","",IF($D3070="Direct Expiry",$G3070,EDATE($G3070,$F3070)))),"Check Date")</f>
        <v/>
      </c>
      <c r="I3070" s="12" t="str">
        <f aca="true">IF($H3070="","",IF(ISNUMBER($H3070),$H3070-TODAY(),""))</f>
        <v/>
      </c>
      <c r="J3070" s="4" t="str">
        <f aca="true">IF($D3070="Manual Review","Manual Review",IF($G3070="","No Data",IF(NOT(ISNUMBER($H3070)),"N/A",IF($H3070&lt;TODAY(),"Overdue",IF($H3070&lt;=TODAY()+30,"Due within 1 Month",IF($H3070&lt;=TODAY()+60,"Due within 2 Months","OK"))))))</f>
        <v>No Data</v>
      </c>
      <c r="K3070" s="13"/>
    </row>
    <row r="3071" customFormat="false" ht="15" hidden="false" customHeight="false" outlineLevel="0" collapsed="false">
      <c r="A3071" s="9" t="str">
        <f aca="false">Vessels!B32</f>
        <v>Vessel 28</v>
      </c>
      <c r="B3071" s="9" t="s">
        <v>42</v>
      </c>
      <c r="C3071" s="7" t="s">
        <v>83</v>
      </c>
      <c r="D3071" s="9" t="s">
        <v>45</v>
      </c>
      <c r="E3071" s="9" t="s">
        <v>84</v>
      </c>
      <c r="F3071" s="5" t="n">
        <v>60</v>
      </c>
      <c r="G3071" s="10"/>
      <c r="H3071" s="11" t="str">
        <f aca="false">IFERROR(IF($D3071="Manual Review","",IF($G3071="","",IF($D3071="Direct Expiry",$G3071,EDATE($G3071,$F3071)))),"Check Date")</f>
        <v/>
      </c>
      <c r="I3071" s="12" t="str">
        <f aca="true">IF($H3071="","",IF(ISNUMBER($H3071),$H3071-TODAY(),""))</f>
        <v/>
      </c>
      <c r="J3071" s="4" t="str">
        <f aca="true">IF($D3071="Manual Review","Manual Review",IF($G3071="","No Data",IF(NOT(ISNUMBER($H3071)),"N/A",IF($H3071&lt;TODAY(),"Overdue",IF($H3071&lt;=TODAY()+30,"Due within 1 Month",IF($H3071&lt;=TODAY()+60,"Due within 2 Months","OK"))))))</f>
        <v>No Data</v>
      </c>
      <c r="K3071" s="13"/>
    </row>
    <row r="3072" customFormat="false" ht="15" hidden="false" customHeight="false" outlineLevel="0" collapsed="false">
      <c r="A3072" s="9" t="str">
        <f aca="false">Vessels!B32</f>
        <v>Vessel 28</v>
      </c>
      <c r="B3072" s="9" t="s">
        <v>42</v>
      </c>
      <c r="C3072" s="7" t="s">
        <v>85</v>
      </c>
      <c r="D3072" s="9" t="s">
        <v>45</v>
      </c>
      <c r="E3072" s="9" t="s">
        <v>44</v>
      </c>
      <c r="F3072" s="5" t="n">
        <v>12</v>
      </c>
      <c r="G3072" s="10"/>
      <c r="H3072" s="11" t="str">
        <f aca="false">IFERROR(IF($D3072="Manual Review","",IF($G3072="","",IF($D3072="Direct Expiry",$G3072,EDATE($G3072,$F3072)))),"Check Date")</f>
        <v/>
      </c>
      <c r="I3072" s="12" t="str">
        <f aca="true">IF($H3072="","",IF(ISNUMBER($H3072),$H3072-TODAY(),""))</f>
        <v/>
      </c>
      <c r="J3072" s="4" t="str">
        <f aca="true">IF($D3072="Manual Review","Manual Review",IF($G3072="","No Data",IF(NOT(ISNUMBER($H3072)),"N/A",IF($H3072&lt;TODAY(),"Overdue",IF($H3072&lt;=TODAY()+30,"Due within 1 Month",IF($H3072&lt;=TODAY()+60,"Due within 2 Months","OK"))))))</f>
        <v>No Data</v>
      </c>
      <c r="K3072" s="13"/>
    </row>
    <row r="3073" customFormat="false" ht="15" hidden="false" customHeight="false" outlineLevel="0" collapsed="false">
      <c r="A3073" s="9" t="str">
        <f aca="false">Vessels!B32</f>
        <v>Vessel 28</v>
      </c>
      <c r="B3073" s="9" t="s">
        <v>42</v>
      </c>
      <c r="C3073" s="7" t="s">
        <v>85</v>
      </c>
      <c r="D3073" s="9" t="s">
        <v>45</v>
      </c>
      <c r="E3073" s="9" t="s">
        <v>84</v>
      </c>
      <c r="F3073" s="5" t="n">
        <v>60</v>
      </c>
      <c r="G3073" s="10"/>
      <c r="H3073" s="11" t="str">
        <f aca="false">IFERROR(IF($D3073="Manual Review","",IF($G3073="","",IF($D3073="Direct Expiry",$G3073,EDATE($G3073,$F3073)))),"Check Date")</f>
        <v/>
      </c>
      <c r="I3073" s="12" t="str">
        <f aca="true">IF($H3073="","",IF(ISNUMBER($H3073),$H3073-TODAY(),""))</f>
        <v/>
      </c>
      <c r="J3073" s="4" t="str">
        <f aca="true">IF($D3073="Manual Review","Manual Review",IF($G3073="","No Data",IF(NOT(ISNUMBER($H3073)),"N/A",IF($H3073&lt;TODAY(),"Overdue",IF($H3073&lt;=TODAY()+30,"Due within 1 Month",IF($H3073&lt;=TODAY()+60,"Due within 2 Months","OK"))))))</f>
        <v>No Data</v>
      </c>
      <c r="K3073" s="13"/>
    </row>
    <row r="3074" customFormat="false" ht="15" hidden="false" customHeight="false" outlineLevel="0" collapsed="false">
      <c r="A3074" s="9" t="str">
        <f aca="false">Vessels!B32</f>
        <v>Vessel 28</v>
      </c>
      <c r="B3074" s="9" t="s">
        <v>42</v>
      </c>
      <c r="C3074" s="7" t="s">
        <v>86</v>
      </c>
      <c r="D3074" s="9" t="s">
        <v>45</v>
      </c>
      <c r="E3074" s="9" t="s">
        <v>44</v>
      </c>
      <c r="F3074" s="5" t="n">
        <v>12</v>
      </c>
      <c r="G3074" s="10"/>
      <c r="H3074" s="11" t="str">
        <f aca="false">IFERROR(IF($D3074="Manual Review","",IF($G3074="","",IF($D3074="Direct Expiry",$G3074,EDATE($G3074,$F3074)))),"Check Date")</f>
        <v/>
      </c>
      <c r="I3074" s="12" t="str">
        <f aca="true">IF($H3074="","",IF(ISNUMBER($H3074),$H3074-TODAY(),""))</f>
        <v/>
      </c>
      <c r="J3074" s="4" t="str">
        <f aca="true">IF($D3074="Manual Review","Manual Review",IF($G3074="","No Data",IF(NOT(ISNUMBER($H3074)),"N/A",IF($H3074&lt;TODAY(),"Overdue",IF($H3074&lt;=TODAY()+30,"Due within 1 Month",IF($H3074&lt;=TODAY()+60,"Due within 2 Months","OK"))))))</f>
        <v>No Data</v>
      </c>
      <c r="K3074" s="13"/>
    </row>
    <row r="3075" customFormat="false" ht="15" hidden="false" customHeight="false" outlineLevel="0" collapsed="false">
      <c r="A3075" s="9" t="str">
        <f aca="false">Vessels!B32</f>
        <v>Vessel 28</v>
      </c>
      <c r="B3075" s="9" t="s">
        <v>42</v>
      </c>
      <c r="C3075" s="7" t="s">
        <v>87</v>
      </c>
      <c r="D3075" s="9" t="s">
        <v>45</v>
      </c>
      <c r="E3075" s="9" t="s">
        <v>44</v>
      </c>
      <c r="F3075" s="5" t="n">
        <v>12</v>
      </c>
      <c r="G3075" s="10"/>
      <c r="H3075" s="11" t="str">
        <f aca="false">IFERROR(IF($D3075="Manual Review","",IF($G3075="","",IF($D3075="Direct Expiry",$G3075,EDATE($G3075,$F3075)))),"Check Date")</f>
        <v/>
      </c>
      <c r="I3075" s="12" t="str">
        <f aca="true">IF($H3075="","",IF(ISNUMBER($H3075),$H3075-TODAY(),""))</f>
        <v/>
      </c>
      <c r="J3075" s="4" t="str">
        <f aca="true">IF($D3075="Manual Review","Manual Review",IF($G3075="","No Data",IF(NOT(ISNUMBER($H3075)),"N/A",IF($H3075&lt;TODAY(),"Overdue",IF($H3075&lt;=TODAY()+30,"Due within 1 Month",IF($H3075&lt;=TODAY()+60,"Due within 2 Months","OK"))))))</f>
        <v>No Data</v>
      </c>
      <c r="K3075" s="13"/>
    </row>
    <row r="3076" customFormat="false" ht="15" hidden="false" customHeight="false" outlineLevel="0" collapsed="false">
      <c r="A3076" s="9" t="str">
        <f aca="false">Vessels!B32</f>
        <v>Vessel 28</v>
      </c>
      <c r="B3076" s="9" t="s">
        <v>88</v>
      </c>
      <c r="C3076" s="7" t="s">
        <v>89</v>
      </c>
      <c r="D3076" s="9" t="s">
        <v>45</v>
      </c>
      <c r="E3076" s="9" t="s">
        <v>90</v>
      </c>
      <c r="F3076" s="5" t="n">
        <v>36</v>
      </c>
      <c r="G3076" s="10"/>
      <c r="H3076" s="11" t="str">
        <f aca="false">IFERROR(IF($D3076="Manual Review","",IF($G3076="","",IF($D3076="Direct Expiry",$G3076,EDATE($G3076,$F3076)))),"Check Date")</f>
        <v/>
      </c>
      <c r="I3076" s="12" t="str">
        <f aca="true">IF($H3076="","",IF(ISNUMBER($H3076),$H3076-TODAY(),""))</f>
        <v/>
      </c>
      <c r="J3076" s="4" t="str">
        <f aca="true">IF($D3076="Manual Review","Manual Review",IF($G3076="","No Data",IF(NOT(ISNUMBER($H3076)),"N/A",IF($H3076&lt;TODAY(),"Overdue",IF($H3076&lt;=TODAY()+30,"Due within 1 Month",IF($H3076&lt;=TODAY()+60,"Due within 2 Months","OK"))))))</f>
        <v>No Data</v>
      </c>
      <c r="K3076" s="13"/>
    </row>
    <row r="3077" customFormat="false" ht="15" hidden="false" customHeight="false" outlineLevel="0" collapsed="false">
      <c r="A3077" s="9" t="str">
        <f aca="false">Vessels!B32</f>
        <v>Vessel 28</v>
      </c>
      <c r="B3077" s="9" t="s">
        <v>88</v>
      </c>
      <c r="C3077" s="7" t="s">
        <v>91</v>
      </c>
      <c r="D3077" s="9" t="s">
        <v>45</v>
      </c>
      <c r="E3077" s="9" t="s">
        <v>44</v>
      </c>
      <c r="F3077" s="5" t="n">
        <v>12</v>
      </c>
      <c r="G3077" s="10"/>
      <c r="H3077" s="11" t="str">
        <f aca="false">IFERROR(IF($D3077="Manual Review","",IF($G3077="","",IF($D3077="Direct Expiry",$G3077,EDATE($G3077,$F3077)))),"Check Date")</f>
        <v/>
      </c>
      <c r="I3077" s="12" t="str">
        <f aca="true">IF($H3077="","",IF(ISNUMBER($H3077),$H3077-TODAY(),""))</f>
        <v/>
      </c>
      <c r="J3077" s="4" t="str">
        <f aca="true">IF($D3077="Manual Review","Manual Review",IF($G3077="","No Data",IF(NOT(ISNUMBER($H3077)),"N/A",IF($H3077&lt;TODAY(),"Overdue",IF($H3077&lt;=TODAY()+30,"Due within 1 Month",IF($H3077&lt;=TODAY()+60,"Due within 2 Months","OK"))))))</f>
        <v>No Data</v>
      </c>
      <c r="K3077" s="13"/>
    </row>
    <row r="3078" customFormat="false" ht="15" hidden="false" customHeight="false" outlineLevel="0" collapsed="false">
      <c r="A3078" s="9" t="str">
        <f aca="false">Vessels!B32</f>
        <v>Vessel 28</v>
      </c>
      <c r="B3078" s="9" t="s">
        <v>88</v>
      </c>
      <c r="C3078" s="7" t="s">
        <v>91</v>
      </c>
      <c r="D3078" s="9" t="s">
        <v>45</v>
      </c>
      <c r="E3078" s="9" t="s">
        <v>92</v>
      </c>
      <c r="F3078" s="5" t="n">
        <v>120</v>
      </c>
      <c r="G3078" s="10"/>
      <c r="H3078" s="11" t="str">
        <f aca="false">IFERROR(IF($D3078="Manual Review","",IF($G3078="","",IF($D3078="Direct Expiry",$G3078,EDATE($G3078,$F3078)))),"Check Date")</f>
        <v/>
      </c>
      <c r="I3078" s="12" t="str">
        <f aca="true">IF($H3078="","",IF(ISNUMBER($H3078),$H3078-TODAY(),""))</f>
        <v/>
      </c>
      <c r="J3078" s="4" t="str">
        <f aca="true">IF($D3078="Manual Review","Manual Review",IF($G3078="","No Data",IF(NOT(ISNUMBER($H3078)),"N/A",IF($H3078&lt;TODAY(),"Overdue",IF($H3078&lt;=TODAY()+30,"Due within 1 Month",IF($H3078&lt;=TODAY()+60,"Due within 2 Months","OK"))))))</f>
        <v>No Data</v>
      </c>
      <c r="K3078" s="13"/>
    </row>
    <row r="3079" customFormat="false" ht="15" hidden="false" customHeight="false" outlineLevel="0" collapsed="false">
      <c r="A3079" s="9" t="str">
        <f aca="false">Vessels!B32</f>
        <v>Vessel 28</v>
      </c>
      <c r="B3079" s="9" t="s">
        <v>88</v>
      </c>
      <c r="C3079" s="7" t="s">
        <v>93</v>
      </c>
      <c r="D3079" s="9" t="s">
        <v>45</v>
      </c>
      <c r="E3079" s="9" t="s">
        <v>44</v>
      </c>
      <c r="F3079" s="5" t="n">
        <v>12</v>
      </c>
      <c r="G3079" s="10"/>
      <c r="H3079" s="11" t="str">
        <f aca="false">IFERROR(IF($D3079="Manual Review","",IF($G3079="","",IF($D3079="Direct Expiry",$G3079,EDATE($G3079,$F3079)))),"Check Date")</f>
        <v/>
      </c>
      <c r="I3079" s="12" t="str">
        <f aca="true">IF($H3079="","",IF(ISNUMBER($H3079),$H3079-TODAY(),""))</f>
        <v/>
      </c>
      <c r="J3079" s="4" t="str">
        <f aca="true">IF($D3079="Manual Review","Manual Review",IF($G3079="","No Data",IF(NOT(ISNUMBER($H3079)),"N/A",IF($H3079&lt;TODAY(),"Overdue",IF($H3079&lt;=TODAY()+30,"Due within 1 Month",IF($H3079&lt;=TODAY()+60,"Due within 2 Months","OK"))))))</f>
        <v>No Data</v>
      </c>
      <c r="K3079" s="13"/>
    </row>
    <row r="3080" customFormat="false" ht="15" hidden="false" customHeight="false" outlineLevel="0" collapsed="false">
      <c r="A3080" s="9" t="str">
        <f aca="false">Vessels!B32</f>
        <v>Vessel 28</v>
      </c>
      <c r="B3080" s="9" t="s">
        <v>88</v>
      </c>
      <c r="C3080" s="7" t="s">
        <v>93</v>
      </c>
      <c r="D3080" s="9" t="s">
        <v>45</v>
      </c>
      <c r="E3080" s="9" t="s">
        <v>92</v>
      </c>
      <c r="F3080" s="5" t="n">
        <v>120</v>
      </c>
      <c r="G3080" s="10"/>
      <c r="H3080" s="11" t="str">
        <f aca="false">IFERROR(IF($D3080="Manual Review","",IF($G3080="","",IF($D3080="Direct Expiry",$G3080,EDATE($G3080,$F3080)))),"Check Date")</f>
        <v/>
      </c>
      <c r="I3080" s="12" t="str">
        <f aca="true">IF($H3080="","",IF(ISNUMBER($H3080),$H3080-TODAY(),""))</f>
        <v/>
      </c>
      <c r="J3080" s="4" t="str">
        <f aca="true">IF($D3080="Manual Review","Manual Review",IF($G3080="","No Data",IF(NOT(ISNUMBER($H3080)),"N/A",IF($H3080&lt;TODAY(),"Overdue",IF($H3080&lt;=TODAY()+30,"Due within 1 Month",IF($H3080&lt;=TODAY()+60,"Due within 2 Months","OK"))))))</f>
        <v>No Data</v>
      </c>
      <c r="K3080" s="13"/>
    </row>
    <row r="3081" customFormat="false" ht="15" hidden="false" customHeight="false" outlineLevel="0" collapsed="false">
      <c r="A3081" s="9" t="str">
        <f aca="false">Vessels!B32</f>
        <v>Vessel 28</v>
      </c>
      <c r="B3081" s="9" t="s">
        <v>88</v>
      </c>
      <c r="C3081" s="7" t="s">
        <v>94</v>
      </c>
      <c r="D3081" s="9" t="s">
        <v>45</v>
      </c>
      <c r="E3081" s="9" t="s">
        <v>44</v>
      </c>
      <c r="F3081" s="5" t="n">
        <v>12</v>
      </c>
      <c r="G3081" s="10"/>
      <c r="H3081" s="11" t="str">
        <f aca="false">IFERROR(IF($D3081="Manual Review","",IF($G3081="","",IF($D3081="Direct Expiry",$G3081,EDATE($G3081,$F3081)))),"Check Date")</f>
        <v/>
      </c>
      <c r="I3081" s="12" t="str">
        <f aca="true">IF($H3081="","",IF(ISNUMBER($H3081),$H3081-TODAY(),""))</f>
        <v/>
      </c>
      <c r="J3081" s="4" t="str">
        <f aca="true">IF($D3081="Manual Review","Manual Review",IF($G3081="","No Data",IF(NOT(ISNUMBER($H3081)),"N/A",IF($H3081&lt;TODAY(),"Overdue",IF($H3081&lt;=TODAY()+30,"Due within 1 Month",IF($H3081&lt;=TODAY()+60,"Due within 2 Months","OK"))))))</f>
        <v>No Data</v>
      </c>
      <c r="K3081" s="13"/>
    </row>
    <row r="3082" customFormat="false" ht="15" hidden="false" customHeight="false" outlineLevel="0" collapsed="false">
      <c r="A3082" s="9" t="str">
        <f aca="false">Vessels!B32</f>
        <v>Vessel 28</v>
      </c>
      <c r="B3082" s="9" t="s">
        <v>88</v>
      </c>
      <c r="C3082" s="7" t="s">
        <v>94</v>
      </c>
      <c r="D3082" s="9" t="s">
        <v>45</v>
      </c>
      <c r="E3082" s="9" t="s">
        <v>92</v>
      </c>
      <c r="F3082" s="5" t="n">
        <v>120</v>
      </c>
      <c r="G3082" s="10"/>
      <c r="H3082" s="11" t="str">
        <f aca="false">IFERROR(IF($D3082="Manual Review","",IF($G3082="","",IF($D3082="Direct Expiry",$G3082,EDATE($G3082,$F3082)))),"Check Date")</f>
        <v/>
      </c>
      <c r="I3082" s="12" t="str">
        <f aca="true">IF($H3082="","",IF(ISNUMBER($H3082),$H3082-TODAY(),""))</f>
        <v/>
      </c>
      <c r="J3082" s="4" t="str">
        <f aca="true">IF($D3082="Manual Review","Manual Review",IF($G3082="","No Data",IF(NOT(ISNUMBER($H3082)),"N/A",IF($H3082&lt;TODAY(),"Overdue",IF($H3082&lt;=TODAY()+30,"Due within 1 Month",IF($H3082&lt;=TODAY()+60,"Due within 2 Months","OK"))))))</f>
        <v>No Data</v>
      </c>
      <c r="K3082" s="13"/>
    </row>
    <row r="3083" customFormat="false" ht="15" hidden="false" customHeight="false" outlineLevel="0" collapsed="false">
      <c r="A3083" s="9" t="str">
        <f aca="false">Vessels!B32</f>
        <v>Vessel 28</v>
      </c>
      <c r="B3083" s="9" t="s">
        <v>88</v>
      </c>
      <c r="C3083" s="7" t="s">
        <v>95</v>
      </c>
      <c r="D3083" s="9" t="s">
        <v>45</v>
      </c>
      <c r="E3083" s="9" t="s">
        <v>44</v>
      </c>
      <c r="F3083" s="5" t="n">
        <v>12</v>
      </c>
      <c r="G3083" s="10"/>
      <c r="H3083" s="11" t="str">
        <f aca="false">IFERROR(IF($D3083="Manual Review","",IF($G3083="","",IF($D3083="Direct Expiry",$G3083,EDATE($G3083,$F3083)))),"Check Date")</f>
        <v/>
      </c>
      <c r="I3083" s="12" t="str">
        <f aca="true">IF($H3083="","",IF(ISNUMBER($H3083),$H3083-TODAY(),""))</f>
        <v/>
      </c>
      <c r="J3083" s="4" t="str">
        <f aca="true">IF($D3083="Manual Review","Manual Review",IF($G3083="","No Data",IF(NOT(ISNUMBER($H3083)),"N/A",IF($H3083&lt;TODAY(),"Overdue",IF($H3083&lt;=TODAY()+30,"Due within 1 Month",IF($H3083&lt;=TODAY()+60,"Due within 2 Months","OK"))))))</f>
        <v>No Data</v>
      </c>
      <c r="K3083" s="13"/>
    </row>
    <row r="3084" customFormat="false" ht="15" hidden="false" customHeight="false" outlineLevel="0" collapsed="false">
      <c r="A3084" s="9" t="str">
        <f aca="false">Vessels!B32</f>
        <v>Vessel 28</v>
      </c>
      <c r="B3084" s="9" t="s">
        <v>88</v>
      </c>
      <c r="C3084" s="7" t="s">
        <v>95</v>
      </c>
      <c r="D3084" s="9" t="s">
        <v>45</v>
      </c>
      <c r="E3084" s="9" t="s">
        <v>92</v>
      </c>
      <c r="F3084" s="5" t="n">
        <v>120</v>
      </c>
      <c r="G3084" s="10"/>
      <c r="H3084" s="11" t="str">
        <f aca="false">IFERROR(IF($D3084="Manual Review","",IF($G3084="","",IF($D3084="Direct Expiry",$G3084,EDATE($G3084,$F3084)))),"Check Date")</f>
        <v/>
      </c>
      <c r="I3084" s="12" t="str">
        <f aca="true">IF($H3084="","",IF(ISNUMBER($H3084),$H3084-TODAY(),""))</f>
        <v/>
      </c>
      <c r="J3084" s="4" t="str">
        <f aca="true">IF($D3084="Manual Review","Manual Review",IF($G3084="","No Data",IF(NOT(ISNUMBER($H3084)),"N/A",IF($H3084&lt;TODAY(),"Overdue",IF($H3084&lt;=TODAY()+30,"Due within 1 Month",IF($H3084&lt;=TODAY()+60,"Due within 2 Months","OK"))))))</f>
        <v>No Data</v>
      </c>
      <c r="K3084" s="13"/>
    </row>
    <row r="3085" customFormat="false" ht="15" hidden="false" customHeight="false" outlineLevel="0" collapsed="false">
      <c r="A3085" s="9" t="str">
        <f aca="false">Vessels!B32</f>
        <v>Vessel 28</v>
      </c>
      <c r="B3085" s="9" t="s">
        <v>88</v>
      </c>
      <c r="C3085" s="7" t="s">
        <v>96</v>
      </c>
      <c r="D3085" s="9" t="s">
        <v>45</v>
      </c>
      <c r="E3085" s="9" t="s">
        <v>44</v>
      </c>
      <c r="F3085" s="5" t="n">
        <v>12</v>
      </c>
      <c r="G3085" s="10"/>
      <c r="H3085" s="11" t="str">
        <f aca="false">IFERROR(IF($D3085="Manual Review","",IF($G3085="","",IF($D3085="Direct Expiry",$G3085,EDATE($G3085,$F3085)))),"Check Date")</f>
        <v/>
      </c>
      <c r="I3085" s="12" t="str">
        <f aca="true">IF($H3085="","",IF(ISNUMBER($H3085),$H3085-TODAY(),""))</f>
        <v/>
      </c>
      <c r="J3085" s="4" t="str">
        <f aca="true">IF($D3085="Manual Review","Manual Review",IF($G3085="","No Data",IF(NOT(ISNUMBER($H3085)),"N/A",IF($H3085&lt;TODAY(),"Overdue",IF($H3085&lt;=TODAY()+30,"Due within 1 Month",IF($H3085&lt;=TODAY()+60,"Due within 2 Months","OK"))))))</f>
        <v>No Data</v>
      </c>
      <c r="K3085" s="13"/>
    </row>
    <row r="3086" customFormat="false" ht="15" hidden="false" customHeight="false" outlineLevel="0" collapsed="false">
      <c r="A3086" s="9" t="str">
        <f aca="false">Vessels!B32</f>
        <v>Vessel 28</v>
      </c>
      <c r="B3086" s="9" t="s">
        <v>88</v>
      </c>
      <c r="C3086" s="7" t="s">
        <v>96</v>
      </c>
      <c r="D3086" s="9" t="s">
        <v>45</v>
      </c>
      <c r="E3086" s="9" t="s">
        <v>97</v>
      </c>
      <c r="F3086" s="5" t="n">
        <v>120</v>
      </c>
      <c r="G3086" s="10"/>
      <c r="H3086" s="11" t="str">
        <f aca="false">IFERROR(IF($D3086="Manual Review","",IF($G3086="","",IF($D3086="Direct Expiry",$G3086,EDATE($G3086,$F3086)))),"Check Date")</f>
        <v/>
      </c>
      <c r="I3086" s="12" t="str">
        <f aca="true">IF($H3086="","",IF(ISNUMBER($H3086),$H3086-TODAY(),""))</f>
        <v/>
      </c>
      <c r="J3086" s="4" t="str">
        <f aca="true">IF($D3086="Manual Review","Manual Review",IF($G3086="","No Data",IF(NOT(ISNUMBER($H3086)),"N/A",IF($H3086&lt;TODAY(),"Overdue",IF($H3086&lt;=TODAY()+30,"Due within 1 Month",IF($H3086&lt;=TODAY()+60,"Due within 2 Months","OK"))))))</f>
        <v>No Data</v>
      </c>
      <c r="K3086" s="13"/>
    </row>
    <row r="3087" customFormat="false" ht="15" hidden="false" customHeight="false" outlineLevel="0" collapsed="false">
      <c r="A3087" s="9" t="str">
        <f aca="false">Vessels!B32</f>
        <v>Vessel 28</v>
      </c>
      <c r="B3087" s="9" t="s">
        <v>88</v>
      </c>
      <c r="C3087" s="7" t="s">
        <v>98</v>
      </c>
      <c r="D3087" s="9" t="s">
        <v>45</v>
      </c>
      <c r="E3087" s="9" t="s">
        <v>44</v>
      </c>
      <c r="F3087" s="5" t="n">
        <v>12</v>
      </c>
      <c r="G3087" s="10"/>
      <c r="H3087" s="11" t="str">
        <f aca="false">IFERROR(IF($D3087="Manual Review","",IF($G3087="","",IF($D3087="Direct Expiry",$G3087,EDATE($G3087,$F3087)))),"Check Date")</f>
        <v/>
      </c>
      <c r="I3087" s="12" t="str">
        <f aca="true">IF($H3087="","",IF(ISNUMBER($H3087),$H3087-TODAY(),""))</f>
        <v/>
      </c>
      <c r="J3087" s="4" t="str">
        <f aca="true">IF($D3087="Manual Review","Manual Review",IF($G3087="","No Data",IF(NOT(ISNUMBER($H3087)),"N/A",IF($H3087&lt;TODAY(),"Overdue",IF($H3087&lt;=TODAY()+30,"Due within 1 Month",IF($H3087&lt;=TODAY()+60,"Due within 2 Months","OK"))))))</f>
        <v>No Data</v>
      </c>
      <c r="K3087" s="13"/>
    </row>
    <row r="3088" customFormat="false" ht="15" hidden="false" customHeight="false" outlineLevel="0" collapsed="false">
      <c r="A3088" s="9" t="str">
        <f aca="false">Vessels!B32</f>
        <v>Vessel 28</v>
      </c>
      <c r="B3088" s="9" t="s">
        <v>88</v>
      </c>
      <c r="C3088" s="7" t="s">
        <v>98</v>
      </c>
      <c r="D3088" s="9" t="s">
        <v>45</v>
      </c>
      <c r="E3088" s="9" t="s">
        <v>99</v>
      </c>
      <c r="F3088" s="5" t="n">
        <v>60</v>
      </c>
      <c r="G3088" s="10"/>
      <c r="H3088" s="11" t="str">
        <f aca="false">IFERROR(IF($D3088="Manual Review","",IF($G3088="","",IF($D3088="Direct Expiry",$G3088,EDATE($G3088,$F3088)))),"Check Date")</f>
        <v/>
      </c>
      <c r="I3088" s="12" t="str">
        <f aca="true">IF($H3088="","",IF(ISNUMBER($H3088),$H3088-TODAY(),""))</f>
        <v/>
      </c>
      <c r="J3088" s="4" t="str">
        <f aca="true">IF($D3088="Manual Review","Manual Review",IF($G3088="","No Data",IF(NOT(ISNUMBER($H3088)),"N/A",IF($H3088&lt;TODAY(),"Overdue",IF($H3088&lt;=TODAY()+30,"Due within 1 Month",IF($H3088&lt;=TODAY()+60,"Due within 2 Months","OK"))))))</f>
        <v>No Data</v>
      </c>
      <c r="K3088" s="13"/>
    </row>
    <row r="3089" customFormat="false" ht="15" hidden="false" customHeight="false" outlineLevel="0" collapsed="false">
      <c r="A3089" s="9" t="str">
        <f aca="false">Vessels!B32</f>
        <v>Vessel 28</v>
      </c>
      <c r="B3089" s="9" t="s">
        <v>88</v>
      </c>
      <c r="C3089" s="7" t="s">
        <v>100</v>
      </c>
      <c r="D3089" s="9" t="s">
        <v>45</v>
      </c>
      <c r="E3089" s="9" t="s">
        <v>44</v>
      </c>
      <c r="F3089" s="5" t="n">
        <v>12</v>
      </c>
      <c r="G3089" s="10"/>
      <c r="H3089" s="11" t="str">
        <f aca="false">IFERROR(IF($D3089="Manual Review","",IF($G3089="","",IF($D3089="Direct Expiry",$G3089,EDATE($G3089,$F3089)))),"Check Date")</f>
        <v/>
      </c>
      <c r="I3089" s="12" t="str">
        <f aca="true">IF($H3089="","",IF(ISNUMBER($H3089),$H3089-TODAY(),""))</f>
        <v/>
      </c>
      <c r="J3089" s="4" t="str">
        <f aca="true">IF($D3089="Manual Review","Manual Review",IF($G3089="","No Data",IF(NOT(ISNUMBER($H3089)),"N/A",IF($H3089&lt;TODAY(),"Overdue",IF($H3089&lt;=TODAY()+30,"Due within 1 Month",IF($H3089&lt;=TODAY()+60,"Due within 2 Months","OK"))))))</f>
        <v>No Data</v>
      </c>
      <c r="K3089" s="13"/>
    </row>
    <row r="3090" customFormat="false" ht="15" hidden="false" customHeight="false" outlineLevel="0" collapsed="false">
      <c r="A3090" s="9" t="str">
        <f aca="false">Vessels!B32</f>
        <v>Vessel 28</v>
      </c>
      <c r="B3090" s="9" t="s">
        <v>88</v>
      </c>
      <c r="C3090" s="7" t="s">
        <v>100</v>
      </c>
      <c r="D3090" s="9" t="s">
        <v>45</v>
      </c>
      <c r="E3090" s="9" t="s">
        <v>99</v>
      </c>
      <c r="F3090" s="5" t="n">
        <v>60</v>
      </c>
      <c r="G3090" s="10"/>
      <c r="H3090" s="11" t="str">
        <f aca="false">IFERROR(IF($D3090="Manual Review","",IF($G3090="","",IF($D3090="Direct Expiry",$G3090,EDATE($G3090,$F3090)))),"Check Date")</f>
        <v/>
      </c>
      <c r="I3090" s="12" t="str">
        <f aca="true">IF($H3090="","",IF(ISNUMBER($H3090),$H3090-TODAY(),""))</f>
        <v/>
      </c>
      <c r="J3090" s="4" t="str">
        <f aca="true">IF($D3090="Manual Review","Manual Review",IF($G3090="","No Data",IF(NOT(ISNUMBER($H3090)),"N/A",IF($H3090&lt;TODAY(),"Overdue",IF($H3090&lt;=TODAY()+30,"Due within 1 Month",IF($H3090&lt;=TODAY()+60,"Due within 2 Months","OK"))))))</f>
        <v>No Data</v>
      </c>
      <c r="K3090" s="13"/>
    </row>
    <row r="3091" customFormat="false" ht="15" hidden="false" customHeight="false" outlineLevel="0" collapsed="false">
      <c r="A3091" s="9" t="str">
        <f aca="false">Vessels!B32</f>
        <v>Vessel 28</v>
      </c>
      <c r="B3091" s="9" t="s">
        <v>88</v>
      </c>
      <c r="C3091" s="7" t="s">
        <v>101</v>
      </c>
      <c r="D3091" s="9" t="s">
        <v>45</v>
      </c>
      <c r="E3091" s="9" t="s">
        <v>44</v>
      </c>
      <c r="F3091" s="5" t="n">
        <v>12</v>
      </c>
      <c r="G3091" s="10"/>
      <c r="H3091" s="11" t="str">
        <f aca="false">IFERROR(IF($D3091="Manual Review","",IF($G3091="","",IF($D3091="Direct Expiry",$G3091,EDATE($G3091,$F3091)))),"Check Date")</f>
        <v/>
      </c>
      <c r="I3091" s="12" t="str">
        <f aca="true">IF($H3091="","",IF(ISNUMBER($H3091),$H3091-TODAY(),""))</f>
        <v/>
      </c>
      <c r="J3091" s="4" t="str">
        <f aca="true">IF($D3091="Manual Review","Manual Review",IF($G3091="","No Data",IF(NOT(ISNUMBER($H3091)),"N/A",IF($H3091&lt;TODAY(),"Overdue",IF($H3091&lt;=TODAY()+30,"Due within 1 Month",IF($H3091&lt;=TODAY()+60,"Due within 2 Months","OK"))))))</f>
        <v>No Data</v>
      </c>
      <c r="K3091" s="13"/>
    </row>
    <row r="3092" customFormat="false" ht="23.85" hidden="false" customHeight="false" outlineLevel="0" collapsed="false">
      <c r="A3092" s="9" t="str">
        <f aca="false">Vessels!B32</f>
        <v>Vessel 28</v>
      </c>
      <c r="B3092" s="9" t="s">
        <v>88</v>
      </c>
      <c r="C3092" s="7" t="s">
        <v>102</v>
      </c>
      <c r="D3092" s="9" t="s">
        <v>45</v>
      </c>
      <c r="E3092" s="9" t="s">
        <v>44</v>
      </c>
      <c r="F3092" s="5" t="n">
        <v>12</v>
      </c>
      <c r="G3092" s="10"/>
      <c r="H3092" s="11" t="str">
        <f aca="false">IFERROR(IF($D3092="Manual Review","",IF($G3092="","",IF($D3092="Direct Expiry",$G3092,EDATE($G3092,$F3092)))),"Check Date")</f>
        <v/>
      </c>
      <c r="I3092" s="12" t="str">
        <f aca="true">IF($H3092="","",IF(ISNUMBER($H3092),$H3092-TODAY(),""))</f>
        <v/>
      </c>
      <c r="J3092" s="4" t="str">
        <f aca="true">IF($D3092="Manual Review","Manual Review",IF($G3092="","No Data",IF(NOT(ISNUMBER($H3092)),"N/A",IF($H3092&lt;TODAY(),"Overdue",IF($H3092&lt;=TODAY()+30,"Due within 1 Month",IF($H3092&lt;=TODAY()+60,"Due within 2 Months","OK"))))))</f>
        <v>No Data</v>
      </c>
      <c r="K3092" s="13"/>
    </row>
    <row r="3093" customFormat="false" ht="23.85" hidden="false" customHeight="false" outlineLevel="0" collapsed="false">
      <c r="A3093" s="9" t="str">
        <f aca="false">Vessels!B32</f>
        <v>Vessel 28</v>
      </c>
      <c r="B3093" s="9" t="s">
        <v>88</v>
      </c>
      <c r="C3093" s="7" t="s">
        <v>102</v>
      </c>
      <c r="D3093" s="9" t="s">
        <v>45</v>
      </c>
      <c r="E3093" s="9" t="s">
        <v>97</v>
      </c>
      <c r="F3093" s="5" t="n">
        <v>120</v>
      </c>
      <c r="G3093" s="10"/>
      <c r="H3093" s="11" t="str">
        <f aca="false">IFERROR(IF($D3093="Manual Review","",IF($G3093="","",IF($D3093="Direct Expiry",$G3093,EDATE($G3093,$F3093)))),"Check Date")</f>
        <v/>
      </c>
      <c r="I3093" s="12" t="str">
        <f aca="true">IF($H3093="","",IF(ISNUMBER($H3093),$H3093-TODAY(),""))</f>
        <v/>
      </c>
      <c r="J3093" s="4" t="str">
        <f aca="true">IF($D3093="Manual Review","Manual Review",IF($G3093="","No Data",IF(NOT(ISNUMBER($H3093)),"N/A",IF($H3093&lt;TODAY(),"Overdue",IF($H3093&lt;=TODAY()+30,"Due within 1 Month",IF($H3093&lt;=TODAY()+60,"Due within 2 Months","OK"))))))</f>
        <v>No Data</v>
      </c>
      <c r="K3093" s="13"/>
    </row>
    <row r="3094" customFormat="false" ht="15" hidden="false" customHeight="false" outlineLevel="0" collapsed="false">
      <c r="A3094" s="9" t="str">
        <f aca="false">Vessels!B32</f>
        <v>Vessel 28</v>
      </c>
      <c r="B3094" s="9" t="s">
        <v>88</v>
      </c>
      <c r="C3094" s="7" t="s">
        <v>103</v>
      </c>
      <c r="D3094" s="9" t="s">
        <v>45</v>
      </c>
      <c r="E3094" s="9" t="s">
        <v>44</v>
      </c>
      <c r="F3094" s="5" t="n">
        <v>12</v>
      </c>
      <c r="G3094" s="10"/>
      <c r="H3094" s="11" t="str">
        <f aca="false">IFERROR(IF($D3094="Manual Review","",IF($G3094="","",IF($D3094="Direct Expiry",$G3094,EDATE($G3094,$F3094)))),"Check Date")</f>
        <v/>
      </c>
      <c r="I3094" s="12" t="str">
        <f aca="true">IF($H3094="","",IF(ISNUMBER($H3094),$H3094-TODAY(),""))</f>
        <v/>
      </c>
      <c r="J3094" s="4" t="str">
        <f aca="true">IF($D3094="Manual Review","Manual Review",IF($G3094="","No Data",IF(NOT(ISNUMBER($H3094)),"N/A",IF($H3094&lt;TODAY(),"Overdue",IF($H3094&lt;=TODAY()+30,"Due within 1 Month",IF($H3094&lt;=TODAY()+60,"Due within 2 Months","OK"))))))</f>
        <v>No Data</v>
      </c>
      <c r="K3094" s="13"/>
    </row>
    <row r="3095" customFormat="false" ht="15" hidden="false" customHeight="false" outlineLevel="0" collapsed="false">
      <c r="A3095" s="9" t="str">
        <f aca="false">Vessels!B32</f>
        <v>Vessel 28</v>
      </c>
      <c r="B3095" s="9" t="s">
        <v>88</v>
      </c>
      <c r="C3095" s="7" t="s">
        <v>103</v>
      </c>
      <c r="D3095" s="9" t="s">
        <v>45</v>
      </c>
      <c r="E3095" s="9" t="s">
        <v>97</v>
      </c>
      <c r="F3095" s="5" t="n">
        <v>120</v>
      </c>
      <c r="G3095" s="10"/>
      <c r="H3095" s="11" t="str">
        <f aca="false">IFERROR(IF($D3095="Manual Review","",IF($G3095="","",IF($D3095="Direct Expiry",$G3095,EDATE($G3095,$F3095)))),"Check Date")</f>
        <v/>
      </c>
      <c r="I3095" s="12" t="str">
        <f aca="true">IF($H3095="","",IF(ISNUMBER($H3095),$H3095-TODAY(),""))</f>
        <v/>
      </c>
      <c r="J3095" s="4" t="str">
        <f aca="true">IF($D3095="Manual Review","Manual Review",IF($G3095="","No Data",IF(NOT(ISNUMBER($H3095)),"N/A",IF($H3095&lt;TODAY(),"Overdue",IF($H3095&lt;=TODAY()+30,"Due within 1 Month",IF($H3095&lt;=TODAY()+60,"Due within 2 Months","OK"))))))</f>
        <v>No Data</v>
      </c>
      <c r="K3095" s="13"/>
    </row>
    <row r="3096" customFormat="false" ht="15" hidden="false" customHeight="false" outlineLevel="0" collapsed="false">
      <c r="A3096" s="9" t="str">
        <f aca="false">Vessels!B32</f>
        <v>Vessel 28</v>
      </c>
      <c r="B3096" s="9" t="s">
        <v>88</v>
      </c>
      <c r="C3096" s="7" t="s">
        <v>104</v>
      </c>
      <c r="D3096" s="9" t="s">
        <v>45</v>
      </c>
      <c r="E3096" s="9" t="s">
        <v>44</v>
      </c>
      <c r="F3096" s="5" t="n">
        <v>12</v>
      </c>
      <c r="G3096" s="10"/>
      <c r="H3096" s="11" t="str">
        <f aca="false">IFERROR(IF($D3096="Manual Review","",IF($G3096="","",IF($D3096="Direct Expiry",$G3096,EDATE($G3096,$F3096)))),"Check Date")</f>
        <v/>
      </c>
      <c r="I3096" s="12" t="str">
        <f aca="true">IF($H3096="","",IF(ISNUMBER($H3096),$H3096-TODAY(),""))</f>
        <v/>
      </c>
      <c r="J3096" s="4" t="str">
        <f aca="true">IF($D3096="Manual Review","Manual Review",IF($G3096="","No Data",IF(NOT(ISNUMBER($H3096)),"N/A",IF($H3096&lt;TODAY(),"Overdue",IF($H3096&lt;=TODAY()+30,"Due within 1 Month",IF($H3096&lt;=TODAY()+60,"Due within 2 Months","OK"))))))</f>
        <v>No Data</v>
      </c>
      <c r="K3096" s="13"/>
    </row>
    <row r="3097" customFormat="false" ht="15" hidden="false" customHeight="false" outlineLevel="0" collapsed="false">
      <c r="A3097" s="9" t="str">
        <f aca="false">Vessels!B32</f>
        <v>Vessel 28</v>
      </c>
      <c r="B3097" s="9" t="s">
        <v>88</v>
      </c>
      <c r="C3097" s="7" t="s">
        <v>105</v>
      </c>
      <c r="D3097" s="9" t="s">
        <v>45</v>
      </c>
      <c r="E3097" s="9" t="s">
        <v>44</v>
      </c>
      <c r="F3097" s="5" t="n">
        <v>12</v>
      </c>
      <c r="G3097" s="10"/>
      <c r="H3097" s="11" t="str">
        <f aca="false">IFERROR(IF($D3097="Manual Review","",IF($G3097="","",IF($D3097="Direct Expiry",$G3097,EDATE($G3097,$F3097)))),"Check Date")</f>
        <v/>
      </c>
      <c r="I3097" s="12" t="str">
        <f aca="true">IF($H3097="","",IF(ISNUMBER($H3097),$H3097-TODAY(),""))</f>
        <v/>
      </c>
      <c r="J3097" s="4" t="str">
        <f aca="true">IF($D3097="Manual Review","Manual Review",IF($G3097="","No Data",IF(NOT(ISNUMBER($H3097)),"N/A",IF($H3097&lt;TODAY(),"Overdue",IF($H3097&lt;=TODAY()+30,"Due within 1 Month",IF($H3097&lt;=TODAY()+60,"Due within 2 Months","OK"))))))</f>
        <v>No Data</v>
      </c>
      <c r="K3097" s="13"/>
    </row>
    <row r="3098" customFormat="false" ht="15" hidden="false" customHeight="false" outlineLevel="0" collapsed="false">
      <c r="A3098" s="9" t="str">
        <f aca="false">Vessels!B32</f>
        <v>Vessel 28</v>
      </c>
      <c r="B3098" s="9" t="s">
        <v>88</v>
      </c>
      <c r="C3098" s="7" t="s">
        <v>106</v>
      </c>
      <c r="D3098" s="9" t="s">
        <v>45</v>
      </c>
      <c r="E3098" s="9" t="s">
        <v>44</v>
      </c>
      <c r="F3098" s="5" t="n">
        <v>12</v>
      </c>
      <c r="G3098" s="10"/>
      <c r="H3098" s="11" t="str">
        <f aca="false">IFERROR(IF($D3098="Manual Review","",IF($G3098="","",IF($D3098="Direct Expiry",$G3098,EDATE($G3098,$F3098)))),"Check Date")</f>
        <v/>
      </c>
      <c r="I3098" s="12" t="str">
        <f aca="true">IF($H3098="","",IF(ISNUMBER($H3098),$H3098-TODAY(),""))</f>
        <v/>
      </c>
      <c r="J3098" s="4" t="str">
        <f aca="true">IF($D3098="Manual Review","Manual Review",IF($G3098="","No Data",IF(NOT(ISNUMBER($H3098)),"N/A",IF($H3098&lt;TODAY(),"Overdue",IF($H3098&lt;=TODAY()+30,"Due within 1 Month",IF($H3098&lt;=TODAY()+60,"Due within 2 Months","OK"))))))</f>
        <v>No Data</v>
      </c>
      <c r="K3098" s="13"/>
    </row>
    <row r="3099" customFormat="false" ht="15" hidden="false" customHeight="false" outlineLevel="0" collapsed="false">
      <c r="A3099" s="9" t="str">
        <f aca="false">Vessels!B32</f>
        <v>Vessel 28</v>
      </c>
      <c r="B3099" s="9" t="s">
        <v>88</v>
      </c>
      <c r="C3099" s="7" t="s">
        <v>107</v>
      </c>
      <c r="D3099" s="9" t="s">
        <v>45</v>
      </c>
      <c r="E3099" s="9" t="s">
        <v>44</v>
      </c>
      <c r="F3099" s="5" t="n">
        <v>12</v>
      </c>
      <c r="G3099" s="10"/>
      <c r="H3099" s="11" t="str">
        <f aca="false">IFERROR(IF($D3099="Manual Review","",IF($G3099="","",IF($D3099="Direct Expiry",$G3099,EDATE($G3099,$F3099)))),"Check Date")</f>
        <v/>
      </c>
      <c r="I3099" s="12" t="str">
        <f aca="true">IF($H3099="","",IF(ISNUMBER($H3099),$H3099-TODAY(),""))</f>
        <v/>
      </c>
      <c r="J3099" s="4" t="str">
        <f aca="true">IF($D3099="Manual Review","Manual Review",IF($G3099="","No Data",IF(NOT(ISNUMBER($H3099)),"N/A",IF($H3099&lt;TODAY(),"Overdue",IF($H3099&lt;=TODAY()+30,"Due within 1 Month",IF($H3099&lt;=TODAY()+60,"Due within 2 Months","OK"))))))</f>
        <v>No Data</v>
      </c>
      <c r="K3099" s="13"/>
    </row>
    <row r="3100" customFormat="false" ht="15" hidden="false" customHeight="false" outlineLevel="0" collapsed="false">
      <c r="A3100" s="9" t="str">
        <f aca="false">Vessels!B32</f>
        <v>Vessel 28</v>
      </c>
      <c r="B3100" s="9" t="s">
        <v>88</v>
      </c>
      <c r="C3100" s="7" t="s">
        <v>108</v>
      </c>
      <c r="D3100" s="9" t="s">
        <v>45</v>
      </c>
      <c r="E3100" s="9" t="s">
        <v>109</v>
      </c>
      <c r="F3100" s="5" t="n">
        <v>12</v>
      </c>
      <c r="G3100" s="10"/>
      <c r="H3100" s="11" t="str">
        <f aca="false">IFERROR(IF($D3100="Manual Review","",IF($G3100="","",IF($D3100="Direct Expiry",$G3100,EDATE($G3100,$F3100)))),"Check Date")</f>
        <v/>
      </c>
      <c r="I3100" s="12" t="str">
        <f aca="true">IF($H3100="","",IF(ISNUMBER($H3100),$H3100-TODAY(),""))</f>
        <v/>
      </c>
      <c r="J3100" s="4" t="str">
        <f aca="true">IF($D3100="Manual Review","Manual Review",IF($G3100="","No Data",IF(NOT(ISNUMBER($H3100)),"N/A",IF($H3100&lt;TODAY(),"Overdue",IF($H3100&lt;=TODAY()+30,"Due within 1 Month",IF($H3100&lt;=TODAY()+60,"Due within 2 Months","OK"))))))</f>
        <v>No Data</v>
      </c>
      <c r="K3100" s="13"/>
    </row>
    <row r="3101" customFormat="false" ht="15" hidden="false" customHeight="false" outlineLevel="0" collapsed="false">
      <c r="A3101" s="9" t="str">
        <f aca="false">Vessels!B32</f>
        <v>Vessel 28</v>
      </c>
      <c r="B3101" s="9" t="s">
        <v>88</v>
      </c>
      <c r="C3101" s="7" t="s">
        <v>108</v>
      </c>
      <c r="D3101" s="9" t="s">
        <v>45</v>
      </c>
      <c r="E3101" s="9" t="s">
        <v>110</v>
      </c>
      <c r="F3101" s="5" t="n">
        <v>60</v>
      </c>
      <c r="G3101" s="10"/>
      <c r="H3101" s="11" t="str">
        <f aca="false">IFERROR(IF($D3101="Manual Review","",IF($G3101="","",IF($D3101="Direct Expiry",$G3101,EDATE($G3101,$F3101)))),"Check Date")</f>
        <v/>
      </c>
      <c r="I3101" s="12" t="str">
        <f aca="true">IF($H3101="","",IF(ISNUMBER($H3101),$H3101-TODAY(),""))</f>
        <v/>
      </c>
      <c r="J3101" s="4" t="str">
        <f aca="true">IF($D3101="Manual Review","Manual Review",IF($G3101="","No Data",IF(NOT(ISNUMBER($H3101)),"N/A",IF($H3101&lt;TODAY(),"Overdue",IF($H3101&lt;=TODAY()+30,"Due within 1 Month",IF($H3101&lt;=TODAY()+60,"Due within 2 Months","OK"))))))</f>
        <v>No Data</v>
      </c>
      <c r="K3101" s="13"/>
    </row>
    <row r="3102" customFormat="false" ht="15" hidden="false" customHeight="false" outlineLevel="0" collapsed="false">
      <c r="A3102" s="9" t="str">
        <f aca="false">Vessels!B32</f>
        <v>Vessel 28</v>
      </c>
      <c r="B3102" s="9" t="s">
        <v>88</v>
      </c>
      <c r="C3102" s="7" t="s">
        <v>111</v>
      </c>
      <c r="D3102" s="9" t="s">
        <v>45</v>
      </c>
      <c r="E3102" s="9" t="s">
        <v>44</v>
      </c>
      <c r="F3102" s="5" t="n">
        <v>12</v>
      </c>
      <c r="G3102" s="10"/>
      <c r="H3102" s="11" t="str">
        <f aca="false">IFERROR(IF($D3102="Manual Review","",IF($G3102="","",IF($D3102="Direct Expiry",$G3102,EDATE($G3102,$F3102)))),"Check Date")</f>
        <v/>
      </c>
      <c r="I3102" s="12" t="str">
        <f aca="true">IF($H3102="","",IF(ISNUMBER($H3102),$H3102-TODAY(),""))</f>
        <v/>
      </c>
      <c r="J3102" s="4" t="str">
        <f aca="true">IF($D3102="Manual Review","Manual Review",IF($G3102="","No Data",IF(NOT(ISNUMBER($H3102)),"N/A",IF($H3102&lt;TODAY(),"Overdue",IF($H3102&lt;=TODAY()+30,"Due within 1 Month",IF($H3102&lt;=TODAY()+60,"Due within 2 Months","OK"))))))</f>
        <v>No Data</v>
      </c>
      <c r="K3102" s="13"/>
    </row>
    <row r="3103" customFormat="false" ht="15" hidden="false" customHeight="false" outlineLevel="0" collapsed="false">
      <c r="A3103" s="9" t="str">
        <f aca="false">Vessels!B32</f>
        <v>Vessel 28</v>
      </c>
      <c r="B3103" s="9" t="s">
        <v>88</v>
      </c>
      <c r="C3103" s="7" t="s">
        <v>112</v>
      </c>
      <c r="D3103" s="9" t="s">
        <v>45</v>
      </c>
      <c r="E3103" s="9" t="s">
        <v>44</v>
      </c>
      <c r="F3103" s="5" t="n">
        <v>12</v>
      </c>
      <c r="G3103" s="10"/>
      <c r="H3103" s="11" t="str">
        <f aca="false">IFERROR(IF($D3103="Manual Review","",IF($G3103="","",IF($D3103="Direct Expiry",$G3103,EDATE($G3103,$F3103)))),"Check Date")</f>
        <v/>
      </c>
      <c r="I3103" s="12" t="str">
        <f aca="true">IF($H3103="","",IF(ISNUMBER($H3103),$H3103-TODAY(),""))</f>
        <v/>
      </c>
      <c r="J3103" s="4" t="str">
        <f aca="true">IF($D3103="Manual Review","Manual Review",IF($G3103="","No Data",IF(NOT(ISNUMBER($H3103)),"N/A",IF($H3103&lt;TODAY(),"Overdue",IF($H3103&lt;=TODAY()+30,"Due within 1 Month",IF($H3103&lt;=TODAY()+60,"Due within 2 Months","OK"))))))</f>
        <v>No Data</v>
      </c>
      <c r="K3103" s="13"/>
    </row>
    <row r="3104" customFormat="false" ht="15" hidden="false" customHeight="false" outlineLevel="0" collapsed="false">
      <c r="A3104" s="9" t="str">
        <f aca="false">Vessels!B32</f>
        <v>Vessel 28</v>
      </c>
      <c r="B3104" s="9" t="s">
        <v>88</v>
      </c>
      <c r="C3104" s="7" t="s">
        <v>113</v>
      </c>
      <c r="D3104" s="9" t="s">
        <v>115</v>
      </c>
      <c r="E3104" s="9" t="s">
        <v>114</v>
      </c>
      <c r="F3104" s="5"/>
      <c r="G3104" s="10"/>
      <c r="H3104" s="11" t="str">
        <f aca="false">IFERROR(IF($D3104="Manual Review","",IF($G3104="","",IF($D3104="Direct Expiry",$G3104,EDATE($G3104,$F3104)))),"Check Date")</f>
        <v/>
      </c>
      <c r="I3104" s="12" t="str">
        <f aca="true">IF($H3104="","",IF(ISNUMBER($H3104),$H3104-TODAY(),""))</f>
        <v/>
      </c>
      <c r="J3104" s="4" t="str">
        <f aca="true">IF($D3104="Manual Review","Manual Review",IF($G3104="","No Data",IF(NOT(ISNUMBER($H3104)),"N/A",IF($H3104&lt;TODAY(),"Overdue",IF($H3104&lt;=TODAY()+30,"Due within 1 Month",IF($H3104&lt;=TODAY()+60,"Due within 2 Months","OK"))))))</f>
        <v>Manual Review</v>
      </c>
      <c r="K3104" s="13"/>
    </row>
    <row r="3105" customFormat="false" ht="15" hidden="false" customHeight="false" outlineLevel="0" collapsed="false">
      <c r="A3105" s="9" t="str">
        <f aca="false">Vessels!B32</f>
        <v>Vessel 28</v>
      </c>
      <c r="B3105" s="9" t="s">
        <v>88</v>
      </c>
      <c r="C3105" s="7" t="s">
        <v>116</v>
      </c>
      <c r="D3105" s="9" t="s">
        <v>115</v>
      </c>
      <c r="E3105" s="9" t="s">
        <v>114</v>
      </c>
      <c r="F3105" s="5"/>
      <c r="G3105" s="10"/>
      <c r="H3105" s="11" t="str">
        <f aca="false">IFERROR(IF($D3105="Manual Review","",IF($G3105="","",IF($D3105="Direct Expiry",$G3105,EDATE($G3105,$F3105)))),"Check Date")</f>
        <v/>
      </c>
      <c r="I3105" s="12" t="str">
        <f aca="true">IF($H3105="","",IF(ISNUMBER($H3105),$H3105-TODAY(),""))</f>
        <v/>
      </c>
      <c r="J3105" s="4" t="str">
        <f aca="true">IF($D3105="Manual Review","Manual Review",IF($G3105="","No Data",IF(NOT(ISNUMBER($H3105)),"N/A",IF($H3105&lt;TODAY(),"Overdue",IF($H3105&lt;=TODAY()+30,"Due within 1 Month",IF($H3105&lt;=TODAY()+60,"Due within 2 Months","OK"))))))</f>
        <v>Manual Review</v>
      </c>
      <c r="K3105" s="13"/>
    </row>
    <row r="3106" customFormat="false" ht="15" hidden="false" customHeight="false" outlineLevel="0" collapsed="false">
      <c r="A3106" s="9" t="str">
        <f aca="false">Vessels!B32</f>
        <v>Vessel 28</v>
      </c>
      <c r="B3106" s="9" t="s">
        <v>117</v>
      </c>
      <c r="C3106" s="7" t="s">
        <v>118</v>
      </c>
      <c r="D3106" s="9" t="s">
        <v>59</v>
      </c>
      <c r="E3106" s="9" t="s">
        <v>119</v>
      </c>
      <c r="F3106" s="5"/>
      <c r="G3106" s="10"/>
      <c r="H3106" s="11" t="str">
        <f aca="false">IFERROR(IF($D3106="Manual Review","",IF($G3106="","",IF($D3106="Direct Expiry",$G3106,EDATE($G3106,$F3106)))),"Check Date")</f>
        <v/>
      </c>
      <c r="I3106" s="12" t="str">
        <f aca="true">IF($H3106="","",IF(ISNUMBER($H3106),$H3106-TODAY(),""))</f>
        <v/>
      </c>
      <c r="J3106" s="4" t="str">
        <f aca="true">IF($D3106="Manual Review","Manual Review",IF($G3106="","No Data",IF(NOT(ISNUMBER($H3106)),"N/A",IF($H3106&lt;TODAY(),"Overdue",IF($H3106&lt;=TODAY()+30,"Due within 1 Month",IF($H3106&lt;=TODAY()+60,"Due within 2 Months","OK"))))))</f>
        <v>No Data</v>
      </c>
      <c r="K3106" s="13"/>
    </row>
    <row r="3107" customFormat="false" ht="15" hidden="false" customHeight="false" outlineLevel="0" collapsed="false">
      <c r="A3107" s="9" t="str">
        <f aca="false">Vessels!B32</f>
        <v>Vessel 28</v>
      </c>
      <c r="B3107" s="9" t="s">
        <v>117</v>
      </c>
      <c r="C3107" s="7" t="s">
        <v>120</v>
      </c>
      <c r="D3107" s="9" t="s">
        <v>45</v>
      </c>
      <c r="E3107" s="9" t="s">
        <v>44</v>
      </c>
      <c r="F3107" s="5" t="n">
        <v>12</v>
      </c>
      <c r="G3107" s="10"/>
      <c r="H3107" s="11" t="str">
        <f aca="false">IFERROR(IF($D3107="Manual Review","",IF($G3107="","",IF($D3107="Direct Expiry",$G3107,EDATE($G3107,$F3107)))),"Check Date")</f>
        <v/>
      </c>
      <c r="I3107" s="12" t="str">
        <f aca="true">IF($H3107="","",IF(ISNUMBER($H3107),$H3107-TODAY(),""))</f>
        <v/>
      </c>
      <c r="J3107" s="4" t="str">
        <f aca="true">IF($D3107="Manual Review","Manual Review",IF($G3107="","No Data",IF(NOT(ISNUMBER($H3107)),"N/A",IF($H3107&lt;TODAY(),"Overdue",IF($H3107&lt;=TODAY()+30,"Due within 1 Month",IF($H3107&lt;=TODAY()+60,"Due within 2 Months","OK"))))))</f>
        <v>No Data</v>
      </c>
      <c r="K3107" s="13"/>
    </row>
    <row r="3108" customFormat="false" ht="15" hidden="false" customHeight="false" outlineLevel="0" collapsed="false">
      <c r="A3108" s="9" t="str">
        <f aca="false">Vessels!B32</f>
        <v>Vessel 28</v>
      </c>
      <c r="B3108" s="9" t="s">
        <v>117</v>
      </c>
      <c r="C3108" s="7" t="s">
        <v>121</v>
      </c>
      <c r="D3108" s="9" t="s">
        <v>45</v>
      </c>
      <c r="E3108" s="9" t="s">
        <v>44</v>
      </c>
      <c r="F3108" s="5" t="n">
        <v>12</v>
      </c>
      <c r="G3108" s="10"/>
      <c r="H3108" s="11" t="str">
        <f aca="false">IFERROR(IF($D3108="Manual Review","",IF($G3108="","",IF($D3108="Direct Expiry",$G3108,EDATE($G3108,$F3108)))),"Check Date")</f>
        <v/>
      </c>
      <c r="I3108" s="12" t="str">
        <f aca="true">IF($H3108="","",IF(ISNUMBER($H3108),$H3108-TODAY(),""))</f>
        <v/>
      </c>
      <c r="J3108" s="4" t="str">
        <f aca="true">IF($D3108="Manual Review","Manual Review",IF($G3108="","No Data",IF(NOT(ISNUMBER($H3108)),"N/A",IF($H3108&lt;TODAY(),"Overdue",IF($H3108&lt;=TODAY()+30,"Due within 1 Month",IF($H3108&lt;=TODAY()+60,"Due within 2 Months","OK"))))))</f>
        <v>No Data</v>
      </c>
      <c r="K3108" s="13"/>
    </row>
    <row r="3109" customFormat="false" ht="15" hidden="false" customHeight="false" outlineLevel="0" collapsed="false">
      <c r="A3109" s="9" t="str">
        <f aca="false">Vessels!B32</f>
        <v>Vessel 28</v>
      </c>
      <c r="B3109" s="9" t="s">
        <v>117</v>
      </c>
      <c r="C3109" s="7" t="s">
        <v>122</v>
      </c>
      <c r="D3109" s="9" t="s">
        <v>45</v>
      </c>
      <c r="E3109" s="9" t="s">
        <v>123</v>
      </c>
      <c r="F3109" s="5" t="n">
        <v>24</v>
      </c>
      <c r="G3109" s="10"/>
      <c r="H3109" s="11" t="str">
        <f aca="false">IFERROR(IF($D3109="Manual Review","",IF($G3109="","",IF($D3109="Direct Expiry",$G3109,EDATE($G3109,$F3109)))),"Check Date")</f>
        <v/>
      </c>
      <c r="I3109" s="12" t="str">
        <f aca="true">IF($H3109="","",IF(ISNUMBER($H3109),$H3109-TODAY(),""))</f>
        <v/>
      </c>
      <c r="J3109" s="4" t="str">
        <f aca="true">IF($D3109="Manual Review","Manual Review",IF($G3109="","No Data",IF(NOT(ISNUMBER($H3109)),"N/A",IF($H3109&lt;TODAY(),"Overdue",IF($H3109&lt;=TODAY()+30,"Due within 1 Month",IF($H3109&lt;=TODAY()+60,"Due within 2 Months","OK"))))))</f>
        <v>No Data</v>
      </c>
      <c r="K3109" s="13"/>
    </row>
    <row r="3110" customFormat="false" ht="15" hidden="false" customHeight="false" outlineLevel="0" collapsed="false">
      <c r="A3110" s="9" t="str">
        <f aca="false">Vessels!B32</f>
        <v>Vessel 28</v>
      </c>
      <c r="B3110" s="9" t="s">
        <v>117</v>
      </c>
      <c r="C3110" s="7" t="s">
        <v>124</v>
      </c>
      <c r="D3110" s="9" t="s">
        <v>59</v>
      </c>
      <c r="E3110" s="9" t="s">
        <v>58</v>
      </c>
      <c r="F3110" s="5"/>
      <c r="G3110" s="10"/>
      <c r="H3110" s="11" t="str">
        <f aca="false">IFERROR(IF($D3110="Manual Review","",IF($G3110="","",IF($D3110="Direct Expiry",$G3110,EDATE($G3110,$F3110)))),"Check Date")</f>
        <v/>
      </c>
      <c r="I3110" s="12" t="str">
        <f aca="true">IF($H3110="","",IF(ISNUMBER($H3110),$H3110-TODAY(),""))</f>
        <v/>
      </c>
      <c r="J3110" s="4" t="str">
        <f aca="true">IF($D3110="Manual Review","Manual Review",IF($G3110="","No Data",IF(NOT(ISNUMBER($H3110)),"N/A",IF($H3110&lt;TODAY(),"Overdue",IF($H3110&lt;=TODAY()+30,"Due within 1 Month",IF($H3110&lt;=TODAY()+60,"Due within 2 Months","OK"))))))</f>
        <v>No Data</v>
      </c>
      <c r="K3110" s="13"/>
    </row>
    <row r="3111" customFormat="false" ht="15" hidden="false" customHeight="false" outlineLevel="0" collapsed="false">
      <c r="A3111" s="9" t="str">
        <f aca="false">Vessels!B32</f>
        <v>Vessel 28</v>
      </c>
      <c r="B3111" s="9" t="s">
        <v>117</v>
      </c>
      <c r="C3111" s="7" t="s">
        <v>125</v>
      </c>
      <c r="D3111" s="9" t="s">
        <v>59</v>
      </c>
      <c r="E3111" s="9" t="s">
        <v>58</v>
      </c>
      <c r="F3111" s="5"/>
      <c r="G3111" s="10"/>
      <c r="H3111" s="11" t="str">
        <f aca="false">IFERROR(IF($D3111="Manual Review","",IF($G3111="","",IF($D3111="Direct Expiry",$G3111,EDATE($G3111,$F3111)))),"Check Date")</f>
        <v/>
      </c>
      <c r="I3111" s="12" t="str">
        <f aca="true">IF($H3111="","",IF(ISNUMBER($H3111),$H3111-TODAY(),""))</f>
        <v/>
      </c>
      <c r="J3111" s="4" t="str">
        <f aca="true">IF($D3111="Manual Review","Manual Review",IF($G3111="","No Data",IF(NOT(ISNUMBER($H3111)),"N/A",IF($H3111&lt;TODAY(),"Overdue",IF($H3111&lt;=TODAY()+30,"Due within 1 Month",IF($H3111&lt;=TODAY()+60,"Due within 2 Months","OK"))))))</f>
        <v>No Data</v>
      </c>
      <c r="K3111" s="13"/>
    </row>
    <row r="3112" customFormat="false" ht="15" hidden="false" customHeight="false" outlineLevel="0" collapsed="false">
      <c r="A3112" s="9" t="str">
        <f aca="false">Vessels!B32</f>
        <v>Vessel 28</v>
      </c>
      <c r="B3112" s="9" t="s">
        <v>117</v>
      </c>
      <c r="C3112" s="7" t="s">
        <v>126</v>
      </c>
      <c r="D3112" s="9" t="s">
        <v>45</v>
      </c>
      <c r="E3112" s="9" t="s">
        <v>44</v>
      </c>
      <c r="F3112" s="5" t="n">
        <v>12</v>
      </c>
      <c r="G3112" s="10"/>
      <c r="H3112" s="11" t="str">
        <f aca="false">IFERROR(IF($D3112="Manual Review","",IF($G3112="","",IF($D3112="Direct Expiry",$G3112,EDATE($G3112,$F3112)))),"Check Date")</f>
        <v/>
      </c>
      <c r="I3112" s="12" t="str">
        <f aca="true">IF($H3112="","",IF(ISNUMBER($H3112),$H3112-TODAY(),""))</f>
        <v/>
      </c>
      <c r="J3112" s="4" t="str">
        <f aca="true">IF($D3112="Manual Review","Manual Review",IF($G3112="","No Data",IF(NOT(ISNUMBER($H3112)),"N/A",IF($H3112&lt;TODAY(),"Overdue",IF($H3112&lt;=TODAY()+30,"Due within 1 Month",IF($H3112&lt;=TODAY()+60,"Due within 2 Months","OK"))))))</f>
        <v>No Data</v>
      </c>
      <c r="K3112" s="13"/>
    </row>
    <row r="3113" customFormat="false" ht="15" hidden="false" customHeight="false" outlineLevel="0" collapsed="false">
      <c r="A3113" s="9" t="str">
        <f aca="false">Vessels!B32</f>
        <v>Vessel 28</v>
      </c>
      <c r="B3113" s="9" t="s">
        <v>117</v>
      </c>
      <c r="C3113" s="7" t="s">
        <v>127</v>
      </c>
      <c r="D3113" s="9" t="s">
        <v>59</v>
      </c>
      <c r="E3113" s="9" t="s">
        <v>58</v>
      </c>
      <c r="F3113" s="5"/>
      <c r="G3113" s="10"/>
      <c r="H3113" s="11" t="str">
        <f aca="false">IFERROR(IF($D3113="Manual Review","",IF($G3113="","",IF($D3113="Direct Expiry",$G3113,EDATE($G3113,$F3113)))),"Check Date")</f>
        <v/>
      </c>
      <c r="I3113" s="12" t="str">
        <f aca="true">IF($H3113="","",IF(ISNUMBER($H3113),$H3113-TODAY(),""))</f>
        <v/>
      </c>
      <c r="J3113" s="4" t="str">
        <f aca="true">IF($D3113="Manual Review","Manual Review",IF($G3113="","No Data",IF(NOT(ISNUMBER($H3113)),"N/A",IF($H3113&lt;TODAY(),"Overdue",IF($H3113&lt;=TODAY()+30,"Due within 1 Month",IF($H3113&lt;=TODAY()+60,"Due within 2 Months","OK"))))))</f>
        <v>No Data</v>
      </c>
      <c r="K3113" s="13"/>
    </row>
    <row r="3114" customFormat="false" ht="15" hidden="false" customHeight="false" outlineLevel="0" collapsed="false">
      <c r="A3114" s="9" t="str">
        <f aca="false">Vessels!B32</f>
        <v>Vessel 28</v>
      </c>
      <c r="B3114" s="9" t="s">
        <v>117</v>
      </c>
      <c r="C3114" s="7" t="s">
        <v>128</v>
      </c>
      <c r="D3114" s="9" t="s">
        <v>59</v>
      </c>
      <c r="E3114" s="9" t="s">
        <v>58</v>
      </c>
      <c r="F3114" s="5"/>
      <c r="G3114" s="10"/>
      <c r="H3114" s="11" t="str">
        <f aca="false">IFERROR(IF($D3114="Manual Review","",IF($G3114="","",IF($D3114="Direct Expiry",$G3114,EDATE($G3114,$F3114)))),"Check Date")</f>
        <v/>
      </c>
      <c r="I3114" s="12" t="str">
        <f aca="true">IF($H3114="","",IF(ISNUMBER($H3114),$H3114-TODAY(),""))</f>
        <v/>
      </c>
      <c r="J3114" s="4" t="str">
        <f aca="true">IF($D3114="Manual Review","Manual Review",IF($G3114="","No Data",IF(NOT(ISNUMBER($H3114)),"N/A",IF($H3114&lt;TODAY(),"Overdue",IF($H3114&lt;=TODAY()+30,"Due within 1 Month",IF($H3114&lt;=TODAY()+60,"Due within 2 Months","OK"))))))</f>
        <v>No Data</v>
      </c>
      <c r="K3114" s="13"/>
    </row>
    <row r="3115" customFormat="false" ht="15" hidden="false" customHeight="false" outlineLevel="0" collapsed="false">
      <c r="A3115" s="9" t="str">
        <f aca="false">Vessels!B32</f>
        <v>Vessel 28</v>
      </c>
      <c r="B3115" s="9" t="s">
        <v>117</v>
      </c>
      <c r="C3115" s="7" t="s">
        <v>129</v>
      </c>
      <c r="D3115" s="9" t="s">
        <v>59</v>
      </c>
      <c r="E3115" s="9" t="s">
        <v>58</v>
      </c>
      <c r="F3115" s="5"/>
      <c r="G3115" s="10"/>
      <c r="H3115" s="11" t="str">
        <f aca="false">IFERROR(IF($D3115="Manual Review","",IF($G3115="","",IF($D3115="Direct Expiry",$G3115,EDATE($G3115,$F3115)))),"Check Date")</f>
        <v/>
      </c>
      <c r="I3115" s="12" t="str">
        <f aca="true">IF($H3115="","",IF(ISNUMBER($H3115),$H3115-TODAY(),""))</f>
        <v/>
      </c>
      <c r="J3115" s="4" t="str">
        <f aca="true">IF($D3115="Manual Review","Manual Review",IF($G3115="","No Data",IF(NOT(ISNUMBER($H3115)),"N/A",IF($H3115&lt;TODAY(),"Overdue",IF($H3115&lt;=TODAY()+30,"Due within 1 Month",IF($H3115&lt;=TODAY()+60,"Due within 2 Months","OK"))))))</f>
        <v>No Data</v>
      </c>
      <c r="K3115" s="13"/>
    </row>
    <row r="3116" customFormat="false" ht="15" hidden="false" customHeight="false" outlineLevel="0" collapsed="false">
      <c r="A3116" s="9" t="str">
        <f aca="false">Vessels!B32</f>
        <v>Vessel 28</v>
      </c>
      <c r="B3116" s="9" t="s">
        <v>117</v>
      </c>
      <c r="C3116" s="7" t="s">
        <v>130</v>
      </c>
      <c r="D3116" s="9" t="s">
        <v>45</v>
      </c>
      <c r="E3116" s="9" t="s">
        <v>44</v>
      </c>
      <c r="F3116" s="5" t="n">
        <v>12</v>
      </c>
      <c r="G3116" s="10"/>
      <c r="H3116" s="11" t="str">
        <f aca="false">IFERROR(IF($D3116="Manual Review","",IF($G3116="","",IF($D3116="Direct Expiry",$G3116,EDATE($G3116,$F3116)))),"Check Date")</f>
        <v/>
      </c>
      <c r="I3116" s="12" t="str">
        <f aca="true">IF($H3116="","",IF(ISNUMBER($H3116),$H3116-TODAY(),""))</f>
        <v/>
      </c>
      <c r="J3116" s="4" t="str">
        <f aca="true">IF($D3116="Manual Review","Manual Review",IF($G3116="","No Data",IF(NOT(ISNUMBER($H3116)),"N/A",IF($H3116&lt;TODAY(),"Overdue",IF($H3116&lt;=TODAY()+30,"Due within 1 Month",IF($H3116&lt;=TODAY()+60,"Due within 2 Months","OK"))))))</f>
        <v>No Data</v>
      </c>
      <c r="K3116" s="13"/>
    </row>
    <row r="3117" customFormat="false" ht="15" hidden="false" customHeight="false" outlineLevel="0" collapsed="false">
      <c r="A3117" s="9" t="str">
        <f aca="false">Vessels!B32</f>
        <v>Vessel 28</v>
      </c>
      <c r="B3117" s="9" t="s">
        <v>117</v>
      </c>
      <c r="C3117" s="7" t="s">
        <v>131</v>
      </c>
      <c r="D3117" s="9" t="s">
        <v>45</v>
      </c>
      <c r="E3117" s="9" t="s">
        <v>44</v>
      </c>
      <c r="F3117" s="5" t="n">
        <v>12</v>
      </c>
      <c r="G3117" s="10"/>
      <c r="H3117" s="11" t="str">
        <f aca="false">IFERROR(IF($D3117="Manual Review","",IF($G3117="","",IF($D3117="Direct Expiry",$G3117,EDATE($G3117,$F3117)))),"Check Date")</f>
        <v/>
      </c>
      <c r="I3117" s="12" t="str">
        <f aca="true">IF($H3117="","",IF(ISNUMBER($H3117),$H3117-TODAY(),""))</f>
        <v/>
      </c>
      <c r="J3117" s="4" t="str">
        <f aca="true">IF($D3117="Manual Review","Manual Review",IF($G3117="","No Data",IF(NOT(ISNUMBER($H3117)),"N/A",IF($H3117&lt;TODAY(),"Overdue",IF($H3117&lt;=TODAY()+30,"Due within 1 Month",IF($H3117&lt;=TODAY()+60,"Due within 2 Months","OK"))))))</f>
        <v>No Data</v>
      </c>
      <c r="K3117" s="13"/>
    </row>
    <row r="3118" customFormat="false" ht="15" hidden="false" customHeight="false" outlineLevel="0" collapsed="false">
      <c r="A3118" s="9" t="str">
        <f aca="false">Vessels!B32</f>
        <v>Vessel 28</v>
      </c>
      <c r="B3118" s="9" t="s">
        <v>117</v>
      </c>
      <c r="C3118" s="7" t="s">
        <v>132</v>
      </c>
      <c r="D3118" s="9" t="s">
        <v>45</v>
      </c>
      <c r="E3118" s="9" t="s">
        <v>44</v>
      </c>
      <c r="F3118" s="5" t="n">
        <v>12</v>
      </c>
      <c r="G3118" s="10"/>
      <c r="H3118" s="11" t="str">
        <f aca="false">IFERROR(IF($D3118="Manual Review","",IF($G3118="","",IF($D3118="Direct Expiry",$G3118,EDATE($G3118,$F3118)))),"Check Date")</f>
        <v/>
      </c>
      <c r="I3118" s="12" t="str">
        <f aca="true">IF($H3118="","",IF(ISNUMBER($H3118),$H3118-TODAY(),""))</f>
        <v/>
      </c>
      <c r="J3118" s="4" t="str">
        <f aca="true">IF($D3118="Manual Review","Manual Review",IF($G3118="","No Data",IF(NOT(ISNUMBER($H3118)),"N/A",IF($H3118&lt;TODAY(),"Overdue",IF($H3118&lt;=TODAY()+30,"Due within 1 Month",IF($H3118&lt;=TODAY()+60,"Due within 2 Months","OK"))))))</f>
        <v>No Data</v>
      </c>
      <c r="K3118" s="13"/>
    </row>
    <row r="3119" customFormat="false" ht="15" hidden="false" customHeight="false" outlineLevel="0" collapsed="false">
      <c r="A3119" s="9" t="str">
        <f aca="false">Vessels!B32</f>
        <v>Vessel 28</v>
      </c>
      <c r="B3119" s="9" t="s">
        <v>117</v>
      </c>
      <c r="C3119" s="7" t="s">
        <v>133</v>
      </c>
      <c r="D3119" s="9" t="s">
        <v>45</v>
      </c>
      <c r="E3119" s="9" t="s">
        <v>44</v>
      </c>
      <c r="F3119" s="5" t="n">
        <v>12</v>
      </c>
      <c r="G3119" s="10"/>
      <c r="H3119" s="11" t="str">
        <f aca="false">IFERROR(IF($D3119="Manual Review","",IF($G3119="","",IF($D3119="Direct Expiry",$G3119,EDATE($G3119,$F3119)))),"Check Date")</f>
        <v/>
      </c>
      <c r="I3119" s="12" t="str">
        <f aca="true">IF($H3119="","",IF(ISNUMBER($H3119),$H3119-TODAY(),""))</f>
        <v/>
      </c>
      <c r="J3119" s="4" t="str">
        <f aca="true">IF($D3119="Manual Review","Manual Review",IF($G3119="","No Data",IF(NOT(ISNUMBER($H3119)),"N/A",IF($H3119&lt;TODAY(),"Overdue",IF($H3119&lt;=TODAY()+30,"Due within 1 Month",IF($H3119&lt;=TODAY()+60,"Due within 2 Months","OK"))))))</f>
        <v>No Data</v>
      </c>
      <c r="K3119" s="13"/>
    </row>
    <row r="3120" customFormat="false" ht="15" hidden="false" customHeight="false" outlineLevel="0" collapsed="false">
      <c r="A3120" s="9" t="str">
        <f aca="false">Vessels!B32</f>
        <v>Vessel 28</v>
      </c>
      <c r="B3120" s="9" t="s">
        <v>117</v>
      </c>
      <c r="C3120" s="7" t="s">
        <v>134</v>
      </c>
      <c r="D3120" s="9" t="s">
        <v>45</v>
      </c>
      <c r="E3120" s="9" t="s">
        <v>44</v>
      </c>
      <c r="F3120" s="5" t="n">
        <v>12</v>
      </c>
      <c r="G3120" s="10"/>
      <c r="H3120" s="11" t="str">
        <f aca="false">IFERROR(IF($D3120="Manual Review","",IF($G3120="","",IF($D3120="Direct Expiry",$G3120,EDATE($G3120,$F3120)))),"Check Date")</f>
        <v/>
      </c>
      <c r="I3120" s="12" t="str">
        <f aca="true">IF($H3120="","",IF(ISNUMBER($H3120),$H3120-TODAY(),""))</f>
        <v/>
      </c>
      <c r="J3120" s="4" t="str">
        <f aca="true">IF($D3120="Manual Review","Manual Review",IF($G3120="","No Data",IF(NOT(ISNUMBER($H3120)),"N/A",IF($H3120&lt;TODAY(),"Overdue",IF($H3120&lt;=TODAY()+30,"Due within 1 Month",IF($H3120&lt;=TODAY()+60,"Due within 2 Months","OK"))))))</f>
        <v>No Data</v>
      </c>
      <c r="K3120" s="13"/>
    </row>
    <row r="3121" customFormat="false" ht="15" hidden="false" customHeight="false" outlineLevel="0" collapsed="false">
      <c r="A3121" s="9" t="str">
        <f aca="false">Vessels!B32</f>
        <v>Vessel 28</v>
      </c>
      <c r="B3121" s="9" t="s">
        <v>117</v>
      </c>
      <c r="C3121" s="7" t="s">
        <v>135</v>
      </c>
      <c r="D3121" s="9" t="s">
        <v>45</v>
      </c>
      <c r="E3121" s="9" t="s">
        <v>44</v>
      </c>
      <c r="F3121" s="5" t="n">
        <v>12</v>
      </c>
      <c r="G3121" s="10"/>
      <c r="H3121" s="11" t="str">
        <f aca="false">IFERROR(IF($D3121="Manual Review","",IF($G3121="","",IF($D3121="Direct Expiry",$G3121,EDATE($G3121,$F3121)))),"Check Date")</f>
        <v/>
      </c>
      <c r="I3121" s="12" t="str">
        <f aca="true">IF($H3121="","",IF(ISNUMBER($H3121),$H3121-TODAY(),""))</f>
        <v/>
      </c>
      <c r="J3121" s="4" t="str">
        <f aca="true">IF($D3121="Manual Review","Manual Review",IF($G3121="","No Data",IF(NOT(ISNUMBER($H3121)),"N/A",IF($H3121&lt;TODAY(),"Overdue",IF($H3121&lt;=TODAY()+30,"Due within 1 Month",IF($H3121&lt;=TODAY()+60,"Due within 2 Months","OK"))))))</f>
        <v>No Data</v>
      </c>
      <c r="K3121" s="13"/>
    </row>
    <row r="3122" customFormat="false" ht="15" hidden="false" customHeight="false" outlineLevel="0" collapsed="false">
      <c r="A3122" s="9" t="str">
        <f aca="false">Vessels!B32</f>
        <v>Vessel 28</v>
      </c>
      <c r="B3122" s="9" t="s">
        <v>136</v>
      </c>
      <c r="C3122" s="7" t="s">
        <v>137</v>
      </c>
      <c r="D3122" s="9" t="s">
        <v>45</v>
      </c>
      <c r="E3122" s="9" t="s">
        <v>44</v>
      </c>
      <c r="F3122" s="5" t="n">
        <v>12</v>
      </c>
      <c r="G3122" s="10"/>
      <c r="H3122" s="11" t="str">
        <f aca="false">IFERROR(IF($D3122="Manual Review","",IF($G3122="","",IF($D3122="Direct Expiry",$G3122,EDATE($G3122,$F3122)))),"Check Date")</f>
        <v/>
      </c>
      <c r="I3122" s="12" t="str">
        <f aca="true">IF($H3122="","",IF(ISNUMBER($H3122),$H3122-TODAY(),""))</f>
        <v/>
      </c>
      <c r="J3122" s="4" t="str">
        <f aca="true">IF($D3122="Manual Review","Manual Review",IF($G3122="","No Data",IF(NOT(ISNUMBER($H3122)),"N/A",IF($H3122&lt;TODAY(),"Overdue",IF($H3122&lt;=TODAY()+30,"Due within 1 Month",IF($H3122&lt;=TODAY()+60,"Due within 2 Months","OK"))))))</f>
        <v>No Data</v>
      </c>
      <c r="K3122" s="13"/>
    </row>
    <row r="3123" customFormat="false" ht="15" hidden="false" customHeight="false" outlineLevel="0" collapsed="false">
      <c r="A3123" s="9" t="str">
        <f aca="false">Vessels!B32</f>
        <v>Vessel 28</v>
      </c>
      <c r="B3123" s="9" t="s">
        <v>136</v>
      </c>
      <c r="C3123" s="7" t="s">
        <v>138</v>
      </c>
      <c r="D3123" s="9" t="s">
        <v>45</v>
      </c>
      <c r="E3123" s="9" t="s">
        <v>44</v>
      </c>
      <c r="F3123" s="5" t="n">
        <v>12</v>
      </c>
      <c r="G3123" s="10"/>
      <c r="H3123" s="11" t="str">
        <f aca="false">IFERROR(IF($D3123="Manual Review","",IF($G3123="","",IF($D3123="Direct Expiry",$G3123,EDATE($G3123,$F3123)))),"Check Date")</f>
        <v/>
      </c>
      <c r="I3123" s="12" t="str">
        <f aca="true">IF($H3123="","",IF(ISNUMBER($H3123),$H3123-TODAY(),""))</f>
        <v/>
      </c>
      <c r="J3123" s="4" t="str">
        <f aca="true">IF($D3123="Manual Review","Manual Review",IF($G3123="","No Data",IF(NOT(ISNUMBER($H3123)),"N/A",IF($H3123&lt;TODAY(),"Overdue",IF($H3123&lt;=TODAY()+30,"Due within 1 Month",IF($H3123&lt;=TODAY()+60,"Due within 2 Months","OK"))))))</f>
        <v>No Data</v>
      </c>
      <c r="K3123" s="13"/>
    </row>
    <row r="3124" customFormat="false" ht="15" hidden="false" customHeight="false" outlineLevel="0" collapsed="false">
      <c r="A3124" s="9" t="str">
        <f aca="false">Vessels!B32</f>
        <v>Vessel 28</v>
      </c>
      <c r="B3124" s="9" t="s">
        <v>136</v>
      </c>
      <c r="C3124" s="7" t="s">
        <v>139</v>
      </c>
      <c r="D3124" s="9" t="s">
        <v>45</v>
      </c>
      <c r="E3124" s="9" t="s">
        <v>140</v>
      </c>
      <c r="F3124" s="5" t="n">
        <v>12</v>
      </c>
      <c r="G3124" s="10"/>
      <c r="H3124" s="11" t="str">
        <f aca="false">IFERROR(IF($D3124="Manual Review","",IF($G3124="","",IF($D3124="Direct Expiry",$G3124,EDATE($G3124,$F3124)))),"Check Date")</f>
        <v/>
      </c>
      <c r="I3124" s="12" t="str">
        <f aca="true">IF($H3124="","",IF(ISNUMBER($H3124),$H3124-TODAY(),""))</f>
        <v/>
      </c>
      <c r="J3124" s="4" t="str">
        <f aca="true">IF($D3124="Manual Review","Manual Review",IF($G3124="","No Data",IF(NOT(ISNUMBER($H3124)),"N/A",IF($H3124&lt;TODAY(),"Overdue",IF($H3124&lt;=TODAY()+30,"Due within 1 Month",IF($H3124&lt;=TODAY()+60,"Due within 2 Months","OK"))))))</f>
        <v>No Data</v>
      </c>
      <c r="K3124" s="13"/>
    </row>
    <row r="3125" customFormat="false" ht="15" hidden="false" customHeight="false" outlineLevel="0" collapsed="false">
      <c r="A3125" s="9" t="str">
        <f aca="false">Vessels!B32</f>
        <v>Vessel 28</v>
      </c>
      <c r="B3125" s="9" t="s">
        <v>136</v>
      </c>
      <c r="C3125" s="7" t="s">
        <v>141</v>
      </c>
      <c r="D3125" s="9" t="s">
        <v>45</v>
      </c>
      <c r="E3125" s="9" t="s">
        <v>44</v>
      </c>
      <c r="F3125" s="5" t="n">
        <v>12</v>
      </c>
      <c r="G3125" s="10"/>
      <c r="H3125" s="11" t="str">
        <f aca="false">IFERROR(IF($D3125="Manual Review","",IF($G3125="","",IF($D3125="Direct Expiry",$G3125,EDATE($G3125,$F3125)))),"Check Date")</f>
        <v/>
      </c>
      <c r="I3125" s="12" t="str">
        <f aca="true">IF($H3125="","",IF(ISNUMBER($H3125),$H3125-TODAY(),""))</f>
        <v/>
      </c>
      <c r="J3125" s="4" t="str">
        <f aca="true">IF($D3125="Manual Review","Manual Review",IF($G3125="","No Data",IF(NOT(ISNUMBER($H3125)),"N/A",IF($H3125&lt;TODAY(),"Overdue",IF($H3125&lt;=TODAY()+30,"Due within 1 Month",IF($H3125&lt;=TODAY()+60,"Due within 2 Months","OK"))))))</f>
        <v>No Data</v>
      </c>
      <c r="K3125" s="13"/>
    </row>
    <row r="3126" customFormat="false" ht="15" hidden="false" customHeight="false" outlineLevel="0" collapsed="false">
      <c r="A3126" s="9" t="str">
        <f aca="false">Vessels!B32</f>
        <v>Vessel 28</v>
      </c>
      <c r="B3126" s="9" t="s">
        <v>136</v>
      </c>
      <c r="C3126" s="7" t="s">
        <v>142</v>
      </c>
      <c r="D3126" s="9" t="s">
        <v>115</v>
      </c>
      <c r="E3126" s="9" t="s">
        <v>143</v>
      </c>
      <c r="F3126" s="5"/>
      <c r="G3126" s="10"/>
      <c r="H3126" s="11" t="str">
        <f aca="false">IFERROR(IF($D3126="Manual Review","",IF($G3126="","",IF($D3126="Direct Expiry",$G3126,EDATE($G3126,$F3126)))),"Check Date")</f>
        <v/>
      </c>
      <c r="I3126" s="12" t="str">
        <f aca="true">IF($H3126="","",IF(ISNUMBER($H3126),$H3126-TODAY(),""))</f>
        <v/>
      </c>
      <c r="J3126" s="4" t="str">
        <f aca="true">IF($D3126="Manual Review","Manual Review",IF($G3126="","No Data",IF(NOT(ISNUMBER($H3126)),"N/A",IF($H3126&lt;TODAY(),"Overdue",IF($H3126&lt;=TODAY()+30,"Due within 1 Month",IF($H3126&lt;=TODAY()+60,"Due within 2 Months","OK"))))))</f>
        <v>Manual Review</v>
      </c>
      <c r="K3126" s="13"/>
    </row>
    <row r="3127" customFormat="false" ht="15" hidden="false" customHeight="false" outlineLevel="0" collapsed="false">
      <c r="A3127" s="9" t="str">
        <f aca="false">Vessels!B32</f>
        <v>Vessel 28</v>
      </c>
      <c r="B3127" s="9" t="s">
        <v>136</v>
      </c>
      <c r="C3127" s="7" t="s">
        <v>144</v>
      </c>
      <c r="D3127" s="9" t="s">
        <v>45</v>
      </c>
      <c r="E3127" s="9" t="s">
        <v>44</v>
      </c>
      <c r="F3127" s="5" t="n">
        <v>12</v>
      </c>
      <c r="G3127" s="10"/>
      <c r="H3127" s="11" t="str">
        <f aca="false">IFERROR(IF($D3127="Manual Review","",IF($G3127="","",IF($D3127="Direct Expiry",$G3127,EDATE($G3127,$F3127)))),"Check Date")</f>
        <v/>
      </c>
      <c r="I3127" s="12" t="str">
        <f aca="true">IF($H3127="","",IF(ISNUMBER($H3127),$H3127-TODAY(),""))</f>
        <v/>
      </c>
      <c r="J3127" s="4" t="str">
        <f aca="true">IF($D3127="Manual Review","Manual Review",IF($G3127="","No Data",IF(NOT(ISNUMBER($H3127)),"N/A",IF($H3127&lt;TODAY(),"Overdue",IF($H3127&lt;=TODAY()+30,"Due within 1 Month",IF($H3127&lt;=TODAY()+60,"Due within 2 Months","OK"))))))</f>
        <v>No Data</v>
      </c>
      <c r="K3127" s="13"/>
    </row>
    <row r="3128" customFormat="false" ht="15" hidden="false" customHeight="false" outlineLevel="0" collapsed="false">
      <c r="A3128" s="9" t="str">
        <f aca="false">Vessels!B32</f>
        <v>Vessel 28</v>
      </c>
      <c r="B3128" s="9" t="s">
        <v>136</v>
      </c>
      <c r="C3128" s="7" t="s">
        <v>145</v>
      </c>
      <c r="D3128" s="9" t="s">
        <v>45</v>
      </c>
      <c r="E3128" s="9" t="s">
        <v>44</v>
      </c>
      <c r="F3128" s="5" t="n">
        <v>12</v>
      </c>
      <c r="G3128" s="10"/>
      <c r="H3128" s="11" t="str">
        <f aca="false">IFERROR(IF($D3128="Manual Review","",IF($G3128="","",IF($D3128="Direct Expiry",$G3128,EDATE($G3128,$F3128)))),"Check Date")</f>
        <v/>
      </c>
      <c r="I3128" s="12" t="str">
        <f aca="true">IF($H3128="","",IF(ISNUMBER($H3128),$H3128-TODAY(),""))</f>
        <v/>
      </c>
      <c r="J3128" s="4" t="str">
        <f aca="true">IF($D3128="Manual Review","Manual Review",IF($G3128="","No Data",IF(NOT(ISNUMBER($H3128)),"N/A",IF($H3128&lt;TODAY(),"Overdue",IF($H3128&lt;=TODAY()+30,"Due within 1 Month",IF($H3128&lt;=TODAY()+60,"Due within 2 Months","OK"))))))</f>
        <v>No Data</v>
      </c>
      <c r="K3128" s="13"/>
    </row>
    <row r="3129" customFormat="false" ht="15" hidden="false" customHeight="false" outlineLevel="0" collapsed="false">
      <c r="A3129" s="9" t="str">
        <f aca="false">Vessels!B32</f>
        <v>Vessel 28</v>
      </c>
      <c r="B3129" s="9" t="s">
        <v>136</v>
      </c>
      <c r="C3129" s="7" t="s">
        <v>146</v>
      </c>
      <c r="D3129" s="9" t="s">
        <v>45</v>
      </c>
      <c r="E3129" s="9" t="s">
        <v>44</v>
      </c>
      <c r="F3129" s="5" t="n">
        <v>12</v>
      </c>
      <c r="G3129" s="10"/>
      <c r="H3129" s="11" t="str">
        <f aca="false">IFERROR(IF($D3129="Manual Review","",IF($G3129="","",IF($D3129="Direct Expiry",$G3129,EDATE($G3129,$F3129)))),"Check Date")</f>
        <v/>
      </c>
      <c r="I3129" s="12" t="str">
        <f aca="true">IF($H3129="","",IF(ISNUMBER($H3129),$H3129-TODAY(),""))</f>
        <v/>
      </c>
      <c r="J3129" s="4" t="str">
        <f aca="true">IF($D3129="Manual Review","Manual Review",IF($G3129="","No Data",IF(NOT(ISNUMBER($H3129)),"N/A",IF($H3129&lt;TODAY(),"Overdue",IF($H3129&lt;=TODAY()+30,"Due within 1 Month",IF($H3129&lt;=TODAY()+60,"Due within 2 Months","OK"))))))</f>
        <v>No Data</v>
      </c>
      <c r="K3129" s="13"/>
    </row>
    <row r="3130" customFormat="false" ht="15" hidden="false" customHeight="false" outlineLevel="0" collapsed="false">
      <c r="A3130" s="9" t="str">
        <f aca="false">Vessels!B32</f>
        <v>Vessel 28</v>
      </c>
      <c r="B3130" s="9" t="s">
        <v>136</v>
      </c>
      <c r="C3130" s="7" t="s">
        <v>147</v>
      </c>
      <c r="D3130" s="9" t="s">
        <v>45</v>
      </c>
      <c r="E3130" s="9" t="s">
        <v>44</v>
      </c>
      <c r="F3130" s="5" t="n">
        <v>12</v>
      </c>
      <c r="G3130" s="10"/>
      <c r="H3130" s="11" t="str">
        <f aca="false">IFERROR(IF($D3130="Manual Review","",IF($G3130="","",IF($D3130="Direct Expiry",$G3130,EDATE($G3130,$F3130)))),"Check Date")</f>
        <v/>
      </c>
      <c r="I3130" s="12" t="str">
        <f aca="true">IF($H3130="","",IF(ISNUMBER($H3130),$H3130-TODAY(),""))</f>
        <v/>
      </c>
      <c r="J3130" s="4" t="str">
        <f aca="true">IF($D3130="Manual Review","Manual Review",IF($G3130="","No Data",IF(NOT(ISNUMBER($H3130)),"N/A",IF($H3130&lt;TODAY(),"Overdue",IF($H3130&lt;=TODAY()+30,"Due within 1 Month",IF($H3130&lt;=TODAY()+60,"Due within 2 Months","OK"))))))</f>
        <v>No Data</v>
      </c>
      <c r="K3130" s="13"/>
    </row>
    <row r="3131" customFormat="false" ht="15" hidden="false" customHeight="false" outlineLevel="0" collapsed="false">
      <c r="A3131" s="9" t="str">
        <f aca="false">Vessels!B32</f>
        <v>Vessel 28</v>
      </c>
      <c r="B3131" s="9" t="s">
        <v>136</v>
      </c>
      <c r="C3131" s="7" t="s">
        <v>148</v>
      </c>
      <c r="D3131" s="9" t="s">
        <v>45</v>
      </c>
      <c r="E3131" s="9" t="s">
        <v>44</v>
      </c>
      <c r="F3131" s="5" t="n">
        <v>12</v>
      </c>
      <c r="G3131" s="10"/>
      <c r="H3131" s="11" t="str">
        <f aca="false">IFERROR(IF($D3131="Manual Review","",IF($G3131="","",IF($D3131="Direct Expiry",$G3131,EDATE($G3131,$F3131)))),"Check Date")</f>
        <v/>
      </c>
      <c r="I3131" s="12" t="str">
        <f aca="true">IF($H3131="","",IF(ISNUMBER($H3131),$H3131-TODAY(),""))</f>
        <v/>
      </c>
      <c r="J3131" s="4" t="str">
        <f aca="true">IF($D3131="Manual Review","Manual Review",IF($G3131="","No Data",IF(NOT(ISNUMBER($H3131)),"N/A",IF($H3131&lt;TODAY(),"Overdue",IF($H3131&lt;=TODAY()+30,"Due within 1 Month",IF($H3131&lt;=TODAY()+60,"Due within 2 Months","OK"))))))</f>
        <v>No Data</v>
      </c>
      <c r="K3131" s="13"/>
    </row>
    <row r="3132" customFormat="false" ht="15" hidden="false" customHeight="false" outlineLevel="0" collapsed="false">
      <c r="A3132" s="9" t="str">
        <f aca="false">Vessels!B32</f>
        <v>Vessel 28</v>
      </c>
      <c r="B3132" s="9" t="s">
        <v>136</v>
      </c>
      <c r="C3132" s="7" t="s">
        <v>149</v>
      </c>
      <c r="D3132" s="9" t="s">
        <v>45</v>
      </c>
      <c r="E3132" s="9" t="s">
        <v>44</v>
      </c>
      <c r="F3132" s="5" t="n">
        <v>12</v>
      </c>
      <c r="G3132" s="10"/>
      <c r="H3132" s="11" t="str">
        <f aca="false">IFERROR(IF($D3132="Manual Review","",IF($G3132="","",IF($D3132="Direct Expiry",$G3132,EDATE($G3132,$F3132)))),"Check Date")</f>
        <v/>
      </c>
      <c r="I3132" s="12" t="str">
        <f aca="true">IF($H3132="","",IF(ISNUMBER($H3132),$H3132-TODAY(),""))</f>
        <v/>
      </c>
      <c r="J3132" s="4" t="str">
        <f aca="true">IF($D3132="Manual Review","Manual Review",IF($G3132="","No Data",IF(NOT(ISNUMBER($H3132)),"N/A",IF($H3132&lt;TODAY(),"Overdue",IF($H3132&lt;=TODAY()+30,"Due within 1 Month",IF($H3132&lt;=TODAY()+60,"Due within 2 Months","OK"))))))</f>
        <v>No Data</v>
      </c>
      <c r="K3132" s="13"/>
    </row>
    <row r="3133" customFormat="false" ht="15" hidden="false" customHeight="false" outlineLevel="0" collapsed="false">
      <c r="A3133" s="9" t="str">
        <f aca="false">Vessels!B32</f>
        <v>Vessel 28</v>
      </c>
      <c r="B3133" s="9" t="s">
        <v>136</v>
      </c>
      <c r="C3133" s="7" t="s">
        <v>150</v>
      </c>
      <c r="D3133" s="9" t="s">
        <v>45</v>
      </c>
      <c r="E3133" s="9" t="s">
        <v>44</v>
      </c>
      <c r="F3133" s="5" t="n">
        <v>12</v>
      </c>
      <c r="G3133" s="10"/>
      <c r="H3133" s="11" t="str">
        <f aca="false">IFERROR(IF($D3133="Manual Review","",IF($G3133="","",IF($D3133="Direct Expiry",$G3133,EDATE($G3133,$F3133)))),"Check Date")</f>
        <v/>
      </c>
      <c r="I3133" s="12" t="str">
        <f aca="true">IF($H3133="","",IF(ISNUMBER($H3133),$H3133-TODAY(),""))</f>
        <v/>
      </c>
      <c r="J3133" s="4" t="str">
        <f aca="true">IF($D3133="Manual Review","Manual Review",IF($G3133="","No Data",IF(NOT(ISNUMBER($H3133)),"N/A",IF($H3133&lt;TODAY(),"Overdue",IF($H3133&lt;=TODAY()+30,"Due within 1 Month",IF($H3133&lt;=TODAY()+60,"Due within 2 Months","OK"))))))</f>
        <v>No Data</v>
      </c>
      <c r="K3133" s="13"/>
    </row>
    <row r="3134" customFormat="false" ht="15" hidden="false" customHeight="false" outlineLevel="0" collapsed="false">
      <c r="A3134" s="9" t="str">
        <f aca="false">Vessels!B32</f>
        <v>Vessel 28</v>
      </c>
      <c r="B3134" s="9" t="s">
        <v>136</v>
      </c>
      <c r="C3134" s="7" t="s">
        <v>151</v>
      </c>
      <c r="D3134" s="9" t="s">
        <v>45</v>
      </c>
      <c r="E3134" s="9" t="s">
        <v>44</v>
      </c>
      <c r="F3134" s="5" t="n">
        <v>12</v>
      </c>
      <c r="G3134" s="10"/>
      <c r="H3134" s="11" t="str">
        <f aca="false">IFERROR(IF($D3134="Manual Review","",IF($G3134="","",IF($D3134="Direct Expiry",$G3134,EDATE($G3134,$F3134)))),"Check Date")</f>
        <v/>
      </c>
      <c r="I3134" s="12" t="str">
        <f aca="true">IF($H3134="","",IF(ISNUMBER($H3134),$H3134-TODAY(),""))</f>
        <v/>
      </c>
      <c r="J3134" s="4" t="str">
        <f aca="true">IF($D3134="Manual Review","Manual Review",IF($G3134="","No Data",IF(NOT(ISNUMBER($H3134)),"N/A",IF($H3134&lt;TODAY(),"Overdue",IF($H3134&lt;=TODAY()+30,"Due within 1 Month",IF($H3134&lt;=TODAY()+60,"Due within 2 Months","OK"))))))</f>
        <v>No Data</v>
      </c>
      <c r="K3134" s="13"/>
    </row>
    <row r="3135" customFormat="false" ht="15" hidden="false" customHeight="false" outlineLevel="0" collapsed="false">
      <c r="A3135" s="9" t="str">
        <f aca="false">Vessels!B32</f>
        <v>Vessel 28</v>
      </c>
      <c r="B3135" s="9" t="s">
        <v>136</v>
      </c>
      <c r="C3135" s="7" t="s">
        <v>152</v>
      </c>
      <c r="D3135" s="9" t="s">
        <v>45</v>
      </c>
      <c r="E3135" s="9" t="s">
        <v>44</v>
      </c>
      <c r="F3135" s="5" t="n">
        <v>12</v>
      </c>
      <c r="G3135" s="10"/>
      <c r="H3135" s="11" t="str">
        <f aca="false">IFERROR(IF($D3135="Manual Review","",IF($G3135="","",IF($D3135="Direct Expiry",$G3135,EDATE($G3135,$F3135)))),"Check Date")</f>
        <v/>
      </c>
      <c r="I3135" s="12" t="str">
        <f aca="true">IF($H3135="","",IF(ISNUMBER($H3135),$H3135-TODAY(),""))</f>
        <v/>
      </c>
      <c r="J3135" s="4" t="str">
        <f aca="true">IF($D3135="Manual Review","Manual Review",IF($G3135="","No Data",IF(NOT(ISNUMBER($H3135)),"N/A",IF($H3135&lt;TODAY(),"Overdue",IF($H3135&lt;=TODAY()+30,"Due within 1 Month",IF($H3135&lt;=TODAY()+60,"Due within 2 Months","OK"))))))</f>
        <v>No Data</v>
      </c>
      <c r="K3135" s="13"/>
    </row>
    <row r="3136" customFormat="false" ht="15" hidden="false" customHeight="false" outlineLevel="0" collapsed="false">
      <c r="A3136" s="9" t="str">
        <f aca="false">Vessels!B32</f>
        <v>Vessel 28</v>
      </c>
      <c r="B3136" s="9" t="s">
        <v>136</v>
      </c>
      <c r="C3136" s="7" t="s">
        <v>153</v>
      </c>
      <c r="D3136" s="9" t="s">
        <v>45</v>
      </c>
      <c r="E3136" s="9" t="s">
        <v>44</v>
      </c>
      <c r="F3136" s="5" t="n">
        <v>12</v>
      </c>
      <c r="G3136" s="10"/>
      <c r="H3136" s="11" t="str">
        <f aca="false">IFERROR(IF($D3136="Manual Review","",IF($G3136="","",IF($D3136="Direct Expiry",$G3136,EDATE($G3136,$F3136)))),"Check Date")</f>
        <v/>
      </c>
      <c r="I3136" s="12" t="str">
        <f aca="true">IF($H3136="","",IF(ISNUMBER($H3136),$H3136-TODAY(),""))</f>
        <v/>
      </c>
      <c r="J3136" s="4" t="str">
        <f aca="true">IF($D3136="Manual Review","Manual Review",IF($G3136="","No Data",IF(NOT(ISNUMBER($H3136)),"N/A",IF($H3136&lt;TODAY(),"Overdue",IF($H3136&lt;=TODAY()+30,"Due within 1 Month",IF($H3136&lt;=TODAY()+60,"Due within 2 Months","OK"))))))</f>
        <v>No Data</v>
      </c>
      <c r="K3136" s="13"/>
    </row>
    <row r="3137" customFormat="false" ht="15" hidden="false" customHeight="false" outlineLevel="0" collapsed="false">
      <c r="A3137" s="9" t="str">
        <f aca="false">Vessels!B32</f>
        <v>Vessel 28</v>
      </c>
      <c r="B3137" s="9" t="s">
        <v>136</v>
      </c>
      <c r="C3137" s="7" t="s">
        <v>154</v>
      </c>
      <c r="D3137" s="9" t="s">
        <v>45</v>
      </c>
      <c r="E3137" s="9" t="s">
        <v>44</v>
      </c>
      <c r="F3137" s="5" t="n">
        <v>12</v>
      </c>
      <c r="G3137" s="10"/>
      <c r="H3137" s="11" t="str">
        <f aca="false">IFERROR(IF($D3137="Manual Review","",IF($G3137="","",IF($D3137="Direct Expiry",$G3137,EDATE($G3137,$F3137)))),"Check Date")</f>
        <v/>
      </c>
      <c r="I3137" s="12" t="str">
        <f aca="true">IF($H3137="","",IF(ISNUMBER($H3137),$H3137-TODAY(),""))</f>
        <v/>
      </c>
      <c r="J3137" s="4" t="str">
        <f aca="true">IF($D3137="Manual Review","Manual Review",IF($G3137="","No Data",IF(NOT(ISNUMBER($H3137)),"N/A",IF($H3137&lt;TODAY(),"Overdue",IF($H3137&lt;=TODAY()+30,"Due within 1 Month",IF($H3137&lt;=TODAY()+60,"Due within 2 Months","OK"))))))</f>
        <v>No Data</v>
      </c>
      <c r="K3137" s="13"/>
    </row>
    <row r="3138" customFormat="false" ht="15" hidden="false" customHeight="false" outlineLevel="0" collapsed="false">
      <c r="A3138" s="9" t="str">
        <f aca="false">Vessels!B32</f>
        <v>Vessel 28</v>
      </c>
      <c r="B3138" s="9" t="s">
        <v>136</v>
      </c>
      <c r="C3138" s="7" t="s">
        <v>155</v>
      </c>
      <c r="D3138" s="9" t="s">
        <v>45</v>
      </c>
      <c r="E3138" s="9" t="s">
        <v>44</v>
      </c>
      <c r="F3138" s="5" t="n">
        <v>12</v>
      </c>
      <c r="G3138" s="10"/>
      <c r="H3138" s="11" t="str">
        <f aca="false">IFERROR(IF($D3138="Manual Review","",IF($G3138="","",IF($D3138="Direct Expiry",$G3138,EDATE($G3138,$F3138)))),"Check Date")</f>
        <v/>
      </c>
      <c r="I3138" s="12" t="str">
        <f aca="true">IF($H3138="","",IF(ISNUMBER($H3138),$H3138-TODAY(),""))</f>
        <v/>
      </c>
      <c r="J3138" s="4" t="str">
        <f aca="true">IF($D3138="Manual Review","Manual Review",IF($G3138="","No Data",IF(NOT(ISNUMBER($H3138)),"N/A",IF($H3138&lt;TODAY(),"Overdue",IF($H3138&lt;=TODAY()+30,"Due within 1 Month",IF($H3138&lt;=TODAY()+60,"Due within 2 Months","OK"))))))</f>
        <v>No Data</v>
      </c>
      <c r="K3138" s="13"/>
    </row>
    <row r="3139" customFormat="false" ht="15" hidden="false" customHeight="false" outlineLevel="0" collapsed="false">
      <c r="A3139" s="9" t="str">
        <f aca="false">Vessels!B32</f>
        <v>Vessel 28</v>
      </c>
      <c r="B3139" s="9" t="s">
        <v>136</v>
      </c>
      <c r="C3139" s="7" t="s">
        <v>156</v>
      </c>
      <c r="D3139" s="9" t="s">
        <v>45</v>
      </c>
      <c r="E3139" s="9" t="s">
        <v>44</v>
      </c>
      <c r="F3139" s="5" t="n">
        <v>12</v>
      </c>
      <c r="G3139" s="10"/>
      <c r="H3139" s="11" t="str">
        <f aca="false">IFERROR(IF($D3139="Manual Review","",IF($G3139="","",IF($D3139="Direct Expiry",$G3139,EDATE($G3139,$F3139)))),"Check Date")</f>
        <v/>
      </c>
      <c r="I3139" s="12" t="str">
        <f aca="true">IF($H3139="","",IF(ISNUMBER($H3139),$H3139-TODAY(),""))</f>
        <v/>
      </c>
      <c r="J3139" s="4" t="str">
        <f aca="true">IF($D3139="Manual Review","Manual Review",IF($G3139="","No Data",IF(NOT(ISNUMBER($H3139)),"N/A",IF($H3139&lt;TODAY(),"Overdue",IF($H3139&lt;=TODAY()+30,"Due within 1 Month",IF($H3139&lt;=TODAY()+60,"Due within 2 Months","OK"))))))</f>
        <v>No Data</v>
      </c>
      <c r="K3139" s="13"/>
    </row>
    <row r="3140" customFormat="false" ht="15" hidden="false" customHeight="false" outlineLevel="0" collapsed="false">
      <c r="A3140" s="9" t="str">
        <f aca="false">Vessels!B32</f>
        <v>Vessel 28</v>
      </c>
      <c r="B3140" s="9" t="s">
        <v>136</v>
      </c>
      <c r="C3140" s="7" t="s">
        <v>157</v>
      </c>
      <c r="D3140" s="9" t="s">
        <v>45</v>
      </c>
      <c r="E3140" s="9" t="s">
        <v>44</v>
      </c>
      <c r="F3140" s="5" t="n">
        <v>12</v>
      </c>
      <c r="G3140" s="10"/>
      <c r="H3140" s="11" t="str">
        <f aca="false">IFERROR(IF($D3140="Manual Review","",IF($G3140="","",IF($D3140="Direct Expiry",$G3140,EDATE($G3140,$F3140)))),"Check Date")</f>
        <v/>
      </c>
      <c r="I3140" s="12" t="str">
        <f aca="true">IF($H3140="","",IF(ISNUMBER($H3140),$H3140-TODAY(),""))</f>
        <v/>
      </c>
      <c r="J3140" s="4" t="str">
        <f aca="true">IF($D3140="Manual Review","Manual Review",IF($G3140="","No Data",IF(NOT(ISNUMBER($H3140)),"N/A",IF($H3140&lt;TODAY(),"Overdue",IF($H3140&lt;=TODAY()+30,"Due within 1 Month",IF($H3140&lt;=TODAY()+60,"Due within 2 Months","OK"))))))</f>
        <v>No Data</v>
      </c>
      <c r="K3140" s="13"/>
    </row>
    <row r="3141" customFormat="false" ht="15" hidden="false" customHeight="false" outlineLevel="0" collapsed="false">
      <c r="A3141" s="9" t="str">
        <f aca="false">Vessels!B33</f>
        <v>Vessel 29</v>
      </c>
      <c r="B3141" s="9" t="s">
        <v>42</v>
      </c>
      <c r="C3141" s="7" t="s">
        <v>43</v>
      </c>
      <c r="D3141" s="9" t="s">
        <v>45</v>
      </c>
      <c r="E3141" s="9" t="s">
        <v>44</v>
      </c>
      <c r="F3141" s="5" t="n">
        <v>12</v>
      </c>
      <c r="G3141" s="10"/>
      <c r="H3141" s="11" t="str">
        <f aca="false">IFERROR(IF($D3141="Manual Review","",IF($G3141="","",IF($D3141="Direct Expiry",$G3141,EDATE($G3141,$F3141)))),"Check Date")</f>
        <v/>
      </c>
      <c r="I3141" s="12" t="str">
        <f aca="true">IF($H3141="","",IF(ISNUMBER($H3141),$H3141-TODAY(),""))</f>
        <v/>
      </c>
      <c r="J3141" s="4" t="str">
        <f aca="true">IF($D3141="Manual Review","Manual Review",IF($G3141="","No Data",IF(NOT(ISNUMBER($H3141)),"N/A",IF($H3141&lt;TODAY(),"Overdue",IF($H3141&lt;=TODAY()+30,"Due within 1 Month",IF($H3141&lt;=TODAY()+60,"Due within 2 Months","OK"))))))</f>
        <v>No Data</v>
      </c>
      <c r="K3141" s="13"/>
    </row>
    <row r="3142" customFormat="false" ht="15" hidden="false" customHeight="false" outlineLevel="0" collapsed="false">
      <c r="A3142" s="9" t="str">
        <f aca="false">Vessels!B33</f>
        <v>Vessel 29</v>
      </c>
      <c r="B3142" s="9" t="s">
        <v>42</v>
      </c>
      <c r="C3142" s="7" t="s">
        <v>43</v>
      </c>
      <c r="D3142" s="9" t="s">
        <v>45</v>
      </c>
      <c r="E3142" s="9" t="s">
        <v>46</v>
      </c>
      <c r="F3142" s="5" t="n">
        <v>60</v>
      </c>
      <c r="G3142" s="10"/>
      <c r="H3142" s="11" t="str">
        <f aca="false">IFERROR(IF($D3142="Manual Review","",IF($G3142="","",IF($D3142="Direct Expiry",$G3142,EDATE($G3142,$F3142)))),"Check Date")</f>
        <v/>
      </c>
      <c r="I3142" s="12" t="str">
        <f aca="true">IF($H3142="","",IF(ISNUMBER($H3142),$H3142-TODAY(),""))</f>
        <v/>
      </c>
      <c r="J3142" s="4" t="str">
        <f aca="true">IF($D3142="Manual Review","Manual Review",IF($G3142="","No Data",IF(NOT(ISNUMBER($H3142)),"N/A",IF($H3142&lt;TODAY(),"Overdue",IF($H3142&lt;=TODAY()+30,"Due within 1 Month",IF($H3142&lt;=TODAY()+60,"Due within 2 Months","OK"))))))</f>
        <v>No Data</v>
      </c>
      <c r="K3142" s="13"/>
    </row>
    <row r="3143" customFormat="false" ht="15" hidden="false" customHeight="false" outlineLevel="0" collapsed="false">
      <c r="A3143" s="9" t="str">
        <f aca="false">Vessels!B33</f>
        <v>Vessel 29</v>
      </c>
      <c r="B3143" s="9" t="s">
        <v>42</v>
      </c>
      <c r="C3143" s="7" t="s">
        <v>47</v>
      </c>
      <c r="D3143" s="9" t="s">
        <v>45</v>
      </c>
      <c r="E3143" s="9" t="s">
        <v>44</v>
      </c>
      <c r="F3143" s="5" t="n">
        <v>12</v>
      </c>
      <c r="G3143" s="10"/>
      <c r="H3143" s="11" t="str">
        <f aca="false">IFERROR(IF($D3143="Manual Review","",IF($G3143="","",IF($D3143="Direct Expiry",$G3143,EDATE($G3143,$F3143)))),"Check Date")</f>
        <v/>
      </c>
      <c r="I3143" s="12" t="str">
        <f aca="true">IF($H3143="","",IF(ISNUMBER($H3143),$H3143-TODAY(),""))</f>
        <v/>
      </c>
      <c r="J3143" s="4" t="str">
        <f aca="true">IF($D3143="Manual Review","Manual Review",IF($G3143="","No Data",IF(NOT(ISNUMBER($H3143)),"N/A",IF($H3143&lt;TODAY(),"Overdue",IF($H3143&lt;=TODAY()+30,"Due within 1 Month",IF($H3143&lt;=TODAY()+60,"Due within 2 Months","OK"))))))</f>
        <v>No Data</v>
      </c>
      <c r="K3143" s="13"/>
    </row>
    <row r="3144" customFormat="false" ht="15" hidden="false" customHeight="false" outlineLevel="0" collapsed="false">
      <c r="A3144" s="9" t="str">
        <f aca="false">Vessels!B33</f>
        <v>Vessel 29</v>
      </c>
      <c r="B3144" s="9" t="s">
        <v>42</v>
      </c>
      <c r="C3144" s="7" t="s">
        <v>47</v>
      </c>
      <c r="D3144" s="9" t="s">
        <v>45</v>
      </c>
      <c r="E3144" s="9" t="s">
        <v>46</v>
      </c>
      <c r="F3144" s="5" t="n">
        <v>60</v>
      </c>
      <c r="G3144" s="10"/>
      <c r="H3144" s="11" t="str">
        <f aca="false">IFERROR(IF($D3144="Manual Review","",IF($G3144="","",IF($D3144="Direct Expiry",$G3144,EDATE($G3144,$F3144)))),"Check Date")</f>
        <v/>
      </c>
      <c r="I3144" s="12" t="str">
        <f aca="true">IF($H3144="","",IF(ISNUMBER($H3144),$H3144-TODAY(),""))</f>
        <v/>
      </c>
      <c r="J3144" s="4" t="str">
        <f aca="true">IF($D3144="Manual Review","Manual Review",IF($G3144="","No Data",IF(NOT(ISNUMBER($H3144)),"N/A",IF($H3144&lt;TODAY(),"Overdue",IF($H3144&lt;=TODAY()+30,"Due within 1 Month",IF($H3144&lt;=TODAY()+60,"Due within 2 Months","OK"))))))</f>
        <v>No Data</v>
      </c>
      <c r="K3144" s="13"/>
    </row>
    <row r="3145" customFormat="false" ht="15" hidden="false" customHeight="false" outlineLevel="0" collapsed="false">
      <c r="A3145" s="9" t="str">
        <f aca="false">Vessels!B33</f>
        <v>Vessel 29</v>
      </c>
      <c r="B3145" s="9" t="s">
        <v>42</v>
      </c>
      <c r="C3145" s="7" t="s">
        <v>48</v>
      </c>
      <c r="D3145" s="9" t="s">
        <v>45</v>
      </c>
      <c r="E3145" s="9" t="s">
        <v>44</v>
      </c>
      <c r="F3145" s="5" t="n">
        <v>12</v>
      </c>
      <c r="G3145" s="10"/>
      <c r="H3145" s="11" t="str">
        <f aca="false">IFERROR(IF($D3145="Manual Review","",IF($G3145="","",IF($D3145="Direct Expiry",$G3145,EDATE($G3145,$F3145)))),"Check Date")</f>
        <v/>
      </c>
      <c r="I3145" s="12" t="str">
        <f aca="true">IF($H3145="","",IF(ISNUMBER($H3145),$H3145-TODAY(),""))</f>
        <v/>
      </c>
      <c r="J3145" s="4" t="str">
        <f aca="true">IF($D3145="Manual Review","Manual Review",IF($G3145="","No Data",IF(NOT(ISNUMBER($H3145)),"N/A",IF($H3145&lt;TODAY(),"Overdue",IF($H3145&lt;=TODAY()+30,"Due within 1 Month",IF($H3145&lt;=TODAY()+60,"Due within 2 Months","OK"))))))</f>
        <v>No Data</v>
      </c>
      <c r="K3145" s="13"/>
    </row>
    <row r="3146" customFormat="false" ht="15" hidden="false" customHeight="false" outlineLevel="0" collapsed="false">
      <c r="A3146" s="9" t="str">
        <f aca="false">Vessels!B33</f>
        <v>Vessel 29</v>
      </c>
      <c r="B3146" s="9" t="s">
        <v>42</v>
      </c>
      <c r="C3146" s="7" t="s">
        <v>48</v>
      </c>
      <c r="D3146" s="9" t="s">
        <v>45</v>
      </c>
      <c r="E3146" s="9" t="s">
        <v>49</v>
      </c>
      <c r="F3146" s="5" t="n">
        <v>60</v>
      </c>
      <c r="G3146" s="10"/>
      <c r="H3146" s="11" t="str">
        <f aca="false">IFERROR(IF($D3146="Manual Review","",IF($G3146="","",IF($D3146="Direct Expiry",$G3146,EDATE($G3146,$F3146)))),"Check Date")</f>
        <v/>
      </c>
      <c r="I3146" s="12" t="str">
        <f aca="true">IF($H3146="","",IF(ISNUMBER($H3146),$H3146-TODAY(),""))</f>
        <v/>
      </c>
      <c r="J3146" s="4" t="str">
        <f aca="true">IF($D3146="Manual Review","Manual Review",IF($G3146="","No Data",IF(NOT(ISNUMBER($H3146)),"N/A",IF($H3146&lt;TODAY(),"Overdue",IF($H3146&lt;=TODAY()+30,"Due within 1 Month",IF($H3146&lt;=TODAY()+60,"Due within 2 Months","OK"))))))</f>
        <v>No Data</v>
      </c>
      <c r="K3146" s="13"/>
    </row>
    <row r="3147" customFormat="false" ht="15" hidden="false" customHeight="false" outlineLevel="0" collapsed="false">
      <c r="A3147" s="9" t="str">
        <f aca="false">Vessels!B33</f>
        <v>Vessel 29</v>
      </c>
      <c r="B3147" s="9" t="s">
        <v>42</v>
      </c>
      <c r="C3147" s="7" t="s">
        <v>50</v>
      </c>
      <c r="D3147" s="9" t="s">
        <v>45</v>
      </c>
      <c r="E3147" s="9" t="s">
        <v>44</v>
      </c>
      <c r="F3147" s="5" t="n">
        <v>12</v>
      </c>
      <c r="G3147" s="10"/>
      <c r="H3147" s="11" t="str">
        <f aca="false">IFERROR(IF($D3147="Manual Review","",IF($G3147="","",IF($D3147="Direct Expiry",$G3147,EDATE($G3147,$F3147)))),"Check Date")</f>
        <v/>
      </c>
      <c r="I3147" s="12" t="str">
        <f aca="true">IF($H3147="","",IF(ISNUMBER($H3147),$H3147-TODAY(),""))</f>
        <v/>
      </c>
      <c r="J3147" s="4" t="str">
        <f aca="true">IF($D3147="Manual Review","Manual Review",IF($G3147="","No Data",IF(NOT(ISNUMBER($H3147)),"N/A",IF($H3147&lt;TODAY(),"Overdue",IF($H3147&lt;=TODAY()+30,"Due within 1 Month",IF($H3147&lt;=TODAY()+60,"Due within 2 Months","OK"))))))</f>
        <v>No Data</v>
      </c>
      <c r="K3147" s="13"/>
    </row>
    <row r="3148" customFormat="false" ht="15" hidden="false" customHeight="false" outlineLevel="0" collapsed="false">
      <c r="A3148" s="9" t="str">
        <f aca="false">Vessels!B33</f>
        <v>Vessel 29</v>
      </c>
      <c r="B3148" s="9" t="s">
        <v>42</v>
      </c>
      <c r="C3148" s="7" t="s">
        <v>50</v>
      </c>
      <c r="D3148" s="9" t="s">
        <v>45</v>
      </c>
      <c r="E3148" s="9" t="s">
        <v>49</v>
      </c>
      <c r="F3148" s="5" t="n">
        <v>60</v>
      </c>
      <c r="G3148" s="10"/>
      <c r="H3148" s="11" t="str">
        <f aca="false">IFERROR(IF($D3148="Manual Review","",IF($G3148="","",IF($D3148="Direct Expiry",$G3148,EDATE($G3148,$F3148)))),"Check Date")</f>
        <v/>
      </c>
      <c r="I3148" s="12" t="str">
        <f aca="true">IF($H3148="","",IF(ISNUMBER($H3148),$H3148-TODAY(),""))</f>
        <v/>
      </c>
      <c r="J3148" s="4" t="str">
        <f aca="true">IF($D3148="Manual Review","Manual Review",IF($G3148="","No Data",IF(NOT(ISNUMBER($H3148)),"N/A",IF($H3148&lt;TODAY(),"Overdue",IF($H3148&lt;=TODAY()+30,"Due within 1 Month",IF($H3148&lt;=TODAY()+60,"Due within 2 Months","OK"))))))</f>
        <v>No Data</v>
      </c>
      <c r="K3148" s="13"/>
    </row>
    <row r="3149" customFormat="false" ht="15" hidden="false" customHeight="false" outlineLevel="0" collapsed="false">
      <c r="A3149" s="9" t="str">
        <f aca="false">Vessels!B33</f>
        <v>Vessel 29</v>
      </c>
      <c r="B3149" s="9" t="s">
        <v>42</v>
      </c>
      <c r="C3149" s="7" t="s">
        <v>51</v>
      </c>
      <c r="D3149" s="9" t="s">
        <v>45</v>
      </c>
      <c r="E3149" s="9" t="s">
        <v>46</v>
      </c>
      <c r="F3149" s="5" t="n">
        <v>60</v>
      </c>
      <c r="G3149" s="10"/>
      <c r="H3149" s="11" t="str">
        <f aca="false">IFERROR(IF($D3149="Manual Review","",IF($G3149="","",IF($D3149="Direct Expiry",$G3149,EDATE($G3149,$F3149)))),"Check Date")</f>
        <v/>
      </c>
      <c r="I3149" s="12" t="str">
        <f aca="true">IF($H3149="","",IF(ISNUMBER($H3149),$H3149-TODAY(),""))</f>
        <v/>
      </c>
      <c r="J3149" s="4" t="str">
        <f aca="true">IF($D3149="Manual Review","Manual Review",IF($G3149="","No Data",IF(NOT(ISNUMBER($H3149)),"N/A",IF($H3149&lt;TODAY(),"Overdue",IF($H3149&lt;=TODAY()+30,"Due within 1 Month",IF($H3149&lt;=TODAY()+60,"Due within 2 Months","OK"))))))</f>
        <v>No Data</v>
      </c>
      <c r="K3149" s="13"/>
    </row>
    <row r="3150" customFormat="false" ht="15" hidden="false" customHeight="false" outlineLevel="0" collapsed="false">
      <c r="A3150" s="9" t="str">
        <f aca="false">Vessels!B33</f>
        <v>Vessel 29</v>
      </c>
      <c r="B3150" s="9" t="s">
        <v>42</v>
      </c>
      <c r="C3150" s="7" t="s">
        <v>52</v>
      </c>
      <c r="D3150" s="9" t="s">
        <v>45</v>
      </c>
      <c r="E3150" s="9" t="s">
        <v>46</v>
      </c>
      <c r="F3150" s="5" t="n">
        <v>60</v>
      </c>
      <c r="G3150" s="10"/>
      <c r="H3150" s="11" t="str">
        <f aca="false">IFERROR(IF($D3150="Manual Review","",IF($G3150="","",IF($D3150="Direct Expiry",$G3150,EDATE($G3150,$F3150)))),"Check Date")</f>
        <v/>
      </c>
      <c r="I3150" s="12" t="str">
        <f aca="true">IF($H3150="","",IF(ISNUMBER($H3150),$H3150-TODAY(),""))</f>
        <v/>
      </c>
      <c r="J3150" s="4" t="str">
        <f aca="true">IF($D3150="Manual Review","Manual Review",IF($G3150="","No Data",IF(NOT(ISNUMBER($H3150)),"N/A",IF($H3150&lt;TODAY(),"Overdue",IF($H3150&lt;=TODAY()+30,"Due within 1 Month",IF($H3150&lt;=TODAY()+60,"Due within 2 Months","OK"))))))</f>
        <v>No Data</v>
      </c>
      <c r="K3150" s="13"/>
    </row>
    <row r="3151" customFormat="false" ht="15" hidden="false" customHeight="false" outlineLevel="0" collapsed="false">
      <c r="A3151" s="9" t="str">
        <f aca="false">Vessels!B33</f>
        <v>Vessel 29</v>
      </c>
      <c r="B3151" s="9" t="s">
        <v>42</v>
      </c>
      <c r="C3151" s="7" t="s">
        <v>53</v>
      </c>
      <c r="D3151" s="9" t="s">
        <v>45</v>
      </c>
      <c r="E3151" s="9" t="s">
        <v>46</v>
      </c>
      <c r="F3151" s="5" t="n">
        <v>60</v>
      </c>
      <c r="G3151" s="10"/>
      <c r="H3151" s="11" t="str">
        <f aca="false">IFERROR(IF($D3151="Manual Review","",IF($G3151="","",IF($D3151="Direct Expiry",$G3151,EDATE($G3151,$F3151)))),"Check Date")</f>
        <v/>
      </c>
      <c r="I3151" s="12" t="str">
        <f aca="true">IF($H3151="","",IF(ISNUMBER($H3151),$H3151-TODAY(),""))</f>
        <v/>
      </c>
      <c r="J3151" s="4" t="str">
        <f aca="true">IF($D3151="Manual Review","Manual Review",IF($G3151="","No Data",IF(NOT(ISNUMBER($H3151)),"N/A",IF($H3151&lt;TODAY(),"Overdue",IF($H3151&lt;=TODAY()+30,"Due within 1 Month",IF($H3151&lt;=TODAY()+60,"Due within 2 Months","OK"))))))</f>
        <v>No Data</v>
      </c>
      <c r="K3151" s="13"/>
    </row>
    <row r="3152" customFormat="false" ht="15" hidden="false" customHeight="false" outlineLevel="0" collapsed="false">
      <c r="A3152" s="9" t="str">
        <f aca="false">Vessels!B33</f>
        <v>Vessel 29</v>
      </c>
      <c r="B3152" s="9" t="s">
        <v>42</v>
      </c>
      <c r="C3152" s="7" t="s">
        <v>54</v>
      </c>
      <c r="D3152" s="9" t="s">
        <v>45</v>
      </c>
      <c r="E3152" s="9" t="s">
        <v>46</v>
      </c>
      <c r="F3152" s="5" t="n">
        <v>60</v>
      </c>
      <c r="G3152" s="10"/>
      <c r="H3152" s="11" t="str">
        <f aca="false">IFERROR(IF($D3152="Manual Review","",IF($G3152="","",IF($D3152="Direct Expiry",$G3152,EDATE($G3152,$F3152)))),"Check Date")</f>
        <v/>
      </c>
      <c r="I3152" s="12" t="str">
        <f aca="true">IF($H3152="","",IF(ISNUMBER($H3152),$H3152-TODAY(),""))</f>
        <v/>
      </c>
      <c r="J3152" s="4" t="str">
        <f aca="true">IF($D3152="Manual Review","Manual Review",IF($G3152="","No Data",IF(NOT(ISNUMBER($H3152)),"N/A",IF($H3152&lt;TODAY(),"Overdue",IF($H3152&lt;=TODAY()+30,"Due within 1 Month",IF($H3152&lt;=TODAY()+60,"Due within 2 Months","OK"))))))</f>
        <v>No Data</v>
      </c>
      <c r="K3152" s="13"/>
    </row>
    <row r="3153" customFormat="false" ht="15" hidden="false" customHeight="false" outlineLevel="0" collapsed="false">
      <c r="A3153" s="9" t="str">
        <f aca="false">Vessels!B33</f>
        <v>Vessel 29</v>
      </c>
      <c r="B3153" s="9" t="s">
        <v>42</v>
      </c>
      <c r="C3153" s="7" t="s">
        <v>55</v>
      </c>
      <c r="D3153" s="9" t="s">
        <v>45</v>
      </c>
      <c r="E3153" s="9" t="s">
        <v>46</v>
      </c>
      <c r="F3153" s="5" t="n">
        <v>60</v>
      </c>
      <c r="G3153" s="10"/>
      <c r="H3153" s="11" t="str">
        <f aca="false">IFERROR(IF($D3153="Manual Review","",IF($G3153="","",IF($D3153="Direct Expiry",$G3153,EDATE($G3153,$F3153)))),"Check Date")</f>
        <v/>
      </c>
      <c r="I3153" s="12" t="str">
        <f aca="true">IF($H3153="","",IF(ISNUMBER($H3153),$H3153-TODAY(),""))</f>
        <v/>
      </c>
      <c r="J3153" s="4" t="str">
        <f aca="true">IF($D3153="Manual Review","Manual Review",IF($G3153="","No Data",IF(NOT(ISNUMBER($H3153)),"N/A",IF($H3153&lt;TODAY(),"Overdue",IF($H3153&lt;=TODAY()+30,"Due within 1 Month",IF($H3153&lt;=TODAY()+60,"Due within 2 Months","OK"))))))</f>
        <v>No Data</v>
      </c>
      <c r="K3153" s="13"/>
    </row>
    <row r="3154" customFormat="false" ht="15" hidden="false" customHeight="false" outlineLevel="0" collapsed="false">
      <c r="A3154" s="9" t="str">
        <f aca="false">Vessels!B33</f>
        <v>Vessel 29</v>
      </c>
      <c r="B3154" s="9" t="s">
        <v>42</v>
      </c>
      <c r="C3154" s="7" t="s">
        <v>56</v>
      </c>
      <c r="D3154" s="9" t="s">
        <v>45</v>
      </c>
      <c r="E3154" s="9" t="s">
        <v>46</v>
      </c>
      <c r="F3154" s="5" t="n">
        <v>60</v>
      </c>
      <c r="G3154" s="10"/>
      <c r="H3154" s="11" t="str">
        <f aca="false">IFERROR(IF($D3154="Manual Review","",IF($G3154="","",IF($D3154="Direct Expiry",$G3154,EDATE($G3154,$F3154)))),"Check Date")</f>
        <v/>
      </c>
      <c r="I3154" s="12" t="str">
        <f aca="true">IF($H3154="","",IF(ISNUMBER($H3154),$H3154-TODAY(),""))</f>
        <v/>
      </c>
      <c r="J3154" s="4" t="str">
        <f aca="true">IF($D3154="Manual Review","Manual Review",IF($G3154="","No Data",IF(NOT(ISNUMBER($H3154)),"N/A",IF($H3154&lt;TODAY(),"Overdue",IF($H3154&lt;=TODAY()+30,"Due within 1 Month",IF($H3154&lt;=TODAY()+60,"Due within 2 Months","OK"))))))</f>
        <v>No Data</v>
      </c>
      <c r="K3154" s="13"/>
    </row>
    <row r="3155" customFormat="false" ht="15" hidden="false" customHeight="false" outlineLevel="0" collapsed="false">
      <c r="A3155" s="9" t="str">
        <f aca="false">Vessels!B33</f>
        <v>Vessel 29</v>
      </c>
      <c r="B3155" s="9" t="s">
        <v>42</v>
      </c>
      <c r="C3155" s="7" t="s">
        <v>57</v>
      </c>
      <c r="D3155" s="9" t="s">
        <v>59</v>
      </c>
      <c r="E3155" s="9" t="s">
        <v>58</v>
      </c>
      <c r="F3155" s="5"/>
      <c r="G3155" s="10"/>
      <c r="H3155" s="11" t="str">
        <f aca="false">IFERROR(IF($D3155="Manual Review","",IF($G3155="","",IF($D3155="Direct Expiry",$G3155,EDATE($G3155,$F3155)))),"Check Date")</f>
        <v/>
      </c>
      <c r="I3155" s="12" t="str">
        <f aca="true">IF($H3155="","",IF(ISNUMBER($H3155),$H3155-TODAY(),""))</f>
        <v/>
      </c>
      <c r="J3155" s="4" t="str">
        <f aca="true">IF($D3155="Manual Review","Manual Review",IF($G3155="","No Data",IF(NOT(ISNUMBER($H3155)),"N/A",IF($H3155&lt;TODAY(),"Overdue",IF($H3155&lt;=TODAY()+30,"Due within 1 Month",IF($H3155&lt;=TODAY()+60,"Due within 2 Months","OK"))))))</f>
        <v>No Data</v>
      </c>
      <c r="K3155" s="13"/>
    </row>
    <row r="3156" customFormat="false" ht="15" hidden="false" customHeight="false" outlineLevel="0" collapsed="false">
      <c r="A3156" s="9" t="str">
        <f aca="false">Vessels!B33</f>
        <v>Vessel 29</v>
      </c>
      <c r="B3156" s="9" t="s">
        <v>42</v>
      </c>
      <c r="C3156" s="7" t="s">
        <v>60</v>
      </c>
      <c r="D3156" s="9" t="s">
        <v>45</v>
      </c>
      <c r="E3156" s="9" t="s">
        <v>44</v>
      </c>
      <c r="F3156" s="5" t="n">
        <v>12</v>
      </c>
      <c r="G3156" s="10"/>
      <c r="H3156" s="11" t="str">
        <f aca="false">IFERROR(IF($D3156="Manual Review","",IF($G3156="","",IF($D3156="Direct Expiry",$G3156,EDATE($G3156,$F3156)))),"Check Date")</f>
        <v/>
      </c>
      <c r="I3156" s="12" t="str">
        <f aca="true">IF($H3156="","",IF(ISNUMBER($H3156),$H3156-TODAY(),""))</f>
        <v/>
      </c>
      <c r="J3156" s="4" t="str">
        <f aca="true">IF($D3156="Manual Review","Manual Review",IF($G3156="","No Data",IF(NOT(ISNUMBER($H3156)),"N/A",IF($H3156&lt;TODAY(),"Overdue",IF($H3156&lt;=TODAY()+30,"Due within 1 Month",IF($H3156&lt;=TODAY()+60,"Due within 2 Months","OK"))))))</f>
        <v>No Data</v>
      </c>
      <c r="K3156" s="13"/>
    </row>
    <row r="3157" customFormat="false" ht="15" hidden="false" customHeight="false" outlineLevel="0" collapsed="false">
      <c r="A3157" s="9" t="str">
        <f aca="false">Vessels!B33</f>
        <v>Vessel 29</v>
      </c>
      <c r="B3157" s="9" t="s">
        <v>42</v>
      </c>
      <c r="C3157" s="7" t="s">
        <v>60</v>
      </c>
      <c r="D3157" s="9" t="s">
        <v>45</v>
      </c>
      <c r="E3157" s="9" t="s">
        <v>46</v>
      </c>
      <c r="F3157" s="5" t="n">
        <v>60</v>
      </c>
      <c r="G3157" s="10"/>
      <c r="H3157" s="11" t="str">
        <f aca="false">IFERROR(IF($D3157="Manual Review","",IF($G3157="","",IF($D3157="Direct Expiry",$G3157,EDATE($G3157,$F3157)))),"Check Date")</f>
        <v/>
      </c>
      <c r="I3157" s="12" t="str">
        <f aca="true">IF($H3157="","",IF(ISNUMBER($H3157),$H3157-TODAY(),""))</f>
        <v/>
      </c>
      <c r="J3157" s="4" t="str">
        <f aca="true">IF($D3157="Manual Review","Manual Review",IF($G3157="","No Data",IF(NOT(ISNUMBER($H3157)),"N/A",IF($H3157&lt;TODAY(),"Overdue",IF($H3157&lt;=TODAY()+30,"Due within 1 Month",IF($H3157&lt;=TODAY()+60,"Due within 2 Months","OK"))))))</f>
        <v>No Data</v>
      </c>
      <c r="K3157" s="13"/>
    </row>
    <row r="3158" customFormat="false" ht="15" hidden="false" customHeight="false" outlineLevel="0" collapsed="false">
      <c r="A3158" s="9" t="str">
        <f aca="false">Vessels!B33</f>
        <v>Vessel 29</v>
      </c>
      <c r="B3158" s="9" t="s">
        <v>42</v>
      </c>
      <c r="C3158" s="7" t="s">
        <v>61</v>
      </c>
      <c r="D3158" s="9" t="s">
        <v>45</v>
      </c>
      <c r="E3158" s="9" t="s">
        <v>44</v>
      </c>
      <c r="F3158" s="5" t="n">
        <v>12</v>
      </c>
      <c r="G3158" s="10"/>
      <c r="H3158" s="11" t="str">
        <f aca="false">IFERROR(IF($D3158="Manual Review","",IF($G3158="","",IF($D3158="Direct Expiry",$G3158,EDATE($G3158,$F3158)))),"Check Date")</f>
        <v/>
      </c>
      <c r="I3158" s="12" t="str">
        <f aca="true">IF($H3158="","",IF(ISNUMBER($H3158),$H3158-TODAY(),""))</f>
        <v/>
      </c>
      <c r="J3158" s="4" t="str">
        <f aca="true">IF($D3158="Manual Review","Manual Review",IF($G3158="","No Data",IF(NOT(ISNUMBER($H3158)),"N/A",IF($H3158&lt;TODAY(),"Overdue",IF($H3158&lt;=TODAY()+30,"Due within 1 Month",IF($H3158&lt;=TODAY()+60,"Due within 2 Months","OK"))))))</f>
        <v>No Data</v>
      </c>
      <c r="K3158" s="13"/>
    </row>
    <row r="3159" customFormat="false" ht="15" hidden="false" customHeight="false" outlineLevel="0" collapsed="false">
      <c r="A3159" s="9" t="str">
        <f aca="false">Vessels!B33</f>
        <v>Vessel 29</v>
      </c>
      <c r="B3159" s="9" t="s">
        <v>42</v>
      </c>
      <c r="C3159" s="7" t="s">
        <v>61</v>
      </c>
      <c r="D3159" s="9" t="s">
        <v>45</v>
      </c>
      <c r="E3159" s="9" t="s">
        <v>46</v>
      </c>
      <c r="F3159" s="5" t="n">
        <v>60</v>
      </c>
      <c r="G3159" s="10"/>
      <c r="H3159" s="11" t="str">
        <f aca="false">IFERROR(IF($D3159="Manual Review","",IF($G3159="","",IF($D3159="Direct Expiry",$G3159,EDATE($G3159,$F3159)))),"Check Date")</f>
        <v/>
      </c>
      <c r="I3159" s="12" t="str">
        <f aca="true">IF($H3159="","",IF(ISNUMBER($H3159),$H3159-TODAY(),""))</f>
        <v/>
      </c>
      <c r="J3159" s="4" t="str">
        <f aca="true">IF($D3159="Manual Review","Manual Review",IF($G3159="","No Data",IF(NOT(ISNUMBER($H3159)),"N/A",IF($H3159&lt;TODAY(),"Overdue",IF($H3159&lt;=TODAY()+30,"Due within 1 Month",IF($H3159&lt;=TODAY()+60,"Due within 2 Months","OK"))))))</f>
        <v>No Data</v>
      </c>
      <c r="K3159" s="13"/>
    </row>
    <row r="3160" customFormat="false" ht="15" hidden="false" customHeight="false" outlineLevel="0" collapsed="false">
      <c r="A3160" s="9" t="str">
        <f aca="false">Vessels!B33</f>
        <v>Vessel 29</v>
      </c>
      <c r="B3160" s="9" t="s">
        <v>42</v>
      </c>
      <c r="C3160" s="7" t="s">
        <v>62</v>
      </c>
      <c r="D3160" s="9" t="s">
        <v>45</v>
      </c>
      <c r="E3160" s="9" t="s">
        <v>44</v>
      </c>
      <c r="F3160" s="5" t="n">
        <v>12</v>
      </c>
      <c r="G3160" s="10"/>
      <c r="H3160" s="11" t="str">
        <f aca="false">IFERROR(IF($D3160="Manual Review","",IF($G3160="","",IF($D3160="Direct Expiry",$G3160,EDATE($G3160,$F3160)))),"Check Date")</f>
        <v/>
      </c>
      <c r="I3160" s="12" t="str">
        <f aca="true">IF($H3160="","",IF(ISNUMBER($H3160),$H3160-TODAY(),""))</f>
        <v/>
      </c>
      <c r="J3160" s="4" t="str">
        <f aca="true">IF($D3160="Manual Review","Manual Review",IF($G3160="","No Data",IF(NOT(ISNUMBER($H3160)),"N/A",IF($H3160&lt;TODAY(),"Overdue",IF($H3160&lt;=TODAY()+30,"Due within 1 Month",IF($H3160&lt;=TODAY()+60,"Due within 2 Months","OK"))))))</f>
        <v>No Data</v>
      </c>
      <c r="K3160" s="13"/>
    </row>
    <row r="3161" customFormat="false" ht="15" hidden="false" customHeight="false" outlineLevel="0" collapsed="false">
      <c r="A3161" s="9" t="str">
        <f aca="false">Vessels!B33</f>
        <v>Vessel 29</v>
      </c>
      <c r="B3161" s="9" t="s">
        <v>42</v>
      </c>
      <c r="C3161" s="7" t="s">
        <v>62</v>
      </c>
      <c r="D3161" s="9" t="s">
        <v>45</v>
      </c>
      <c r="E3161" s="9" t="s">
        <v>49</v>
      </c>
      <c r="F3161" s="5" t="n">
        <v>60</v>
      </c>
      <c r="G3161" s="10"/>
      <c r="H3161" s="11" t="str">
        <f aca="false">IFERROR(IF($D3161="Manual Review","",IF($G3161="","",IF($D3161="Direct Expiry",$G3161,EDATE($G3161,$F3161)))),"Check Date")</f>
        <v/>
      </c>
      <c r="I3161" s="12" t="str">
        <f aca="true">IF($H3161="","",IF(ISNUMBER($H3161),$H3161-TODAY(),""))</f>
        <v/>
      </c>
      <c r="J3161" s="4" t="str">
        <f aca="true">IF($D3161="Manual Review","Manual Review",IF($G3161="","No Data",IF(NOT(ISNUMBER($H3161)),"N/A",IF($H3161&lt;TODAY(),"Overdue",IF($H3161&lt;=TODAY()+30,"Due within 1 Month",IF($H3161&lt;=TODAY()+60,"Due within 2 Months","OK"))))))</f>
        <v>No Data</v>
      </c>
      <c r="K3161" s="13"/>
    </row>
    <row r="3162" customFormat="false" ht="15" hidden="false" customHeight="false" outlineLevel="0" collapsed="false">
      <c r="A3162" s="9" t="str">
        <f aca="false">Vessels!B33</f>
        <v>Vessel 29</v>
      </c>
      <c r="B3162" s="9" t="s">
        <v>42</v>
      </c>
      <c r="C3162" s="7" t="s">
        <v>63</v>
      </c>
      <c r="D3162" s="9" t="s">
        <v>45</v>
      </c>
      <c r="E3162" s="9" t="s">
        <v>44</v>
      </c>
      <c r="F3162" s="5" t="n">
        <v>12</v>
      </c>
      <c r="G3162" s="10"/>
      <c r="H3162" s="11" t="str">
        <f aca="false">IFERROR(IF($D3162="Manual Review","",IF($G3162="","",IF($D3162="Direct Expiry",$G3162,EDATE($G3162,$F3162)))),"Check Date")</f>
        <v/>
      </c>
      <c r="I3162" s="12" t="str">
        <f aca="true">IF($H3162="","",IF(ISNUMBER($H3162),$H3162-TODAY(),""))</f>
        <v/>
      </c>
      <c r="J3162" s="4" t="str">
        <f aca="true">IF($D3162="Manual Review","Manual Review",IF($G3162="","No Data",IF(NOT(ISNUMBER($H3162)),"N/A",IF($H3162&lt;TODAY(),"Overdue",IF($H3162&lt;=TODAY()+30,"Due within 1 Month",IF($H3162&lt;=TODAY()+60,"Due within 2 Months","OK"))))))</f>
        <v>No Data</v>
      </c>
      <c r="K3162" s="13"/>
    </row>
    <row r="3163" customFormat="false" ht="15" hidden="false" customHeight="false" outlineLevel="0" collapsed="false">
      <c r="A3163" s="9" t="str">
        <f aca="false">Vessels!B33</f>
        <v>Vessel 29</v>
      </c>
      <c r="B3163" s="9" t="s">
        <v>42</v>
      </c>
      <c r="C3163" s="7" t="s">
        <v>63</v>
      </c>
      <c r="D3163" s="9" t="s">
        <v>45</v>
      </c>
      <c r="E3163" s="9" t="s">
        <v>49</v>
      </c>
      <c r="F3163" s="5" t="n">
        <v>60</v>
      </c>
      <c r="G3163" s="10"/>
      <c r="H3163" s="11" t="str">
        <f aca="false">IFERROR(IF($D3163="Manual Review","",IF($G3163="","",IF($D3163="Direct Expiry",$G3163,EDATE($G3163,$F3163)))),"Check Date")</f>
        <v/>
      </c>
      <c r="I3163" s="12" t="str">
        <f aca="true">IF($H3163="","",IF(ISNUMBER($H3163),$H3163-TODAY(),""))</f>
        <v/>
      </c>
      <c r="J3163" s="4" t="str">
        <f aca="true">IF($D3163="Manual Review","Manual Review",IF($G3163="","No Data",IF(NOT(ISNUMBER($H3163)),"N/A",IF($H3163&lt;TODAY(),"Overdue",IF($H3163&lt;=TODAY()+30,"Due within 1 Month",IF($H3163&lt;=TODAY()+60,"Due within 2 Months","OK"))))))</f>
        <v>No Data</v>
      </c>
      <c r="K3163" s="13"/>
    </row>
    <row r="3164" customFormat="false" ht="15" hidden="false" customHeight="false" outlineLevel="0" collapsed="false">
      <c r="A3164" s="9" t="str">
        <f aca="false">Vessels!B33</f>
        <v>Vessel 29</v>
      </c>
      <c r="B3164" s="9" t="s">
        <v>42</v>
      </c>
      <c r="C3164" s="7" t="s">
        <v>64</v>
      </c>
      <c r="D3164" s="9" t="s">
        <v>45</v>
      </c>
      <c r="E3164" s="9" t="s">
        <v>46</v>
      </c>
      <c r="F3164" s="5" t="n">
        <v>60</v>
      </c>
      <c r="G3164" s="10"/>
      <c r="H3164" s="11" t="str">
        <f aca="false">IFERROR(IF($D3164="Manual Review","",IF($G3164="","",IF($D3164="Direct Expiry",$G3164,EDATE($G3164,$F3164)))),"Check Date")</f>
        <v/>
      </c>
      <c r="I3164" s="12" t="str">
        <f aca="true">IF($H3164="","",IF(ISNUMBER($H3164),$H3164-TODAY(),""))</f>
        <v/>
      </c>
      <c r="J3164" s="4" t="str">
        <f aca="true">IF($D3164="Manual Review","Manual Review",IF($G3164="","No Data",IF(NOT(ISNUMBER($H3164)),"N/A",IF($H3164&lt;TODAY(),"Overdue",IF($H3164&lt;=TODAY()+30,"Due within 1 Month",IF($H3164&lt;=TODAY()+60,"Due within 2 Months","OK"))))))</f>
        <v>No Data</v>
      </c>
      <c r="K3164" s="13"/>
    </row>
    <row r="3165" customFormat="false" ht="15" hidden="false" customHeight="false" outlineLevel="0" collapsed="false">
      <c r="A3165" s="9" t="str">
        <f aca="false">Vessels!B33</f>
        <v>Vessel 29</v>
      </c>
      <c r="B3165" s="9" t="s">
        <v>42</v>
      </c>
      <c r="C3165" s="7" t="s">
        <v>65</v>
      </c>
      <c r="D3165" s="9" t="s">
        <v>45</v>
      </c>
      <c r="E3165" s="9" t="s">
        <v>46</v>
      </c>
      <c r="F3165" s="5" t="n">
        <v>60</v>
      </c>
      <c r="G3165" s="10"/>
      <c r="H3165" s="11" t="str">
        <f aca="false">IFERROR(IF($D3165="Manual Review","",IF($G3165="","",IF($D3165="Direct Expiry",$G3165,EDATE($G3165,$F3165)))),"Check Date")</f>
        <v/>
      </c>
      <c r="I3165" s="12" t="str">
        <f aca="true">IF($H3165="","",IF(ISNUMBER($H3165),$H3165-TODAY(),""))</f>
        <v/>
      </c>
      <c r="J3165" s="4" t="str">
        <f aca="true">IF($D3165="Manual Review","Manual Review",IF($G3165="","No Data",IF(NOT(ISNUMBER($H3165)),"N/A",IF($H3165&lt;TODAY(),"Overdue",IF($H3165&lt;=TODAY()+30,"Due within 1 Month",IF($H3165&lt;=TODAY()+60,"Due within 2 Months","OK"))))))</f>
        <v>No Data</v>
      </c>
      <c r="K3165" s="13"/>
    </row>
    <row r="3166" customFormat="false" ht="15" hidden="false" customHeight="false" outlineLevel="0" collapsed="false">
      <c r="A3166" s="9" t="str">
        <f aca="false">Vessels!B33</f>
        <v>Vessel 29</v>
      </c>
      <c r="B3166" s="9" t="s">
        <v>42</v>
      </c>
      <c r="C3166" s="7" t="s">
        <v>66</v>
      </c>
      <c r="D3166" s="9" t="s">
        <v>45</v>
      </c>
      <c r="E3166" s="9" t="s">
        <v>46</v>
      </c>
      <c r="F3166" s="5" t="n">
        <v>60</v>
      </c>
      <c r="G3166" s="10"/>
      <c r="H3166" s="11" t="str">
        <f aca="false">IFERROR(IF($D3166="Manual Review","",IF($G3166="","",IF($D3166="Direct Expiry",$G3166,EDATE($G3166,$F3166)))),"Check Date")</f>
        <v/>
      </c>
      <c r="I3166" s="12" t="str">
        <f aca="true">IF($H3166="","",IF(ISNUMBER($H3166),$H3166-TODAY(),""))</f>
        <v/>
      </c>
      <c r="J3166" s="4" t="str">
        <f aca="true">IF($D3166="Manual Review","Manual Review",IF($G3166="","No Data",IF(NOT(ISNUMBER($H3166)),"N/A",IF($H3166&lt;TODAY(),"Overdue",IF($H3166&lt;=TODAY()+30,"Due within 1 Month",IF($H3166&lt;=TODAY()+60,"Due within 2 Months","OK"))))))</f>
        <v>No Data</v>
      </c>
      <c r="K3166" s="13"/>
    </row>
    <row r="3167" customFormat="false" ht="15" hidden="false" customHeight="false" outlineLevel="0" collapsed="false">
      <c r="A3167" s="9" t="str">
        <f aca="false">Vessels!B33</f>
        <v>Vessel 29</v>
      </c>
      <c r="B3167" s="9" t="s">
        <v>42</v>
      </c>
      <c r="C3167" s="7" t="s">
        <v>67</v>
      </c>
      <c r="D3167" s="9" t="s">
        <v>45</v>
      </c>
      <c r="E3167" s="9" t="s">
        <v>46</v>
      </c>
      <c r="F3167" s="5" t="n">
        <v>60</v>
      </c>
      <c r="G3167" s="10"/>
      <c r="H3167" s="11" t="str">
        <f aca="false">IFERROR(IF($D3167="Manual Review","",IF($G3167="","",IF($D3167="Direct Expiry",$G3167,EDATE($G3167,$F3167)))),"Check Date")</f>
        <v/>
      </c>
      <c r="I3167" s="12" t="str">
        <f aca="true">IF($H3167="","",IF(ISNUMBER($H3167),$H3167-TODAY(),""))</f>
        <v/>
      </c>
      <c r="J3167" s="4" t="str">
        <f aca="true">IF($D3167="Manual Review","Manual Review",IF($G3167="","No Data",IF(NOT(ISNUMBER($H3167)),"N/A",IF($H3167&lt;TODAY(),"Overdue",IF($H3167&lt;=TODAY()+30,"Due within 1 Month",IF($H3167&lt;=TODAY()+60,"Due within 2 Months","OK"))))))</f>
        <v>No Data</v>
      </c>
      <c r="K3167" s="13"/>
    </row>
    <row r="3168" customFormat="false" ht="15" hidden="false" customHeight="false" outlineLevel="0" collapsed="false">
      <c r="A3168" s="9" t="str">
        <f aca="false">Vessels!B33</f>
        <v>Vessel 29</v>
      </c>
      <c r="B3168" s="9" t="s">
        <v>42</v>
      </c>
      <c r="C3168" s="7" t="s">
        <v>68</v>
      </c>
      <c r="D3168" s="9" t="s">
        <v>45</v>
      </c>
      <c r="E3168" s="9" t="s">
        <v>46</v>
      </c>
      <c r="F3168" s="5" t="n">
        <v>60</v>
      </c>
      <c r="G3168" s="10"/>
      <c r="H3168" s="11" t="str">
        <f aca="false">IFERROR(IF($D3168="Manual Review","",IF($G3168="","",IF($D3168="Direct Expiry",$G3168,EDATE($G3168,$F3168)))),"Check Date")</f>
        <v/>
      </c>
      <c r="I3168" s="12" t="str">
        <f aca="true">IF($H3168="","",IF(ISNUMBER($H3168),$H3168-TODAY(),""))</f>
        <v/>
      </c>
      <c r="J3168" s="4" t="str">
        <f aca="true">IF($D3168="Manual Review","Manual Review",IF($G3168="","No Data",IF(NOT(ISNUMBER($H3168)),"N/A",IF($H3168&lt;TODAY(),"Overdue",IF($H3168&lt;=TODAY()+30,"Due within 1 Month",IF($H3168&lt;=TODAY()+60,"Due within 2 Months","OK"))))))</f>
        <v>No Data</v>
      </c>
      <c r="K3168" s="13"/>
    </row>
    <row r="3169" customFormat="false" ht="15" hidden="false" customHeight="false" outlineLevel="0" collapsed="false">
      <c r="A3169" s="9" t="str">
        <f aca="false">Vessels!B33</f>
        <v>Vessel 29</v>
      </c>
      <c r="B3169" s="9" t="s">
        <v>42</v>
      </c>
      <c r="C3169" s="7" t="s">
        <v>69</v>
      </c>
      <c r="D3169" s="9" t="s">
        <v>45</v>
      </c>
      <c r="E3169" s="9" t="s">
        <v>46</v>
      </c>
      <c r="F3169" s="5" t="n">
        <v>60</v>
      </c>
      <c r="G3169" s="10"/>
      <c r="H3169" s="11" t="str">
        <f aca="false">IFERROR(IF($D3169="Manual Review","",IF($G3169="","",IF($D3169="Direct Expiry",$G3169,EDATE($G3169,$F3169)))),"Check Date")</f>
        <v/>
      </c>
      <c r="I3169" s="12" t="str">
        <f aca="true">IF($H3169="","",IF(ISNUMBER($H3169),$H3169-TODAY(),""))</f>
        <v/>
      </c>
      <c r="J3169" s="4" t="str">
        <f aca="true">IF($D3169="Manual Review","Manual Review",IF($G3169="","No Data",IF(NOT(ISNUMBER($H3169)),"N/A",IF($H3169&lt;TODAY(),"Overdue",IF($H3169&lt;=TODAY()+30,"Due within 1 Month",IF($H3169&lt;=TODAY()+60,"Due within 2 Months","OK"))))))</f>
        <v>No Data</v>
      </c>
      <c r="K3169" s="13"/>
    </row>
    <row r="3170" customFormat="false" ht="15" hidden="false" customHeight="false" outlineLevel="0" collapsed="false">
      <c r="A3170" s="9" t="str">
        <f aca="false">Vessels!B33</f>
        <v>Vessel 29</v>
      </c>
      <c r="B3170" s="9" t="s">
        <v>42</v>
      </c>
      <c r="C3170" s="7" t="s">
        <v>70</v>
      </c>
      <c r="D3170" s="9" t="s">
        <v>59</v>
      </c>
      <c r="E3170" s="9" t="s">
        <v>58</v>
      </c>
      <c r="F3170" s="5"/>
      <c r="G3170" s="10"/>
      <c r="H3170" s="11" t="str">
        <f aca="false">IFERROR(IF($D3170="Manual Review","",IF($G3170="","",IF($D3170="Direct Expiry",$G3170,EDATE($G3170,$F3170)))),"Check Date")</f>
        <v/>
      </c>
      <c r="I3170" s="12" t="str">
        <f aca="true">IF($H3170="","",IF(ISNUMBER($H3170),$H3170-TODAY(),""))</f>
        <v/>
      </c>
      <c r="J3170" s="4" t="str">
        <f aca="true">IF($D3170="Manual Review","Manual Review",IF($G3170="","No Data",IF(NOT(ISNUMBER($H3170)),"N/A",IF($H3170&lt;TODAY(),"Overdue",IF($H3170&lt;=TODAY()+30,"Due within 1 Month",IF($H3170&lt;=TODAY()+60,"Due within 2 Months","OK"))))))</f>
        <v>No Data</v>
      </c>
      <c r="K3170" s="13"/>
    </row>
    <row r="3171" customFormat="false" ht="15" hidden="false" customHeight="false" outlineLevel="0" collapsed="false">
      <c r="A3171" s="9" t="str">
        <f aca="false">Vessels!B33</f>
        <v>Vessel 29</v>
      </c>
      <c r="B3171" s="9" t="s">
        <v>42</v>
      </c>
      <c r="C3171" s="7" t="s">
        <v>71</v>
      </c>
      <c r="D3171" s="9" t="s">
        <v>45</v>
      </c>
      <c r="E3171" s="9" t="s">
        <v>44</v>
      </c>
      <c r="F3171" s="5" t="n">
        <v>12</v>
      </c>
      <c r="G3171" s="10"/>
      <c r="H3171" s="11" t="str">
        <f aca="false">IFERROR(IF($D3171="Manual Review","",IF($G3171="","",IF($D3171="Direct Expiry",$G3171,EDATE($G3171,$F3171)))),"Check Date")</f>
        <v/>
      </c>
      <c r="I3171" s="12" t="str">
        <f aca="true">IF($H3171="","",IF(ISNUMBER($H3171),$H3171-TODAY(),""))</f>
        <v/>
      </c>
      <c r="J3171" s="4" t="str">
        <f aca="true">IF($D3171="Manual Review","Manual Review",IF($G3171="","No Data",IF(NOT(ISNUMBER($H3171)),"N/A",IF($H3171&lt;TODAY(),"Overdue",IF($H3171&lt;=TODAY()+30,"Due within 1 Month",IF($H3171&lt;=TODAY()+60,"Due within 2 Months","OK"))))))</f>
        <v>No Data</v>
      </c>
      <c r="K3171" s="13"/>
    </row>
    <row r="3172" customFormat="false" ht="15" hidden="false" customHeight="false" outlineLevel="0" collapsed="false">
      <c r="A3172" s="9" t="str">
        <f aca="false">Vessels!B33</f>
        <v>Vessel 29</v>
      </c>
      <c r="B3172" s="9" t="s">
        <v>42</v>
      </c>
      <c r="C3172" s="7" t="s">
        <v>72</v>
      </c>
      <c r="D3172" s="9" t="s">
        <v>59</v>
      </c>
      <c r="E3172" s="9" t="s">
        <v>58</v>
      </c>
      <c r="F3172" s="5"/>
      <c r="G3172" s="10"/>
      <c r="H3172" s="11" t="str">
        <f aca="false">IFERROR(IF($D3172="Manual Review","",IF($G3172="","",IF($D3172="Direct Expiry",$G3172,EDATE($G3172,$F3172)))),"Check Date")</f>
        <v/>
      </c>
      <c r="I3172" s="12" t="str">
        <f aca="true">IF($H3172="","",IF(ISNUMBER($H3172),$H3172-TODAY(),""))</f>
        <v/>
      </c>
      <c r="J3172" s="4" t="str">
        <f aca="true">IF($D3172="Manual Review","Manual Review",IF($G3172="","No Data",IF(NOT(ISNUMBER($H3172)),"N/A",IF($H3172&lt;TODAY(),"Overdue",IF($H3172&lt;=TODAY()+30,"Due within 1 Month",IF($H3172&lt;=TODAY()+60,"Due within 2 Months","OK"))))))</f>
        <v>No Data</v>
      </c>
      <c r="K3172" s="13"/>
    </row>
    <row r="3173" customFormat="false" ht="15" hidden="false" customHeight="false" outlineLevel="0" collapsed="false">
      <c r="A3173" s="9" t="str">
        <f aca="false">Vessels!B33</f>
        <v>Vessel 29</v>
      </c>
      <c r="B3173" s="9" t="s">
        <v>42</v>
      </c>
      <c r="C3173" s="7" t="s">
        <v>73</v>
      </c>
      <c r="D3173" s="9" t="s">
        <v>45</v>
      </c>
      <c r="E3173" s="9" t="s">
        <v>44</v>
      </c>
      <c r="F3173" s="5" t="n">
        <v>12</v>
      </c>
      <c r="G3173" s="10"/>
      <c r="H3173" s="11" t="str">
        <f aca="false">IFERROR(IF($D3173="Manual Review","",IF($G3173="","",IF($D3173="Direct Expiry",$G3173,EDATE($G3173,$F3173)))),"Check Date")</f>
        <v/>
      </c>
      <c r="I3173" s="12" t="str">
        <f aca="true">IF($H3173="","",IF(ISNUMBER($H3173),$H3173-TODAY(),""))</f>
        <v/>
      </c>
      <c r="J3173" s="4" t="str">
        <f aca="true">IF($D3173="Manual Review","Manual Review",IF($G3173="","No Data",IF(NOT(ISNUMBER($H3173)),"N/A",IF($H3173&lt;TODAY(),"Overdue",IF($H3173&lt;=TODAY()+30,"Due within 1 Month",IF($H3173&lt;=TODAY()+60,"Due within 2 Months","OK"))))))</f>
        <v>No Data</v>
      </c>
      <c r="K3173" s="13"/>
    </row>
    <row r="3174" customFormat="false" ht="15" hidden="false" customHeight="false" outlineLevel="0" collapsed="false">
      <c r="A3174" s="9" t="str">
        <f aca="false">Vessels!B33</f>
        <v>Vessel 29</v>
      </c>
      <c r="B3174" s="9" t="s">
        <v>42</v>
      </c>
      <c r="C3174" s="7" t="s">
        <v>74</v>
      </c>
      <c r="D3174" s="9" t="s">
        <v>59</v>
      </c>
      <c r="E3174" s="9" t="s">
        <v>58</v>
      </c>
      <c r="F3174" s="5"/>
      <c r="G3174" s="10"/>
      <c r="H3174" s="11" t="str">
        <f aca="false">IFERROR(IF($D3174="Manual Review","",IF($G3174="","",IF($D3174="Direct Expiry",$G3174,EDATE($G3174,$F3174)))),"Check Date")</f>
        <v/>
      </c>
      <c r="I3174" s="12" t="str">
        <f aca="true">IF($H3174="","",IF(ISNUMBER($H3174),$H3174-TODAY(),""))</f>
        <v/>
      </c>
      <c r="J3174" s="4" t="str">
        <f aca="true">IF($D3174="Manual Review","Manual Review",IF($G3174="","No Data",IF(NOT(ISNUMBER($H3174)),"N/A",IF($H3174&lt;TODAY(),"Overdue",IF($H3174&lt;=TODAY()+30,"Due within 1 Month",IF($H3174&lt;=TODAY()+60,"Due within 2 Months","OK"))))))</f>
        <v>No Data</v>
      </c>
      <c r="K3174" s="13"/>
    </row>
    <row r="3175" customFormat="false" ht="15" hidden="false" customHeight="false" outlineLevel="0" collapsed="false">
      <c r="A3175" s="9" t="str">
        <f aca="false">Vessels!B33</f>
        <v>Vessel 29</v>
      </c>
      <c r="B3175" s="9" t="s">
        <v>42</v>
      </c>
      <c r="C3175" s="7" t="s">
        <v>75</v>
      </c>
      <c r="D3175" s="9" t="s">
        <v>45</v>
      </c>
      <c r="E3175" s="9" t="s">
        <v>44</v>
      </c>
      <c r="F3175" s="5" t="n">
        <v>12</v>
      </c>
      <c r="G3175" s="10"/>
      <c r="H3175" s="11" t="str">
        <f aca="false">IFERROR(IF($D3175="Manual Review","",IF($G3175="","",IF($D3175="Direct Expiry",$G3175,EDATE($G3175,$F3175)))),"Check Date")</f>
        <v/>
      </c>
      <c r="I3175" s="12" t="str">
        <f aca="true">IF($H3175="","",IF(ISNUMBER($H3175),$H3175-TODAY(),""))</f>
        <v/>
      </c>
      <c r="J3175" s="4" t="str">
        <f aca="true">IF($D3175="Manual Review","Manual Review",IF($G3175="","No Data",IF(NOT(ISNUMBER($H3175)),"N/A",IF($H3175&lt;TODAY(),"Overdue",IF($H3175&lt;=TODAY()+30,"Due within 1 Month",IF($H3175&lt;=TODAY()+60,"Due within 2 Months","OK"))))))</f>
        <v>No Data</v>
      </c>
      <c r="K3175" s="13"/>
    </row>
    <row r="3176" customFormat="false" ht="15" hidden="false" customHeight="false" outlineLevel="0" collapsed="false">
      <c r="A3176" s="9" t="str">
        <f aca="false">Vessels!B33</f>
        <v>Vessel 29</v>
      </c>
      <c r="B3176" s="9" t="s">
        <v>42</v>
      </c>
      <c r="C3176" s="7" t="s">
        <v>76</v>
      </c>
      <c r="D3176" s="9" t="s">
        <v>59</v>
      </c>
      <c r="E3176" s="9" t="s">
        <v>58</v>
      </c>
      <c r="F3176" s="5"/>
      <c r="G3176" s="10"/>
      <c r="H3176" s="11" t="str">
        <f aca="false">IFERROR(IF($D3176="Manual Review","",IF($G3176="","",IF($D3176="Direct Expiry",$G3176,EDATE($G3176,$F3176)))),"Check Date")</f>
        <v/>
      </c>
      <c r="I3176" s="12" t="str">
        <f aca="true">IF($H3176="","",IF(ISNUMBER($H3176),$H3176-TODAY(),""))</f>
        <v/>
      </c>
      <c r="J3176" s="4" t="str">
        <f aca="true">IF($D3176="Manual Review","Manual Review",IF($G3176="","No Data",IF(NOT(ISNUMBER($H3176)),"N/A",IF($H3176&lt;TODAY(),"Overdue",IF($H3176&lt;=TODAY()+30,"Due within 1 Month",IF($H3176&lt;=TODAY()+60,"Due within 2 Months","OK"))))))</f>
        <v>No Data</v>
      </c>
      <c r="K3176" s="13"/>
    </row>
    <row r="3177" customFormat="false" ht="15" hidden="false" customHeight="false" outlineLevel="0" collapsed="false">
      <c r="A3177" s="9" t="str">
        <f aca="false">Vessels!B33</f>
        <v>Vessel 29</v>
      </c>
      <c r="B3177" s="9" t="s">
        <v>42</v>
      </c>
      <c r="C3177" s="7" t="s">
        <v>77</v>
      </c>
      <c r="D3177" s="9" t="s">
        <v>59</v>
      </c>
      <c r="E3177" s="9" t="s">
        <v>58</v>
      </c>
      <c r="F3177" s="5"/>
      <c r="G3177" s="10"/>
      <c r="H3177" s="11" t="str">
        <f aca="false">IFERROR(IF($D3177="Manual Review","",IF($G3177="","",IF($D3177="Direct Expiry",$G3177,EDATE($G3177,$F3177)))),"Check Date")</f>
        <v/>
      </c>
      <c r="I3177" s="12" t="str">
        <f aca="true">IF($H3177="","",IF(ISNUMBER($H3177),$H3177-TODAY(),""))</f>
        <v/>
      </c>
      <c r="J3177" s="4" t="str">
        <f aca="true">IF($D3177="Manual Review","Manual Review",IF($G3177="","No Data",IF(NOT(ISNUMBER($H3177)),"N/A",IF($H3177&lt;TODAY(),"Overdue",IF($H3177&lt;=TODAY()+30,"Due within 1 Month",IF($H3177&lt;=TODAY()+60,"Due within 2 Months","OK"))))))</f>
        <v>No Data</v>
      </c>
      <c r="K3177" s="13"/>
    </row>
    <row r="3178" customFormat="false" ht="15" hidden="false" customHeight="false" outlineLevel="0" collapsed="false">
      <c r="A3178" s="9" t="str">
        <f aca="false">Vessels!B33</f>
        <v>Vessel 29</v>
      </c>
      <c r="B3178" s="9" t="s">
        <v>42</v>
      </c>
      <c r="C3178" s="7" t="s">
        <v>78</v>
      </c>
      <c r="D3178" s="9" t="s">
        <v>59</v>
      </c>
      <c r="E3178" s="9" t="s">
        <v>58</v>
      </c>
      <c r="F3178" s="5"/>
      <c r="G3178" s="10"/>
      <c r="H3178" s="11" t="str">
        <f aca="false">IFERROR(IF($D3178="Manual Review","",IF($G3178="","",IF($D3178="Direct Expiry",$G3178,EDATE($G3178,$F3178)))),"Check Date")</f>
        <v/>
      </c>
      <c r="I3178" s="12" t="str">
        <f aca="true">IF($H3178="","",IF(ISNUMBER($H3178),$H3178-TODAY(),""))</f>
        <v/>
      </c>
      <c r="J3178" s="4" t="str">
        <f aca="true">IF($D3178="Manual Review","Manual Review",IF($G3178="","No Data",IF(NOT(ISNUMBER($H3178)),"N/A",IF($H3178&lt;TODAY(),"Overdue",IF($H3178&lt;=TODAY()+30,"Due within 1 Month",IF($H3178&lt;=TODAY()+60,"Due within 2 Months","OK"))))))</f>
        <v>No Data</v>
      </c>
      <c r="K3178" s="13"/>
    </row>
    <row r="3179" customFormat="false" ht="15" hidden="false" customHeight="false" outlineLevel="0" collapsed="false">
      <c r="A3179" s="9" t="str">
        <f aca="false">Vessels!B33</f>
        <v>Vessel 29</v>
      </c>
      <c r="B3179" s="9" t="s">
        <v>42</v>
      </c>
      <c r="C3179" s="7" t="s">
        <v>79</v>
      </c>
      <c r="D3179" s="9" t="s">
        <v>45</v>
      </c>
      <c r="E3179" s="9" t="s">
        <v>44</v>
      </c>
      <c r="F3179" s="5" t="n">
        <v>12</v>
      </c>
      <c r="G3179" s="10"/>
      <c r="H3179" s="11" t="str">
        <f aca="false">IFERROR(IF($D3179="Manual Review","",IF($G3179="","",IF($D3179="Direct Expiry",$G3179,EDATE($G3179,$F3179)))),"Check Date")</f>
        <v/>
      </c>
      <c r="I3179" s="12" t="str">
        <f aca="true">IF($H3179="","",IF(ISNUMBER($H3179),$H3179-TODAY(),""))</f>
        <v/>
      </c>
      <c r="J3179" s="4" t="str">
        <f aca="true">IF($D3179="Manual Review","Manual Review",IF($G3179="","No Data",IF(NOT(ISNUMBER($H3179)),"N/A",IF($H3179&lt;TODAY(),"Overdue",IF($H3179&lt;=TODAY()+30,"Due within 1 Month",IF($H3179&lt;=TODAY()+60,"Due within 2 Months","OK"))))))</f>
        <v>No Data</v>
      </c>
      <c r="K3179" s="13"/>
    </row>
    <row r="3180" customFormat="false" ht="15" hidden="false" customHeight="false" outlineLevel="0" collapsed="false">
      <c r="A3180" s="9" t="str">
        <f aca="false">Vessels!B33</f>
        <v>Vessel 29</v>
      </c>
      <c r="B3180" s="9" t="s">
        <v>42</v>
      </c>
      <c r="C3180" s="7" t="s">
        <v>80</v>
      </c>
      <c r="D3180" s="9" t="s">
        <v>45</v>
      </c>
      <c r="E3180" s="9" t="s">
        <v>81</v>
      </c>
      <c r="F3180" s="5" t="n">
        <v>36</v>
      </c>
      <c r="G3180" s="10"/>
      <c r="H3180" s="11" t="str">
        <f aca="false">IFERROR(IF($D3180="Manual Review","",IF($G3180="","",IF($D3180="Direct Expiry",$G3180,EDATE($G3180,$F3180)))),"Check Date")</f>
        <v/>
      </c>
      <c r="I3180" s="12" t="str">
        <f aca="true">IF($H3180="","",IF(ISNUMBER($H3180),$H3180-TODAY(),""))</f>
        <v/>
      </c>
      <c r="J3180" s="4" t="str">
        <f aca="true">IF($D3180="Manual Review","Manual Review",IF($G3180="","No Data",IF(NOT(ISNUMBER($H3180)),"N/A",IF($H3180&lt;TODAY(),"Overdue",IF($H3180&lt;=TODAY()+30,"Due within 1 Month",IF($H3180&lt;=TODAY()+60,"Due within 2 Months","OK"))))))</f>
        <v>No Data</v>
      </c>
      <c r="K3180" s="13"/>
    </row>
    <row r="3181" customFormat="false" ht="15" hidden="false" customHeight="false" outlineLevel="0" collapsed="false">
      <c r="A3181" s="9" t="str">
        <f aca="false">Vessels!B33</f>
        <v>Vessel 29</v>
      </c>
      <c r="B3181" s="9" t="s">
        <v>42</v>
      </c>
      <c r="C3181" s="7" t="s">
        <v>80</v>
      </c>
      <c r="D3181" s="9" t="s">
        <v>45</v>
      </c>
      <c r="E3181" s="9" t="s">
        <v>82</v>
      </c>
      <c r="F3181" s="5" t="n">
        <v>24</v>
      </c>
      <c r="G3181" s="10"/>
      <c r="H3181" s="11" t="str">
        <f aca="false">IFERROR(IF($D3181="Manual Review","",IF($G3181="","",IF($D3181="Direct Expiry",$G3181,EDATE($G3181,$F3181)))),"Check Date")</f>
        <v/>
      </c>
      <c r="I3181" s="12" t="str">
        <f aca="true">IF($H3181="","",IF(ISNUMBER($H3181),$H3181-TODAY(),""))</f>
        <v/>
      </c>
      <c r="J3181" s="4" t="str">
        <f aca="true">IF($D3181="Manual Review","Manual Review",IF($G3181="","No Data",IF(NOT(ISNUMBER($H3181)),"N/A",IF($H3181&lt;TODAY(),"Overdue",IF($H3181&lt;=TODAY()+30,"Due within 1 Month",IF($H3181&lt;=TODAY()+60,"Due within 2 Months","OK"))))))</f>
        <v>No Data</v>
      </c>
      <c r="K3181" s="13"/>
    </row>
    <row r="3182" customFormat="false" ht="15" hidden="false" customHeight="false" outlineLevel="0" collapsed="false">
      <c r="A3182" s="9" t="str">
        <f aca="false">Vessels!B33</f>
        <v>Vessel 29</v>
      </c>
      <c r="B3182" s="9" t="s">
        <v>42</v>
      </c>
      <c r="C3182" s="7" t="s">
        <v>83</v>
      </c>
      <c r="D3182" s="9" t="s">
        <v>45</v>
      </c>
      <c r="E3182" s="9" t="s">
        <v>44</v>
      </c>
      <c r="F3182" s="5" t="n">
        <v>12</v>
      </c>
      <c r="G3182" s="10"/>
      <c r="H3182" s="11" t="str">
        <f aca="false">IFERROR(IF($D3182="Manual Review","",IF($G3182="","",IF($D3182="Direct Expiry",$G3182,EDATE($G3182,$F3182)))),"Check Date")</f>
        <v/>
      </c>
      <c r="I3182" s="12" t="str">
        <f aca="true">IF($H3182="","",IF(ISNUMBER($H3182),$H3182-TODAY(),""))</f>
        <v/>
      </c>
      <c r="J3182" s="4" t="str">
        <f aca="true">IF($D3182="Manual Review","Manual Review",IF($G3182="","No Data",IF(NOT(ISNUMBER($H3182)),"N/A",IF($H3182&lt;TODAY(),"Overdue",IF($H3182&lt;=TODAY()+30,"Due within 1 Month",IF($H3182&lt;=TODAY()+60,"Due within 2 Months","OK"))))))</f>
        <v>No Data</v>
      </c>
      <c r="K3182" s="13"/>
    </row>
    <row r="3183" customFormat="false" ht="15" hidden="false" customHeight="false" outlineLevel="0" collapsed="false">
      <c r="A3183" s="9" t="str">
        <f aca="false">Vessels!B33</f>
        <v>Vessel 29</v>
      </c>
      <c r="B3183" s="9" t="s">
        <v>42</v>
      </c>
      <c r="C3183" s="7" t="s">
        <v>83</v>
      </c>
      <c r="D3183" s="9" t="s">
        <v>45</v>
      </c>
      <c r="E3183" s="9" t="s">
        <v>84</v>
      </c>
      <c r="F3183" s="5" t="n">
        <v>60</v>
      </c>
      <c r="G3183" s="10"/>
      <c r="H3183" s="11" t="str">
        <f aca="false">IFERROR(IF($D3183="Manual Review","",IF($G3183="","",IF($D3183="Direct Expiry",$G3183,EDATE($G3183,$F3183)))),"Check Date")</f>
        <v/>
      </c>
      <c r="I3183" s="12" t="str">
        <f aca="true">IF($H3183="","",IF(ISNUMBER($H3183),$H3183-TODAY(),""))</f>
        <v/>
      </c>
      <c r="J3183" s="4" t="str">
        <f aca="true">IF($D3183="Manual Review","Manual Review",IF($G3183="","No Data",IF(NOT(ISNUMBER($H3183)),"N/A",IF($H3183&lt;TODAY(),"Overdue",IF($H3183&lt;=TODAY()+30,"Due within 1 Month",IF($H3183&lt;=TODAY()+60,"Due within 2 Months","OK"))))))</f>
        <v>No Data</v>
      </c>
      <c r="K3183" s="13"/>
    </row>
    <row r="3184" customFormat="false" ht="15" hidden="false" customHeight="false" outlineLevel="0" collapsed="false">
      <c r="A3184" s="9" t="str">
        <f aca="false">Vessels!B33</f>
        <v>Vessel 29</v>
      </c>
      <c r="B3184" s="9" t="s">
        <v>42</v>
      </c>
      <c r="C3184" s="7" t="s">
        <v>85</v>
      </c>
      <c r="D3184" s="9" t="s">
        <v>45</v>
      </c>
      <c r="E3184" s="9" t="s">
        <v>44</v>
      </c>
      <c r="F3184" s="5" t="n">
        <v>12</v>
      </c>
      <c r="G3184" s="10"/>
      <c r="H3184" s="11" t="str">
        <f aca="false">IFERROR(IF($D3184="Manual Review","",IF($G3184="","",IF($D3184="Direct Expiry",$G3184,EDATE($G3184,$F3184)))),"Check Date")</f>
        <v/>
      </c>
      <c r="I3184" s="12" t="str">
        <f aca="true">IF($H3184="","",IF(ISNUMBER($H3184),$H3184-TODAY(),""))</f>
        <v/>
      </c>
      <c r="J3184" s="4" t="str">
        <f aca="true">IF($D3184="Manual Review","Manual Review",IF($G3184="","No Data",IF(NOT(ISNUMBER($H3184)),"N/A",IF($H3184&lt;TODAY(),"Overdue",IF($H3184&lt;=TODAY()+30,"Due within 1 Month",IF($H3184&lt;=TODAY()+60,"Due within 2 Months","OK"))))))</f>
        <v>No Data</v>
      </c>
      <c r="K3184" s="13"/>
    </row>
    <row r="3185" customFormat="false" ht="15" hidden="false" customHeight="false" outlineLevel="0" collapsed="false">
      <c r="A3185" s="9" t="str">
        <f aca="false">Vessels!B33</f>
        <v>Vessel 29</v>
      </c>
      <c r="B3185" s="9" t="s">
        <v>42</v>
      </c>
      <c r="C3185" s="7" t="s">
        <v>85</v>
      </c>
      <c r="D3185" s="9" t="s">
        <v>45</v>
      </c>
      <c r="E3185" s="9" t="s">
        <v>84</v>
      </c>
      <c r="F3185" s="5" t="n">
        <v>60</v>
      </c>
      <c r="G3185" s="10"/>
      <c r="H3185" s="11" t="str">
        <f aca="false">IFERROR(IF($D3185="Manual Review","",IF($G3185="","",IF($D3185="Direct Expiry",$G3185,EDATE($G3185,$F3185)))),"Check Date")</f>
        <v/>
      </c>
      <c r="I3185" s="12" t="str">
        <f aca="true">IF($H3185="","",IF(ISNUMBER($H3185),$H3185-TODAY(),""))</f>
        <v/>
      </c>
      <c r="J3185" s="4" t="str">
        <f aca="true">IF($D3185="Manual Review","Manual Review",IF($G3185="","No Data",IF(NOT(ISNUMBER($H3185)),"N/A",IF($H3185&lt;TODAY(),"Overdue",IF($H3185&lt;=TODAY()+30,"Due within 1 Month",IF($H3185&lt;=TODAY()+60,"Due within 2 Months","OK"))))))</f>
        <v>No Data</v>
      </c>
      <c r="K3185" s="13"/>
    </row>
    <row r="3186" customFormat="false" ht="15" hidden="false" customHeight="false" outlineLevel="0" collapsed="false">
      <c r="A3186" s="9" t="str">
        <f aca="false">Vessels!B33</f>
        <v>Vessel 29</v>
      </c>
      <c r="B3186" s="9" t="s">
        <v>42</v>
      </c>
      <c r="C3186" s="7" t="s">
        <v>86</v>
      </c>
      <c r="D3186" s="9" t="s">
        <v>45</v>
      </c>
      <c r="E3186" s="9" t="s">
        <v>44</v>
      </c>
      <c r="F3186" s="5" t="n">
        <v>12</v>
      </c>
      <c r="G3186" s="10"/>
      <c r="H3186" s="11" t="str">
        <f aca="false">IFERROR(IF($D3186="Manual Review","",IF($G3186="","",IF($D3186="Direct Expiry",$G3186,EDATE($G3186,$F3186)))),"Check Date")</f>
        <v/>
      </c>
      <c r="I3186" s="12" t="str">
        <f aca="true">IF($H3186="","",IF(ISNUMBER($H3186),$H3186-TODAY(),""))</f>
        <v/>
      </c>
      <c r="J3186" s="4" t="str">
        <f aca="true">IF($D3186="Manual Review","Manual Review",IF($G3186="","No Data",IF(NOT(ISNUMBER($H3186)),"N/A",IF($H3186&lt;TODAY(),"Overdue",IF($H3186&lt;=TODAY()+30,"Due within 1 Month",IF($H3186&lt;=TODAY()+60,"Due within 2 Months","OK"))))))</f>
        <v>No Data</v>
      </c>
      <c r="K3186" s="13"/>
    </row>
    <row r="3187" customFormat="false" ht="15" hidden="false" customHeight="false" outlineLevel="0" collapsed="false">
      <c r="A3187" s="9" t="str">
        <f aca="false">Vessels!B33</f>
        <v>Vessel 29</v>
      </c>
      <c r="B3187" s="9" t="s">
        <v>42</v>
      </c>
      <c r="C3187" s="7" t="s">
        <v>87</v>
      </c>
      <c r="D3187" s="9" t="s">
        <v>45</v>
      </c>
      <c r="E3187" s="9" t="s">
        <v>44</v>
      </c>
      <c r="F3187" s="5" t="n">
        <v>12</v>
      </c>
      <c r="G3187" s="10"/>
      <c r="H3187" s="11" t="str">
        <f aca="false">IFERROR(IF($D3187="Manual Review","",IF($G3187="","",IF($D3187="Direct Expiry",$G3187,EDATE($G3187,$F3187)))),"Check Date")</f>
        <v/>
      </c>
      <c r="I3187" s="12" t="str">
        <f aca="true">IF($H3187="","",IF(ISNUMBER($H3187),$H3187-TODAY(),""))</f>
        <v/>
      </c>
      <c r="J3187" s="4" t="str">
        <f aca="true">IF($D3187="Manual Review","Manual Review",IF($G3187="","No Data",IF(NOT(ISNUMBER($H3187)),"N/A",IF($H3187&lt;TODAY(),"Overdue",IF($H3187&lt;=TODAY()+30,"Due within 1 Month",IF($H3187&lt;=TODAY()+60,"Due within 2 Months","OK"))))))</f>
        <v>No Data</v>
      </c>
      <c r="K3187" s="13"/>
    </row>
    <row r="3188" customFormat="false" ht="15" hidden="false" customHeight="false" outlineLevel="0" collapsed="false">
      <c r="A3188" s="9" t="str">
        <f aca="false">Vessels!B33</f>
        <v>Vessel 29</v>
      </c>
      <c r="B3188" s="9" t="s">
        <v>88</v>
      </c>
      <c r="C3188" s="7" t="s">
        <v>89</v>
      </c>
      <c r="D3188" s="9" t="s">
        <v>45</v>
      </c>
      <c r="E3188" s="9" t="s">
        <v>90</v>
      </c>
      <c r="F3188" s="5" t="n">
        <v>36</v>
      </c>
      <c r="G3188" s="10"/>
      <c r="H3188" s="11" t="str">
        <f aca="false">IFERROR(IF($D3188="Manual Review","",IF($G3188="","",IF($D3188="Direct Expiry",$G3188,EDATE($G3188,$F3188)))),"Check Date")</f>
        <v/>
      </c>
      <c r="I3188" s="12" t="str">
        <f aca="true">IF($H3188="","",IF(ISNUMBER($H3188),$H3188-TODAY(),""))</f>
        <v/>
      </c>
      <c r="J3188" s="4" t="str">
        <f aca="true">IF($D3188="Manual Review","Manual Review",IF($G3188="","No Data",IF(NOT(ISNUMBER($H3188)),"N/A",IF($H3188&lt;TODAY(),"Overdue",IF($H3188&lt;=TODAY()+30,"Due within 1 Month",IF($H3188&lt;=TODAY()+60,"Due within 2 Months","OK"))))))</f>
        <v>No Data</v>
      </c>
      <c r="K3188" s="13"/>
    </row>
    <row r="3189" customFormat="false" ht="15" hidden="false" customHeight="false" outlineLevel="0" collapsed="false">
      <c r="A3189" s="9" t="str">
        <f aca="false">Vessels!B33</f>
        <v>Vessel 29</v>
      </c>
      <c r="B3189" s="9" t="s">
        <v>88</v>
      </c>
      <c r="C3189" s="7" t="s">
        <v>91</v>
      </c>
      <c r="D3189" s="9" t="s">
        <v>45</v>
      </c>
      <c r="E3189" s="9" t="s">
        <v>44</v>
      </c>
      <c r="F3189" s="5" t="n">
        <v>12</v>
      </c>
      <c r="G3189" s="10"/>
      <c r="H3189" s="11" t="str">
        <f aca="false">IFERROR(IF($D3189="Manual Review","",IF($G3189="","",IF($D3189="Direct Expiry",$G3189,EDATE($G3189,$F3189)))),"Check Date")</f>
        <v/>
      </c>
      <c r="I3189" s="12" t="str">
        <f aca="true">IF($H3189="","",IF(ISNUMBER($H3189),$H3189-TODAY(),""))</f>
        <v/>
      </c>
      <c r="J3189" s="4" t="str">
        <f aca="true">IF($D3189="Manual Review","Manual Review",IF($G3189="","No Data",IF(NOT(ISNUMBER($H3189)),"N/A",IF($H3189&lt;TODAY(),"Overdue",IF($H3189&lt;=TODAY()+30,"Due within 1 Month",IF($H3189&lt;=TODAY()+60,"Due within 2 Months","OK"))))))</f>
        <v>No Data</v>
      </c>
      <c r="K3189" s="13"/>
    </row>
    <row r="3190" customFormat="false" ht="15" hidden="false" customHeight="false" outlineLevel="0" collapsed="false">
      <c r="A3190" s="9" t="str">
        <f aca="false">Vessels!B33</f>
        <v>Vessel 29</v>
      </c>
      <c r="B3190" s="9" t="s">
        <v>88</v>
      </c>
      <c r="C3190" s="7" t="s">
        <v>91</v>
      </c>
      <c r="D3190" s="9" t="s">
        <v>45</v>
      </c>
      <c r="E3190" s="9" t="s">
        <v>92</v>
      </c>
      <c r="F3190" s="5" t="n">
        <v>120</v>
      </c>
      <c r="G3190" s="10"/>
      <c r="H3190" s="11" t="str">
        <f aca="false">IFERROR(IF($D3190="Manual Review","",IF($G3190="","",IF($D3190="Direct Expiry",$G3190,EDATE($G3190,$F3190)))),"Check Date")</f>
        <v/>
      </c>
      <c r="I3190" s="12" t="str">
        <f aca="true">IF($H3190="","",IF(ISNUMBER($H3190),$H3190-TODAY(),""))</f>
        <v/>
      </c>
      <c r="J3190" s="4" t="str">
        <f aca="true">IF($D3190="Manual Review","Manual Review",IF($G3190="","No Data",IF(NOT(ISNUMBER($H3190)),"N/A",IF($H3190&lt;TODAY(),"Overdue",IF($H3190&lt;=TODAY()+30,"Due within 1 Month",IF($H3190&lt;=TODAY()+60,"Due within 2 Months","OK"))))))</f>
        <v>No Data</v>
      </c>
      <c r="K3190" s="13"/>
    </row>
    <row r="3191" customFormat="false" ht="15" hidden="false" customHeight="false" outlineLevel="0" collapsed="false">
      <c r="A3191" s="9" t="str">
        <f aca="false">Vessels!B33</f>
        <v>Vessel 29</v>
      </c>
      <c r="B3191" s="9" t="s">
        <v>88</v>
      </c>
      <c r="C3191" s="7" t="s">
        <v>93</v>
      </c>
      <c r="D3191" s="9" t="s">
        <v>45</v>
      </c>
      <c r="E3191" s="9" t="s">
        <v>44</v>
      </c>
      <c r="F3191" s="5" t="n">
        <v>12</v>
      </c>
      <c r="G3191" s="10"/>
      <c r="H3191" s="11" t="str">
        <f aca="false">IFERROR(IF($D3191="Manual Review","",IF($G3191="","",IF($D3191="Direct Expiry",$G3191,EDATE($G3191,$F3191)))),"Check Date")</f>
        <v/>
      </c>
      <c r="I3191" s="12" t="str">
        <f aca="true">IF($H3191="","",IF(ISNUMBER($H3191),$H3191-TODAY(),""))</f>
        <v/>
      </c>
      <c r="J3191" s="4" t="str">
        <f aca="true">IF($D3191="Manual Review","Manual Review",IF($G3191="","No Data",IF(NOT(ISNUMBER($H3191)),"N/A",IF($H3191&lt;TODAY(),"Overdue",IF($H3191&lt;=TODAY()+30,"Due within 1 Month",IF($H3191&lt;=TODAY()+60,"Due within 2 Months","OK"))))))</f>
        <v>No Data</v>
      </c>
      <c r="K3191" s="13"/>
    </row>
    <row r="3192" customFormat="false" ht="15" hidden="false" customHeight="false" outlineLevel="0" collapsed="false">
      <c r="A3192" s="9" t="str">
        <f aca="false">Vessels!B33</f>
        <v>Vessel 29</v>
      </c>
      <c r="B3192" s="9" t="s">
        <v>88</v>
      </c>
      <c r="C3192" s="7" t="s">
        <v>93</v>
      </c>
      <c r="D3192" s="9" t="s">
        <v>45</v>
      </c>
      <c r="E3192" s="9" t="s">
        <v>92</v>
      </c>
      <c r="F3192" s="5" t="n">
        <v>120</v>
      </c>
      <c r="G3192" s="10"/>
      <c r="H3192" s="11" t="str">
        <f aca="false">IFERROR(IF($D3192="Manual Review","",IF($G3192="","",IF($D3192="Direct Expiry",$G3192,EDATE($G3192,$F3192)))),"Check Date")</f>
        <v/>
      </c>
      <c r="I3192" s="12" t="str">
        <f aca="true">IF($H3192="","",IF(ISNUMBER($H3192),$H3192-TODAY(),""))</f>
        <v/>
      </c>
      <c r="J3192" s="4" t="str">
        <f aca="true">IF($D3192="Manual Review","Manual Review",IF($G3192="","No Data",IF(NOT(ISNUMBER($H3192)),"N/A",IF($H3192&lt;TODAY(),"Overdue",IF($H3192&lt;=TODAY()+30,"Due within 1 Month",IF($H3192&lt;=TODAY()+60,"Due within 2 Months","OK"))))))</f>
        <v>No Data</v>
      </c>
      <c r="K3192" s="13"/>
    </row>
    <row r="3193" customFormat="false" ht="15" hidden="false" customHeight="false" outlineLevel="0" collapsed="false">
      <c r="A3193" s="9" t="str">
        <f aca="false">Vessels!B33</f>
        <v>Vessel 29</v>
      </c>
      <c r="B3193" s="9" t="s">
        <v>88</v>
      </c>
      <c r="C3193" s="7" t="s">
        <v>94</v>
      </c>
      <c r="D3193" s="9" t="s">
        <v>45</v>
      </c>
      <c r="E3193" s="9" t="s">
        <v>44</v>
      </c>
      <c r="F3193" s="5" t="n">
        <v>12</v>
      </c>
      <c r="G3193" s="10"/>
      <c r="H3193" s="11" t="str">
        <f aca="false">IFERROR(IF($D3193="Manual Review","",IF($G3193="","",IF($D3193="Direct Expiry",$G3193,EDATE($G3193,$F3193)))),"Check Date")</f>
        <v/>
      </c>
      <c r="I3193" s="12" t="str">
        <f aca="true">IF($H3193="","",IF(ISNUMBER($H3193),$H3193-TODAY(),""))</f>
        <v/>
      </c>
      <c r="J3193" s="4" t="str">
        <f aca="true">IF($D3193="Manual Review","Manual Review",IF($G3193="","No Data",IF(NOT(ISNUMBER($H3193)),"N/A",IF($H3193&lt;TODAY(),"Overdue",IF($H3193&lt;=TODAY()+30,"Due within 1 Month",IF($H3193&lt;=TODAY()+60,"Due within 2 Months","OK"))))))</f>
        <v>No Data</v>
      </c>
      <c r="K3193" s="13"/>
    </row>
    <row r="3194" customFormat="false" ht="15" hidden="false" customHeight="false" outlineLevel="0" collapsed="false">
      <c r="A3194" s="9" t="str">
        <f aca="false">Vessels!B33</f>
        <v>Vessel 29</v>
      </c>
      <c r="B3194" s="9" t="s">
        <v>88</v>
      </c>
      <c r="C3194" s="7" t="s">
        <v>94</v>
      </c>
      <c r="D3194" s="9" t="s">
        <v>45</v>
      </c>
      <c r="E3194" s="9" t="s">
        <v>92</v>
      </c>
      <c r="F3194" s="5" t="n">
        <v>120</v>
      </c>
      <c r="G3194" s="10"/>
      <c r="H3194" s="11" t="str">
        <f aca="false">IFERROR(IF($D3194="Manual Review","",IF($G3194="","",IF($D3194="Direct Expiry",$G3194,EDATE($G3194,$F3194)))),"Check Date")</f>
        <v/>
      </c>
      <c r="I3194" s="12" t="str">
        <f aca="true">IF($H3194="","",IF(ISNUMBER($H3194),$H3194-TODAY(),""))</f>
        <v/>
      </c>
      <c r="J3194" s="4" t="str">
        <f aca="true">IF($D3194="Manual Review","Manual Review",IF($G3194="","No Data",IF(NOT(ISNUMBER($H3194)),"N/A",IF($H3194&lt;TODAY(),"Overdue",IF($H3194&lt;=TODAY()+30,"Due within 1 Month",IF($H3194&lt;=TODAY()+60,"Due within 2 Months","OK"))))))</f>
        <v>No Data</v>
      </c>
      <c r="K3194" s="13"/>
    </row>
    <row r="3195" customFormat="false" ht="15" hidden="false" customHeight="false" outlineLevel="0" collapsed="false">
      <c r="A3195" s="9" t="str">
        <f aca="false">Vessels!B33</f>
        <v>Vessel 29</v>
      </c>
      <c r="B3195" s="9" t="s">
        <v>88</v>
      </c>
      <c r="C3195" s="7" t="s">
        <v>95</v>
      </c>
      <c r="D3195" s="9" t="s">
        <v>45</v>
      </c>
      <c r="E3195" s="9" t="s">
        <v>44</v>
      </c>
      <c r="F3195" s="5" t="n">
        <v>12</v>
      </c>
      <c r="G3195" s="10"/>
      <c r="H3195" s="11" t="str">
        <f aca="false">IFERROR(IF($D3195="Manual Review","",IF($G3195="","",IF($D3195="Direct Expiry",$G3195,EDATE($G3195,$F3195)))),"Check Date")</f>
        <v/>
      </c>
      <c r="I3195" s="12" t="str">
        <f aca="true">IF($H3195="","",IF(ISNUMBER($H3195),$H3195-TODAY(),""))</f>
        <v/>
      </c>
      <c r="J3195" s="4" t="str">
        <f aca="true">IF($D3195="Manual Review","Manual Review",IF($G3195="","No Data",IF(NOT(ISNUMBER($H3195)),"N/A",IF($H3195&lt;TODAY(),"Overdue",IF($H3195&lt;=TODAY()+30,"Due within 1 Month",IF($H3195&lt;=TODAY()+60,"Due within 2 Months","OK"))))))</f>
        <v>No Data</v>
      </c>
      <c r="K3195" s="13"/>
    </row>
    <row r="3196" customFormat="false" ht="15" hidden="false" customHeight="false" outlineLevel="0" collapsed="false">
      <c r="A3196" s="9" t="str">
        <f aca="false">Vessels!B33</f>
        <v>Vessel 29</v>
      </c>
      <c r="B3196" s="9" t="s">
        <v>88</v>
      </c>
      <c r="C3196" s="7" t="s">
        <v>95</v>
      </c>
      <c r="D3196" s="9" t="s">
        <v>45</v>
      </c>
      <c r="E3196" s="9" t="s">
        <v>92</v>
      </c>
      <c r="F3196" s="5" t="n">
        <v>120</v>
      </c>
      <c r="G3196" s="10"/>
      <c r="H3196" s="11" t="str">
        <f aca="false">IFERROR(IF($D3196="Manual Review","",IF($G3196="","",IF($D3196="Direct Expiry",$G3196,EDATE($G3196,$F3196)))),"Check Date")</f>
        <v/>
      </c>
      <c r="I3196" s="12" t="str">
        <f aca="true">IF($H3196="","",IF(ISNUMBER($H3196),$H3196-TODAY(),""))</f>
        <v/>
      </c>
      <c r="J3196" s="4" t="str">
        <f aca="true">IF($D3196="Manual Review","Manual Review",IF($G3196="","No Data",IF(NOT(ISNUMBER($H3196)),"N/A",IF($H3196&lt;TODAY(),"Overdue",IF($H3196&lt;=TODAY()+30,"Due within 1 Month",IF($H3196&lt;=TODAY()+60,"Due within 2 Months","OK"))))))</f>
        <v>No Data</v>
      </c>
      <c r="K3196" s="13"/>
    </row>
    <row r="3197" customFormat="false" ht="15" hidden="false" customHeight="false" outlineLevel="0" collapsed="false">
      <c r="A3197" s="9" t="str">
        <f aca="false">Vessels!B33</f>
        <v>Vessel 29</v>
      </c>
      <c r="B3197" s="9" t="s">
        <v>88</v>
      </c>
      <c r="C3197" s="7" t="s">
        <v>96</v>
      </c>
      <c r="D3197" s="9" t="s">
        <v>45</v>
      </c>
      <c r="E3197" s="9" t="s">
        <v>44</v>
      </c>
      <c r="F3197" s="5" t="n">
        <v>12</v>
      </c>
      <c r="G3197" s="10"/>
      <c r="H3197" s="11" t="str">
        <f aca="false">IFERROR(IF($D3197="Manual Review","",IF($G3197="","",IF($D3197="Direct Expiry",$G3197,EDATE($G3197,$F3197)))),"Check Date")</f>
        <v/>
      </c>
      <c r="I3197" s="12" t="str">
        <f aca="true">IF($H3197="","",IF(ISNUMBER($H3197),$H3197-TODAY(),""))</f>
        <v/>
      </c>
      <c r="J3197" s="4" t="str">
        <f aca="true">IF($D3197="Manual Review","Manual Review",IF($G3197="","No Data",IF(NOT(ISNUMBER($H3197)),"N/A",IF($H3197&lt;TODAY(),"Overdue",IF($H3197&lt;=TODAY()+30,"Due within 1 Month",IF($H3197&lt;=TODAY()+60,"Due within 2 Months","OK"))))))</f>
        <v>No Data</v>
      </c>
      <c r="K3197" s="13"/>
    </row>
    <row r="3198" customFormat="false" ht="15" hidden="false" customHeight="false" outlineLevel="0" collapsed="false">
      <c r="A3198" s="9" t="str">
        <f aca="false">Vessels!B33</f>
        <v>Vessel 29</v>
      </c>
      <c r="B3198" s="9" t="s">
        <v>88</v>
      </c>
      <c r="C3198" s="7" t="s">
        <v>96</v>
      </c>
      <c r="D3198" s="9" t="s">
        <v>45</v>
      </c>
      <c r="E3198" s="9" t="s">
        <v>97</v>
      </c>
      <c r="F3198" s="5" t="n">
        <v>120</v>
      </c>
      <c r="G3198" s="10"/>
      <c r="H3198" s="11" t="str">
        <f aca="false">IFERROR(IF($D3198="Manual Review","",IF($G3198="","",IF($D3198="Direct Expiry",$G3198,EDATE($G3198,$F3198)))),"Check Date")</f>
        <v/>
      </c>
      <c r="I3198" s="12" t="str">
        <f aca="true">IF($H3198="","",IF(ISNUMBER($H3198),$H3198-TODAY(),""))</f>
        <v/>
      </c>
      <c r="J3198" s="4" t="str">
        <f aca="true">IF($D3198="Manual Review","Manual Review",IF($G3198="","No Data",IF(NOT(ISNUMBER($H3198)),"N/A",IF($H3198&lt;TODAY(),"Overdue",IF($H3198&lt;=TODAY()+30,"Due within 1 Month",IF($H3198&lt;=TODAY()+60,"Due within 2 Months","OK"))))))</f>
        <v>No Data</v>
      </c>
      <c r="K3198" s="13"/>
    </row>
    <row r="3199" customFormat="false" ht="15" hidden="false" customHeight="false" outlineLevel="0" collapsed="false">
      <c r="A3199" s="9" t="str">
        <f aca="false">Vessels!B33</f>
        <v>Vessel 29</v>
      </c>
      <c r="B3199" s="9" t="s">
        <v>88</v>
      </c>
      <c r="C3199" s="7" t="s">
        <v>98</v>
      </c>
      <c r="D3199" s="9" t="s">
        <v>45</v>
      </c>
      <c r="E3199" s="9" t="s">
        <v>44</v>
      </c>
      <c r="F3199" s="5" t="n">
        <v>12</v>
      </c>
      <c r="G3199" s="10"/>
      <c r="H3199" s="11" t="str">
        <f aca="false">IFERROR(IF($D3199="Manual Review","",IF($G3199="","",IF($D3199="Direct Expiry",$G3199,EDATE($G3199,$F3199)))),"Check Date")</f>
        <v/>
      </c>
      <c r="I3199" s="12" t="str">
        <f aca="true">IF($H3199="","",IF(ISNUMBER($H3199),$H3199-TODAY(),""))</f>
        <v/>
      </c>
      <c r="J3199" s="4" t="str">
        <f aca="true">IF($D3199="Manual Review","Manual Review",IF($G3199="","No Data",IF(NOT(ISNUMBER($H3199)),"N/A",IF($H3199&lt;TODAY(),"Overdue",IF($H3199&lt;=TODAY()+30,"Due within 1 Month",IF($H3199&lt;=TODAY()+60,"Due within 2 Months","OK"))))))</f>
        <v>No Data</v>
      </c>
      <c r="K3199" s="13"/>
    </row>
    <row r="3200" customFormat="false" ht="15" hidden="false" customHeight="false" outlineLevel="0" collapsed="false">
      <c r="A3200" s="9" t="str">
        <f aca="false">Vessels!B33</f>
        <v>Vessel 29</v>
      </c>
      <c r="B3200" s="9" t="s">
        <v>88</v>
      </c>
      <c r="C3200" s="7" t="s">
        <v>98</v>
      </c>
      <c r="D3200" s="9" t="s">
        <v>45</v>
      </c>
      <c r="E3200" s="9" t="s">
        <v>99</v>
      </c>
      <c r="F3200" s="5" t="n">
        <v>60</v>
      </c>
      <c r="G3200" s="10"/>
      <c r="H3200" s="11" t="str">
        <f aca="false">IFERROR(IF($D3200="Manual Review","",IF($G3200="","",IF($D3200="Direct Expiry",$G3200,EDATE($G3200,$F3200)))),"Check Date")</f>
        <v/>
      </c>
      <c r="I3200" s="12" t="str">
        <f aca="true">IF($H3200="","",IF(ISNUMBER($H3200),$H3200-TODAY(),""))</f>
        <v/>
      </c>
      <c r="J3200" s="4" t="str">
        <f aca="true">IF($D3200="Manual Review","Manual Review",IF($G3200="","No Data",IF(NOT(ISNUMBER($H3200)),"N/A",IF($H3200&lt;TODAY(),"Overdue",IF($H3200&lt;=TODAY()+30,"Due within 1 Month",IF($H3200&lt;=TODAY()+60,"Due within 2 Months","OK"))))))</f>
        <v>No Data</v>
      </c>
      <c r="K3200" s="13"/>
    </row>
    <row r="3201" customFormat="false" ht="15" hidden="false" customHeight="false" outlineLevel="0" collapsed="false">
      <c r="A3201" s="9" t="str">
        <f aca="false">Vessels!B33</f>
        <v>Vessel 29</v>
      </c>
      <c r="B3201" s="9" t="s">
        <v>88</v>
      </c>
      <c r="C3201" s="7" t="s">
        <v>100</v>
      </c>
      <c r="D3201" s="9" t="s">
        <v>45</v>
      </c>
      <c r="E3201" s="9" t="s">
        <v>44</v>
      </c>
      <c r="F3201" s="5" t="n">
        <v>12</v>
      </c>
      <c r="G3201" s="10"/>
      <c r="H3201" s="11" t="str">
        <f aca="false">IFERROR(IF($D3201="Manual Review","",IF($G3201="","",IF($D3201="Direct Expiry",$G3201,EDATE($G3201,$F3201)))),"Check Date")</f>
        <v/>
      </c>
      <c r="I3201" s="12" t="str">
        <f aca="true">IF($H3201="","",IF(ISNUMBER($H3201),$H3201-TODAY(),""))</f>
        <v/>
      </c>
      <c r="J3201" s="4" t="str">
        <f aca="true">IF($D3201="Manual Review","Manual Review",IF($G3201="","No Data",IF(NOT(ISNUMBER($H3201)),"N/A",IF($H3201&lt;TODAY(),"Overdue",IF($H3201&lt;=TODAY()+30,"Due within 1 Month",IF($H3201&lt;=TODAY()+60,"Due within 2 Months","OK"))))))</f>
        <v>No Data</v>
      </c>
      <c r="K3201" s="13"/>
    </row>
    <row r="3202" customFormat="false" ht="15" hidden="false" customHeight="false" outlineLevel="0" collapsed="false">
      <c r="A3202" s="9" t="str">
        <f aca="false">Vessels!B33</f>
        <v>Vessel 29</v>
      </c>
      <c r="B3202" s="9" t="s">
        <v>88</v>
      </c>
      <c r="C3202" s="7" t="s">
        <v>100</v>
      </c>
      <c r="D3202" s="9" t="s">
        <v>45</v>
      </c>
      <c r="E3202" s="9" t="s">
        <v>99</v>
      </c>
      <c r="F3202" s="5" t="n">
        <v>60</v>
      </c>
      <c r="G3202" s="10"/>
      <c r="H3202" s="11" t="str">
        <f aca="false">IFERROR(IF($D3202="Manual Review","",IF($G3202="","",IF($D3202="Direct Expiry",$G3202,EDATE($G3202,$F3202)))),"Check Date")</f>
        <v/>
      </c>
      <c r="I3202" s="12" t="str">
        <f aca="true">IF($H3202="","",IF(ISNUMBER($H3202),$H3202-TODAY(),""))</f>
        <v/>
      </c>
      <c r="J3202" s="4" t="str">
        <f aca="true">IF($D3202="Manual Review","Manual Review",IF($G3202="","No Data",IF(NOT(ISNUMBER($H3202)),"N/A",IF($H3202&lt;TODAY(),"Overdue",IF($H3202&lt;=TODAY()+30,"Due within 1 Month",IF($H3202&lt;=TODAY()+60,"Due within 2 Months","OK"))))))</f>
        <v>No Data</v>
      </c>
      <c r="K3202" s="13"/>
    </row>
    <row r="3203" customFormat="false" ht="15" hidden="false" customHeight="false" outlineLevel="0" collapsed="false">
      <c r="A3203" s="9" t="str">
        <f aca="false">Vessels!B33</f>
        <v>Vessel 29</v>
      </c>
      <c r="B3203" s="9" t="s">
        <v>88</v>
      </c>
      <c r="C3203" s="7" t="s">
        <v>101</v>
      </c>
      <c r="D3203" s="9" t="s">
        <v>45</v>
      </c>
      <c r="E3203" s="9" t="s">
        <v>44</v>
      </c>
      <c r="F3203" s="5" t="n">
        <v>12</v>
      </c>
      <c r="G3203" s="10"/>
      <c r="H3203" s="11" t="str">
        <f aca="false">IFERROR(IF($D3203="Manual Review","",IF($G3203="","",IF($D3203="Direct Expiry",$G3203,EDATE($G3203,$F3203)))),"Check Date")</f>
        <v/>
      </c>
      <c r="I3203" s="12" t="str">
        <f aca="true">IF($H3203="","",IF(ISNUMBER($H3203),$H3203-TODAY(),""))</f>
        <v/>
      </c>
      <c r="J3203" s="4" t="str">
        <f aca="true">IF($D3203="Manual Review","Manual Review",IF($G3203="","No Data",IF(NOT(ISNUMBER($H3203)),"N/A",IF($H3203&lt;TODAY(),"Overdue",IF($H3203&lt;=TODAY()+30,"Due within 1 Month",IF($H3203&lt;=TODAY()+60,"Due within 2 Months","OK"))))))</f>
        <v>No Data</v>
      </c>
      <c r="K3203" s="13"/>
    </row>
    <row r="3204" customFormat="false" ht="23.85" hidden="false" customHeight="false" outlineLevel="0" collapsed="false">
      <c r="A3204" s="9" t="str">
        <f aca="false">Vessels!B33</f>
        <v>Vessel 29</v>
      </c>
      <c r="B3204" s="9" t="s">
        <v>88</v>
      </c>
      <c r="C3204" s="7" t="s">
        <v>102</v>
      </c>
      <c r="D3204" s="9" t="s">
        <v>45</v>
      </c>
      <c r="E3204" s="9" t="s">
        <v>44</v>
      </c>
      <c r="F3204" s="5" t="n">
        <v>12</v>
      </c>
      <c r="G3204" s="10"/>
      <c r="H3204" s="11" t="str">
        <f aca="false">IFERROR(IF($D3204="Manual Review","",IF($G3204="","",IF($D3204="Direct Expiry",$G3204,EDATE($G3204,$F3204)))),"Check Date")</f>
        <v/>
      </c>
      <c r="I3204" s="12" t="str">
        <f aca="true">IF($H3204="","",IF(ISNUMBER($H3204),$H3204-TODAY(),""))</f>
        <v/>
      </c>
      <c r="J3204" s="4" t="str">
        <f aca="true">IF($D3204="Manual Review","Manual Review",IF($G3204="","No Data",IF(NOT(ISNUMBER($H3204)),"N/A",IF($H3204&lt;TODAY(),"Overdue",IF($H3204&lt;=TODAY()+30,"Due within 1 Month",IF($H3204&lt;=TODAY()+60,"Due within 2 Months","OK"))))))</f>
        <v>No Data</v>
      </c>
      <c r="K3204" s="13"/>
    </row>
    <row r="3205" customFormat="false" ht="23.85" hidden="false" customHeight="false" outlineLevel="0" collapsed="false">
      <c r="A3205" s="9" t="str">
        <f aca="false">Vessels!B33</f>
        <v>Vessel 29</v>
      </c>
      <c r="B3205" s="9" t="s">
        <v>88</v>
      </c>
      <c r="C3205" s="7" t="s">
        <v>102</v>
      </c>
      <c r="D3205" s="9" t="s">
        <v>45</v>
      </c>
      <c r="E3205" s="9" t="s">
        <v>97</v>
      </c>
      <c r="F3205" s="5" t="n">
        <v>120</v>
      </c>
      <c r="G3205" s="10"/>
      <c r="H3205" s="11" t="str">
        <f aca="false">IFERROR(IF($D3205="Manual Review","",IF($G3205="","",IF($D3205="Direct Expiry",$G3205,EDATE($G3205,$F3205)))),"Check Date")</f>
        <v/>
      </c>
      <c r="I3205" s="12" t="str">
        <f aca="true">IF($H3205="","",IF(ISNUMBER($H3205),$H3205-TODAY(),""))</f>
        <v/>
      </c>
      <c r="J3205" s="4" t="str">
        <f aca="true">IF($D3205="Manual Review","Manual Review",IF($G3205="","No Data",IF(NOT(ISNUMBER($H3205)),"N/A",IF($H3205&lt;TODAY(),"Overdue",IF($H3205&lt;=TODAY()+30,"Due within 1 Month",IF($H3205&lt;=TODAY()+60,"Due within 2 Months","OK"))))))</f>
        <v>No Data</v>
      </c>
      <c r="K3205" s="13"/>
    </row>
    <row r="3206" customFormat="false" ht="15" hidden="false" customHeight="false" outlineLevel="0" collapsed="false">
      <c r="A3206" s="9" t="str">
        <f aca="false">Vessels!B33</f>
        <v>Vessel 29</v>
      </c>
      <c r="B3206" s="9" t="s">
        <v>88</v>
      </c>
      <c r="C3206" s="7" t="s">
        <v>103</v>
      </c>
      <c r="D3206" s="9" t="s">
        <v>45</v>
      </c>
      <c r="E3206" s="9" t="s">
        <v>44</v>
      </c>
      <c r="F3206" s="5" t="n">
        <v>12</v>
      </c>
      <c r="G3206" s="10"/>
      <c r="H3206" s="11" t="str">
        <f aca="false">IFERROR(IF($D3206="Manual Review","",IF($G3206="","",IF($D3206="Direct Expiry",$G3206,EDATE($G3206,$F3206)))),"Check Date")</f>
        <v/>
      </c>
      <c r="I3206" s="12" t="str">
        <f aca="true">IF($H3206="","",IF(ISNUMBER($H3206),$H3206-TODAY(),""))</f>
        <v/>
      </c>
      <c r="J3206" s="4" t="str">
        <f aca="true">IF($D3206="Manual Review","Manual Review",IF($G3206="","No Data",IF(NOT(ISNUMBER($H3206)),"N/A",IF($H3206&lt;TODAY(),"Overdue",IF($H3206&lt;=TODAY()+30,"Due within 1 Month",IF($H3206&lt;=TODAY()+60,"Due within 2 Months","OK"))))))</f>
        <v>No Data</v>
      </c>
      <c r="K3206" s="13"/>
    </row>
    <row r="3207" customFormat="false" ht="15" hidden="false" customHeight="false" outlineLevel="0" collapsed="false">
      <c r="A3207" s="9" t="str">
        <f aca="false">Vessels!B33</f>
        <v>Vessel 29</v>
      </c>
      <c r="B3207" s="9" t="s">
        <v>88</v>
      </c>
      <c r="C3207" s="7" t="s">
        <v>103</v>
      </c>
      <c r="D3207" s="9" t="s">
        <v>45</v>
      </c>
      <c r="E3207" s="9" t="s">
        <v>97</v>
      </c>
      <c r="F3207" s="5" t="n">
        <v>120</v>
      </c>
      <c r="G3207" s="10"/>
      <c r="H3207" s="11" t="str">
        <f aca="false">IFERROR(IF($D3207="Manual Review","",IF($G3207="","",IF($D3207="Direct Expiry",$G3207,EDATE($G3207,$F3207)))),"Check Date")</f>
        <v/>
      </c>
      <c r="I3207" s="12" t="str">
        <f aca="true">IF($H3207="","",IF(ISNUMBER($H3207),$H3207-TODAY(),""))</f>
        <v/>
      </c>
      <c r="J3207" s="4" t="str">
        <f aca="true">IF($D3207="Manual Review","Manual Review",IF($G3207="","No Data",IF(NOT(ISNUMBER($H3207)),"N/A",IF($H3207&lt;TODAY(),"Overdue",IF($H3207&lt;=TODAY()+30,"Due within 1 Month",IF($H3207&lt;=TODAY()+60,"Due within 2 Months","OK"))))))</f>
        <v>No Data</v>
      </c>
      <c r="K3207" s="13"/>
    </row>
    <row r="3208" customFormat="false" ht="15" hidden="false" customHeight="false" outlineLevel="0" collapsed="false">
      <c r="A3208" s="9" t="str">
        <f aca="false">Vessels!B33</f>
        <v>Vessel 29</v>
      </c>
      <c r="B3208" s="9" t="s">
        <v>88</v>
      </c>
      <c r="C3208" s="7" t="s">
        <v>104</v>
      </c>
      <c r="D3208" s="9" t="s">
        <v>45</v>
      </c>
      <c r="E3208" s="9" t="s">
        <v>44</v>
      </c>
      <c r="F3208" s="5" t="n">
        <v>12</v>
      </c>
      <c r="G3208" s="10"/>
      <c r="H3208" s="11" t="str">
        <f aca="false">IFERROR(IF($D3208="Manual Review","",IF($G3208="","",IF($D3208="Direct Expiry",$G3208,EDATE($G3208,$F3208)))),"Check Date")</f>
        <v/>
      </c>
      <c r="I3208" s="12" t="str">
        <f aca="true">IF($H3208="","",IF(ISNUMBER($H3208),$H3208-TODAY(),""))</f>
        <v/>
      </c>
      <c r="J3208" s="4" t="str">
        <f aca="true">IF($D3208="Manual Review","Manual Review",IF($G3208="","No Data",IF(NOT(ISNUMBER($H3208)),"N/A",IF($H3208&lt;TODAY(),"Overdue",IF($H3208&lt;=TODAY()+30,"Due within 1 Month",IF($H3208&lt;=TODAY()+60,"Due within 2 Months","OK"))))))</f>
        <v>No Data</v>
      </c>
      <c r="K3208" s="13"/>
    </row>
    <row r="3209" customFormat="false" ht="15" hidden="false" customHeight="false" outlineLevel="0" collapsed="false">
      <c r="A3209" s="9" t="str">
        <f aca="false">Vessels!B33</f>
        <v>Vessel 29</v>
      </c>
      <c r="B3209" s="9" t="s">
        <v>88</v>
      </c>
      <c r="C3209" s="7" t="s">
        <v>105</v>
      </c>
      <c r="D3209" s="9" t="s">
        <v>45</v>
      </c>
      <c r="E3209" s="9" t="s">
        <v>44</v>
      </c>
      <c r="F3209" s="5" t="n">
        <v>12</v>
      </c>
      <c r="G3209" s="10"/>
      <c r="H3209" s="11" t="str">
        <f aca="false">IFERROR(IF($D3209="Manual Review","",IF($G3209="","",IF($D3209="Direct Expiry",$G3209,EDATE($G3209,$F3209)))),"Check Date")</f>
        <v/>
      </c>
      <c r="I3209" s="12" t="str">
        <f aca="true">IF($H3209="","",IF(ISNUMBER($H3209),$H3209-TODAY(),""))</f>
        <v/>
      </c>
      <c r="J3209" s="4" t="str">
        <f aca="true">IF($D3209="Manual Review","Manual Review",IF($G3209="","No Data",IF(NOT(ISNUMBER($H3209)),"N/A",IF($H3209&lt;TODAY(),"Overdue",IF($H3209&lt;=TODAY()+30,"Due within 1 Month",IF($H3209&lt;=TODAY()+60,"Due within 2 Months","OK"))))))</f>
        <v>No Data</v>
      </c>
      <c r="K3209" s="13"/>
    </row>
    <row r="3210" customFormat="false" ht="15" hidden="false" customHeight="false" outlineLevel="0" collapsed="false">
      <c r="A3210" s="9" t="str">
        <f aca="false">Vessels!B33</f>
        <v>Vessel 29</v>
      </c>
      <c r="B3210" s="9" t="s">
        <v>88</v>
      </c>
      <c r="C3210" s="7" t="s">
        <v>106</v>
      </c>
      <c r="D3210" s="9" t="s">
        <v>45</v>
      </c>
      <c r="E3210" s="9" t="s">
        <v>44</v>
      </c>
      <c r="F3210" s="5" t="n">
        <v>12</v>
      </c>
      <c r="G3210" s="10"/>
      <c r="H3210" s="11" t="str">
        <f aca="false">IFERROR(IF($D3210="Manual Review","",IF($G3210="","",IF($D3210="Direct Expiry",$G3210,EDATE($G3210,$F3210)))),"Check Date")</f>
        <v/>
      </c>
      <c r="I3210" s="12" t="str">
        <f aca="true">IF($H3210="","",IF(ISNUMBER($H3210),$H3210-TODAY(),""))</f>
        <v/>
      </c>
      <c r="J3210" s="4" t="str">
        <f aca="true">IF($D3210="Manual Review","Manual Review",IF($G3210="","No Data",IF(NOT(ISNUMBER($H3210)),"N/A",IF($H3210&lt;TODAY(),"Overdue",IF($H3210&lt;=TODAY()+30,"Due within 1 Month",IF($H3210&lt;=TODAY()+60,"Due within 2 Months","OK"))))))</f>
        <v>No Data</v>
      </c>
      <c r="K3210" s="13"/>
    </row>
    <row r="3211" customFormat="false" ht="15" hidden="false" customHeight="false" outlineLevel="0" collapsed="false">
      <c r="A3211" s="9" t="str">
        <f aca="false">Vessels!B33</f>
        <v>Vessel 29</v>
      </c>
      <c r="B3211" s="9" t="s">
        <v>88</v>
      </c>
      <c r="C3211" s="7" t="s">
        <v>107</v>
      </c>
      <c r="D3211" s="9" t="s">
        <v>45</v>
      </c>
      <c r="E3211" s="9" t="s">
        <v>44</v>
      </c>
      <c r="F3211" s="5" t="n">
        <v>12</v>
      </c>
      <c r="G3211" s="10"/>
      <c r="H3211" s="11" t="str">
        <f aca="false">IFERROR(IF($D3211="Manual Review","",IF($G3211="","",IF($D3211="Direct Expiry",$G3211,EDATE($G3211,$F3211)))),"Check Date")</f>
        <v/>
      </c>
      <c r="I3211" s="12" t="str">
        <f aca="true">IF($H3211="","",IF(ISNUMBER($H3211),$H3211-TODAY(),""))</f>
        <v/>
      </c>
      <c r="J3211" s="4" t="str">
        <f aca="true">IF($D3211="Manual Review","Manual Review",IF($G3211="","No Data",IF(NOT(ISNUMBER($H3211)),"N/A",IF($H3211&lt;TODAY(),"Overdue",IF($H3211&lt;=TODAY()+30,"Due within 1 Month",IF($H3211&lt;=TODAY()+60,"Due within 2 Months","OK"))))))</f>
        <v>No Data</v>
      </c>
      <c r="K3211" s="13"/>
    </row>
    <row r="3212" customFormat="false" ht="15" hidden="false" customHeight="false" outlineLevel="0" collapsed="false">
      <c r="A3212" s="9" t="str">
        <f aca="false">Vessels!B33</f>
        <v>Vessel 29</v>
      </c>
      <c r="B3212" s="9" t="s">
        <v>88</v>
      </c>
      <c r="C3212" s="7" t="s">
        <v>108</v>
      </c>
      <c r="D3212" s="9" t="s">
        <v>45</v>
      </c>
      <c r="E3212" s="9" t="s">
        <v>109</v>
      </c>
      <c r="F3212" s="5" t="n">
        <v>12</v>
      </c>
      <c r="G3212" s="10"/>
      <c r="H3212" s="11" t="str">
        <f aca="false">IFERROR(IF($D3212="Manual Review","",IF($G3212="","",IF($D3212="Direct Expiry",$G3212,EDATE($G3212,$F3212)))),"Check Date")</f>
        <v/>
      </c>
      <c r="I3212" s="12" t="str">
        <f aca="true">IF($H3212="","",IF(ISNUMBER($H3212),$H3212-TODAY(),""))</f>
        <v/>
      </c>
      <c r="J3212" s="4" t="str">
        <f aca="true">IF($D3212="Manual Review","Manual Review",IF($G3212="","No Data",IF(NOT(ISNUMBER($H3212)),"N/A",IF($H3212&lt;TODAY(),"Overdue",IF($H3212&lt;=TODAY()+30,"Due within 1 Month",IF($H3212&lt;=TODAY()+60,"Due within 2 Months","OK"))))))</f>
        <v>No Data</v>
      </c>
      <c r="K3212" s="13"/>
    </row>
    <row r="3213" customFormat="false" ht="15" hidden="false" customHeight="false" outlineLevel="0" collapsed="false">
      <c r="A3213" s="9" t="str">
        <f aca="false">Vessels!B33</f>
        <v>Vessel 29</v>
      </c>
      <c r="B3213" s="9" t="s">
        <v>88</v>
      </c>
      <c r="C3213" s="7" t="s">
        <v>108</v>
      </c>
      <c r="D3213" s="9" t="s">
        <v>45</v>
      </c>
      <c r="E3213" s="9" t="s">
        <v>110</v>
      </c>
      <c r="F3213" s="5" t="n">
        <v>60</v>
      </c>
      <c r="G3213" s="10"/>
      <c r="H3213" s="11" t="str">
        <f aca="false">IFERROR(IF($D3213="Manual Review","",IF($G3213="","",IF($D3213="Direct Expiry",$G3213,EDATE($G3213,$F3213)))),"Check Date")</f>
        <v/>
      </c>
      <c r="I3213" s="12" t="str">
        <f aca="true">IF($H3213="","",IF(ISNUMBER($H3213),$H3213-TODAY(),""))</f>
        <v/>
      </c>
      <c r="J3213" s="4" t="str">
        <f aca="true">IF($D3213="Manual Review","Manual Review",IF($G3213="","No Data",IF(NOT(ISNUMBER($H3213)),"N/A",IF($H3213&lt;TODAY(),"Overdue",IF($H3213&lt;=TODAY()+30,"Due within 1 Month",IF($H3213&lt;=TODAY()+60,"Due within 2 Months","OK"))))))</f>
        <v>No Data</v>
      </c>
      <c r="K3213" s="13"/>
    </row>
    <row r="3214" customFormat="false" ht="15" hidden="false" customHeight="false" outlineLevel="0" collapsed="false">
      <c r="A3214" s="9" t="str">
        <f aca="false">Vessels!B33</f>
        <v>Vessel 29</v>
      </c>
      <c r="B3214" s="9" t="s">
        <v>88</v>
      </c>
      <c r="C3214" s="7" t="s">
        <v>111</v>
      </c>
      <c r="D3214" s="9" t="s">
        <v>45</v>
      </c>
      <c r="E3214" s="9" t="s">
        <v>44</v>
      </c>
      <c r="F3214" s="5" t="n">
        <v>12</v>
      </c>
      <c r="G3214" s="10"/>
      <c r="H3214" s="11" t="str">
        <f aca="false">IFERROR(IF($D3214="Manual Review","",IF($G3214="","",IF($D3214="Direct Expiry",$G3214,EDATE($G3214,$F3214)))),"Check Date")</f>
        <v/>
      </c>
      <c r="I3214" s="12" t="str">
        <f aca="true">IF($H3214="","",IF(ISNUMBER($H3214),$H3214-TODAY(),""))</f>
        <v/>
      </c>
      <c r="J3214" s="4" t="str">
        <f aca="true">IF($D3214="Manual Review","Manual Review",IF($G3214="","No Data",IF(NOT(ISNUMBER($H3214)),"N/A",IF($H3214&lt;TODAY(),"Overdue",IF($H3214&lt;=TODAY()+30,"Due within 1 Month",IF($H3214&lt;=TODAY()+60,"Due within 2 Months","OK"))))))</f>
        <v>No Data</v>
      </c>
      <c r="K3214" s="13"/>
    </row>
    <row r="3215" customFormat="false" ht="15" hidden="false" customHeight="false" outlineLevel="0" collapsed="false">
      <c r="A3215" s="9" t="str">
        <f aca="false">Vessels!B33</f>
        <v>Vessel 29</v>
      </c>
      <c r="B3215" s="9" t="s">
        <v>88</v>
      </c>
      <c r="C3215" s="7" t="s">
        <v>112</v>
      </c>
      <c r="D3215" s="9" t="s">
        <v>45</v>
      </c>
      <c r="E3215" s="9" t="s">
        <v>44</v>
      </c>
      <c r="F3215" s="5" t="n">
        <v>12</v>
      </c>
      <c r="G3215" s="10"/>
      <c r="H3215" s="11" t="str">
        <f aca="false">IFERROR(IF($D3215="Manual Review","",IF($G3215="","",IF($D3215="Direct Expiry",$G3215,EDATE($G3215,$F3215)))),"Check Date")</f>
        <v/>
      </c>
      <c r="I3215" s="12" t="str">
        <f aca="true">IF($H3215="","",IF(ISNUMBER($H3215),$H3215-TODAY(),""))</f>
        <v/>
      </c>
      <c r="J3215" s="4" t="str">
        <f aca="true">IF($D3215="Manual Review","Manual Review",IF($G3215="","No Data",IF(NOT(ISNUMBER($H3215)),"N/A",IF($H3215&lt;TODAY(),"Overdue",IF($H3215&lt;=TODAY()+30,"Due within 1 Month",IF($H3215&lt;=TODAY()+60,"Due within 2 Months","OK"))))))</f>
        <v>No Data</v>
      </c>
      <c r="K3215" s="13"/>
    </row>
    <row r="3216" customFormat="false" ht="15" hidden="false" customHeight="false" outlineLevel="0" collapsed="false">
      <c r="A3216" s="9" t="str">
        <f aca="false">Vessels!B33</f>
        <v>Vessel 29</v>
      </c>
      <c r="B3216" s="9" t="s">
        <v>88</v>
      </c>
      <c r="C3216" s="7" t="s">
        <v>113</v>
      </c>
      <c r="D3216" s="9" t="s">
        <v>115</v>
      </c>
      <c r="E3216" s="9" t="s">
        <v>114</v>
      </c>
      <c r="F3216" s="5"/>
      <c r="G3216" s="10"/>
      <c r="H3216" s="11" t="str">
        <f aca="false">IFERROR(IF($D3216="Manual Review","",IF($G3216="","",IF($D3216="Direct Expiry",$G3216,EDATE($G3216,$F3216)))),"Check Date")</f>
        <v/>
      </c>
      <c r="I3216" s="12" t="str">
        <f aca="true">IF($H3216="","",IF(ISNUMBER($H3216),$H3216-TODAY(),""))</f>
        <v/>
      </c>
      <c r="J3216" s="4" t="str">
        <f aca="true">IF($D3216="Manual Review","Manual Review",IF($G3216="","No Data",IF(NOT(ISNUMBER($H3216)),"N/A",IF($H3216&lt;TODAY(),"Overdue",IF($H3216&lt;=TODAY()+30,"Due within 1 Month",IF($H3216&lt;=TODAY()+60,"Due within 2 Months","OK"))))))</f>
        <v>Manual Review</v>
      </c>
      <c r="K3216" s="13"/>
    </row>
    <row r="3217" customFormat="false" ht="15" hidden="false" customHeight="false" outlineLevel="0" collapsed="false">
      <c r="A3217" s="9" t="str">
        <f aca="false">Vessels!B33</f>
        <v>Vessel 29</v>
      </c>
      <c r="B3217" s="9" t="s">
        <v>88</v>
      </c>
      <c r="C3217" s="7" t="s">
        <v>116</v>
      </c>
      <c r="D3217" s="9" t="s">
        <v>115</v>
      </c>
      <c r="E3217" s="9" t="s">
        <v>114</v>
      </c>
      <c r="F3217" s="5"/>
      <c r="G3217" s="10"/>
      <c r="H3217" s="11" t="str">
        <f aca="false">IFERROR(IF($D3217="Manual Review","",IF($G3217="","",IF($D3217="Direct Expiry",$G3217,EDATE($G3217,$F3217)))),"Check Date")</f>
        <v/>
      </c>
      <c r="I3217" s="12" t="str">
        <f aca="true">IF($H3217="","",IF(ISNUMBER($H3217),$H3217-TODAY(),""))</f>
        <v/>
      </c>
      <c r="J3217" s="4" t="str">
        <f aca="true">IF($D3217="Manual Review","Manual Review",IF($G3217="","No Data",IF(NOT(ISNUMBER($H3217)),"N/A",IF($H3217&lt;TODAY(),"Overdue",IF($H3217&lt;=TODAY()+30,"Due within 1 Month",IF($H3217&lt;=TODAY()+60,"Due within 2 Months","OK"))))))</f>
        <v>Manual Review</v>
      </c>
      <c r="K3217" s="13"/>
    </row>
    <row r="3218" customFormat="false" ht="15" hidden="false" customHeight="false" outlineLevel="0" collapsed="false">
      <c r="A3218" s="9" t="str">
        <f aca="false">Vessels!B33</f>
        <v>Vessel 29</v>
      </c>
      <c r="B3218" s="9" t="s">
        <v>117</v>
      </c>
      <c r="C3218" s="7" t="s">
        <v>118</v>
      </c>
      <c r="D3218" s="9" t="s">
        <v>59</v>
      </c>
      <c r="E3218" s="9" t="s">
        <v>119</v>
      </c>
      <c r="F3218" s="5"/>
      <c r="G3218" s="10"/>
      <c r="H3218" s="11" t="str">
        <f aca="false">IFERROR(IF($D3218="Manual Review","",IF($G3218="","",IF($D3218="Direct Expiry",$G3218,EDATE($G3218,$F3218)))),"Check Date")</f>
        <v/>
      </c>
      <c r="I3218" s="12" t="str">
        <f aca="true">IF($H3218="","",IF(ISNUMBER($H3218),$H3218-TODAY(),""))</f>
        <v/>
      </c>
      <c r="J3218" s="4" t="str">
        <f aca="true">IF($D3218="Manual Review","Manual Review",IF($G3218="","No Data",IF(NOT(ISNUMBER($H3218)),"N/A",IF($H3218&lt;TODAY(),"Overdue",IF($H3218&lt;=TODAY()+30,"Due within 1 Month",IF($H3218&lt;=TODAY()+60,"Due within 2 Months","OK"))))))</f>
        <v>No Data</v>
      </c>
      <c r="K3218" s="13"/>
    </row>
    <row r="3219" customFormat="false" ht="15" hidden="false" customHeight="false" outlineLevel="0" collapsed="false">
      <c r="A3219" s="9" t="str">
        <f aca="false">Vessels!B33</f>
        <v>Vessel 29</v>
      </c>
      <c r="B3219" s="9" t="s">
        <v>117</v>
      </c>
      <c r="C3219" s="7" t="s">
        <v>120</v>
      </c>
      <c r="D3219" s="9" t="s">
        <v>45</v>
      </c>
      <c r="E3219" s="9" t="s">
        <v>44</v>
      </c>
      <c r="F3219" s="5" t="n">
        <v>12</v>
      </c>
      <c r="G3219" s="10"/>
      <c r="H3219" s="11" t="str">
        <f aca="false">IFERROR(IF($D3219="Manual Review","",IF($G3219="","",IF($D3219="Direct Expiry",$G3219,EDATE($G3219,$F3219)))),"Check Date")</f>
        <v/>
      </c>
      <c r="I3219" s="12" t="str">
        <f aca="true">IF($H3219="","",IF(ISNUMBER($H3219),$H3219-TODAY(),""))</f>
        <v/>
      </c>
      <c r="J3219" s="4" t="str">
        <f aca="true">IF($D3219="Manual Review","Manual Review",IF($G3219="","No Data",IF(NOT(ISNUMBER($H3219)),"N/A",IF($H3219&lt;TODAY(),"Overdue",IF($H3219&lt;=TODAY()+30,"Due within 1 Month",IF($H3219&lt;=TODAY()+60,"Due within 2 Months","OK"))))))</f>
        <v>No Data</v>
      </c>
      <c r="K3219" s="13"/>
    </row>
    <row r="3220" customFormat="false" ht="15" hidden="false" customHeight="false" outlineLevel="0" collapsed="false">
      <c r="A3220" s="9" t="str">
        <f aca="false">Vessels!B33</f>
        <v>Vessel 29</v>
      </c>
      <c r="B3220" s="9" t="s">
        <v>117</v>
      </c>
      <c r="C3220" s="7" t="s">
        <v>121</v>
      </c>
      <c r="D3220" s="9" t="s">
        <v>45</v>
      </c>
      <c r="E3220" s="9" t="s">
        <v>44</v>
      </c>
      <c r="F3220" s="5" t="n">
        <v>12</v>
      </c>
      <c r="G3220" s="10"/>
      <c r="H3220" s="11" t="str">
        <f aca="false">IFERROR(IF($D3220="Manual Review","",IF($G3220="","",IF($D3220="Direct Expiry",$G3220,EDATE($G3220,$F3220)))),"Check Date")</f>
        <v/>
      </c>
      <c r="I3220" s="12" t="str">
        <f aca="true">IF($H3220="","",IF(ISNUMBER($H3220),$H3220-TODAY(),""))</f>
        <v/>
      </c>
      <c r="J3220" s="4" t="str">
        <f aca="true">IF($D3220="Manual Review","Manual Review",IF($G3220="","No Data",IF(NOT(ISNUMBER($H3220)),"N/A",IF($H3220&lt;TODAY(),"Overdue",IF($H3220&lt;=TODAY()+30,"Due within 1 Month",IF($H3220&lt;=TODAY()+60,"Due within 2 Months","OK"))))))</f>
        <v>No Data</v>
      </c>
      <c r="K3220" s="13"/>
    </row>
    <row r="3221" customFormat="false" ht="15" hidden="false" customHeight="false" outlineLevel="0" collapsed="false">
      <c r="A3221" s="9" t="str">
        <f aca="false">Vessels!B33</f>
        <v>Vessel 29</v>
      </c>
      <c r="B3221" s="9" t="s">
        <v>117</v>
      </c>
      <c r="C3221" s="7" t="s">
        <v>122</v>
      </c>
      <c r="D3221" s="9" t="s">
        <v>45</v>
      </c>
      <c r="E3221" s="9" t="s">
        <v>123</v>
      </c>
      <c r="F3221" s="5" t="n">
        <v>24</v>
      </c>
      <c r="G3221" s="10"/>
      <c r="H3221" s="11" t="str">
        <f aca="false">IFERROR(IF($D3221="Manual Review","",IF($G3221="","",IF($D3221="Direct Expiry",$G3221,EDATE($G3221,$F3221)))),"Check Date")</f>
        <v/>
      </c>
      <c r="I3221" s="12" t="str">
        <f aca="true">IF($H3221="","",IF(ISNUMBER($H3221),$H3221-TODAY(),""))</f>
        <v/>
      </c>
      <c r="J3221" s="4" t="str">
        <f aca="true">IF($D3221="Manual Review","Manual Review",IF($G3221="","No Data",IF(NOT(ISNUMBER($H3221)),"N/A",IF($H3221&lt;TODAY(),"Overdue",IF($H3221&lt;=TODAY()+30,"Due within 1 Month",IF($H3221&lt;=TODAY()+60,"Due within 2 Months","OK"))))))</f>
        <v>No Data</v>
      </c>
      <c r="K3221" s="13"/>
    </row>
    <row r="3222" customFormat="false" ht="15" hidden="false" customHeight="false" outlineLevel="0" collapsed="false">
      <c r="A3222" s="9" t="str">
        <f aca="false">Vessels!B33</f>
        <v>Vessel 29</v>
      </c>
      <c r="B3222" s="9" t="s">
        <v>117</v>
      </c>
      <c r="C3222" s="7" t="s">
        <v>124</v>
      </c>
      <c r="D3222" s="9" t="s">
        <v>59</v>
      </c>
      <c r="E3222" s="9" t="s">
        <v>58</v>
      </c>
      <c r="F3222" s="5"/>
      <c r="G3222" s="10"/>
      <c r="H3222" s="11" t="str">
        <f aca="false">IFERROR(IF($D3222="Manual Review","",IF($G3222="","",IF($D3222="Direct Expiry",$G3222,EDATE($G3222,$F3222)))),"Check Date")</f>
        <v/>
      </c>
      <c r="I3222" s="12" t="str">
        <f aca="true">IF($H3222="","",IF(ISNUMBER($H3222),$H3222-TODAY(),""))</f>
        <v/>
      </c>
      <c r="J3222" s="4" t="str">
        <f aca="true">IF($D3222="Manual Review","Manual Review",IF($G3222="","No Data",IF(NOT(ISNUMBER($H3222)),"N/A",IF($H3222&lt;TODAY(),"Overdue",IF($H3222&lt;=TODAY()+30,"Due within 1 Month",IF($H3222&lt;=TODAY()+60,"Due within 2 Months","OK"))))))</f>
        <v>No Data</v>
      </c>
      <c r="K3222" s="13"/>
    </row>
    <row r="3223" customFormat="false" ht="15" hidden="false" customHeight="false" outlineLevel="0" collapsed="false">
      <c r="A3223" s="9" t="str">
        <f aca="false">Vessels!B33</f>
        <v>Vessel 29</v>
      </c>
      <c r="B3223" s="9" t="s">
        <v>117</v>
      </c>
      <c r="C3223" s="7" t="s">
        <v>125</v>
      </c>
      <c r="D3223" s="9" t="s">
        <v>59</v>
      </c>
      <c r="E3223" s="9" t="s">
        <v>58</v>
      </c>
      <c r="F3223" s="5"/>
      <c r="G3223" s="10"/>
      <c r="H3223" s="11" t="str">
        <f aca="false">IFERROR(IF($D3223="Manual Review","",IF($G3223="","",IF($D3223="Direct Expiry",$G3223,EDATE($G3223,$F3223)))),"Check Date")</f>
        <v/>
      </c>
      <c r="I3223" s="12" t="str">
        <f aca="true">IF($H3223="","",IF(ISNUMBER($H3223),$H3223-TODAY(),""))</f>
        <v/>
      </c>
      <c r="J3223" s="4" t="str">
        <f aca="true">IF($D3223="Manual Review","Manual Review",IF($G3223="","No Data",IF(NOT(ISNUMBER($H3223)),"N/A",IF($H3223&lt;TODAY(),"Overdue",IF($H3223&lt;=TODAY()+30,"Due within 1 Month",IF($H3223&lt;=TODAY()+60,"Due within 2 Months","OK"))))))</f>
        <v>No Data</v>
      </c>
      <c r="K3223" s="13"/>
    </row>
    <row r="3224" customFormat="false" ht="15" hidden="false" customHeight="false" outlineLevel="0" collapsed="false">
      <c r="A3224" s="9" t="str">
        <f aca="false">Vessels!B33</f>
        <v>Vessel 29</v>
      </c>
      <c r="B3224" s="9" t="s">
        <v>117</v>
      </c>
      <c r="C3224" s="7" t="s">
        <v>126</v>
      </c>
      <c r="D3224" s="9" t="s">
        <v>45</v>
      </c>
      <c r="E3224" s="9" t="s">
        <v>44</v>
      </c>
      <c r="F3224" s="5" t="n">
        <v>12</v>
      </c>
      <c r="G3224" s="10"/>
      <c r="H3224" s="11" t="str">
        <f aca="false">IFERROR(IF($D3224="Manual Review","",IF($G3224="","",IF($D3224="Direct Expiry",$G3224,EDATE($G3224,$F3224)))),"Check Date")</f>
        <v/>
      </c>
      <c r="I3224" s="12" t="str">
        <f aca="true">IF($H3224="","",IF(ISNUMBER($H3224),$H3224-TODAY(),""))</f>
        <v/>
      </c>
      <c r="J3224" s="4" t="str">
        <f aca="true">IF($D3224="Manual Review","Manual Review",IF($G3224="","No Data",IF(NOT(ISNUMBER($H3224)),"N/A",IF($H3224&lt;TODAY(),"Overdue",IF($H3224&lt;=TODAY()+30,"Due within 1 Month",IF($H3224&lt;=TODAY()+60,"Due within 2 Months","OK"))))))</f>
        <v>No Data</v>
      </c>
      <c r="K3224" s="13"/>
    </row>
    <row r="3225" customFormat="false" ht="15" hidden="false" customHeight="false" outlineLevel="0" collapsed="false">
      <c r="A3225" s="9" t="str">
        <f aca="false">Vessels!B33</f>
        <v>Vessel 29</v>
      </c>
      <c r="B3225" s="9" t="s">
        <v>117</v>
      </c>
      <c r="C3225" s="7" t="s">
        <v>127</v>
      </c>
      <c r="D3225" s="9" t="s">
        <v>59</v>
      </c>
      <c r="E3225" s="9" t="s">
        <v>58</v>
      </c>
      <c r="F3225" s="5"/>
      <c r="G3225" s="10"/>
      <c r="H3225" s="11" t="str">
        <f aca="false">IFERROR(IF($D3225="Manual Review","",IF($G3225="","",IF($D3225="Direct Expiry",$G3225,EDATE($G3225,$F3225)))),"Check Date")</f>
        <v/>
      </c>
      <c r="I3225" s="12" t="str">
        <f aca="true">IF($H3225="","",IF(ISNUMBER($H3225),$H3225-TODAY(),""))</f>
        <v/>
      </c>
      <c r="J3225" s="4" t="str">
        <f aca="true">IF($D3225="Manual Review","Manual Review",IF($G3225="","No Data",IF(NOT(ISNUMBER($H3225)),"N/A",IF($H3225&lt;TODAY(),"Overdue",IF($H3225&lt;=TODAY()+30,"Due within 1 Month",IF($H3225&lt;=TODAY()+60,"Due within 2 Months","OK"))))))</f>
        <v>No Data</v>
      </c>
      <c r="K3225" s="13"/>
    </row>
    <row r="3226" customFormat="false" ht="15" hidden="false" customHeight="false" outlineLevel="0" collapsed="false">
      <c r="A3226" s="9" t="str">
        <f aca="false">Vessels!B33</f>
        <v>Vessel 29</v>
      </c>
      <c r="B3226" s="9" t="s">
        <v>117</v>
      </c>
      <c r="C3226" s="7" t="s">
        <v>128</v>
      </c>
      <c r="D3226" s="9" t="s">
        <v>59</v>
      </c>
      <c r="E3226" s="9" t="s">
        <v>58</v>
      </c>
      <c r="F3226" s="5"/>
      <c r="G3226" s="10"/>
      <c r="H3226" s="11" t="str">
        <f aca="false">IFERROR(IF($D3226="Manual Review","",IF($G3226="","",IF($D3226="Direct Expiry",$G3226,EDATE($G3226,$F3226)))),"Check Date")</f>
        <v/>
      </c>
      <c r="I3226" s="12" t="str">
        <f aca="true">IF($H3226="","",IF(ISNUMBER($H3226),$H3226-TODAY(),""))</f>
        <v/>
      </c>
      <c r="J3226" s="4" t="str">
        <f aca="true">IF($D3226="Manual Review","Manual Review",IF($G3226="","No Data",IF(NOT(ISNUMBER($H3226)),"N/A",IF($H3226&lt;TODAY(),"Overdue",IF($H3226&lt;=TODAY()+30,"Due within 1 Month",IF($H3226&lt;=TODAY()+60,"Due within 2 Months","OK"))))))</f>
        <v>No Data</v>
      </c>
      <c r="K3226" s="13"/>
    </row>
    <row r="3227" customFormat="false" ht="15" hidden="false" customHeight="false" outlineLevel="0" collapsed="false">
      <c r="A3227" s="9" t="str">
        <f aca="false">Vessels!B33</f>
        <v>Vessel 29</v>
      </c>
      <c r="B3227" s="9" t="s">
        <v>117</v>
      </c>
      <c r="C3227" s="7" t="s">
        <v>129</v>
      </c>
      <c r="D3227" s="9" t="s">
        <v>59</v>
      </c>
      <c r="E3227" s="9" t="s">
        <v>58</v>
      </c>
      <c r="F3227" s="5"/>
      <c r="G3227" s="10"/>
      <c r="H3227" s="11" t="str">
        <f aca="false">IFERROR(IF($D3227="Manual Review","",IF($G3227="","",IF($D3227="Direct Expiry",$G3227,EDATE($G3227,$F3227)))),"Check Date")</f>
        <v/>
      </c>
      <c r="I3227" s="12" t="str">
        <f aca="true">IF($H3227="","",IF(ISNUMBER($H3227),$H3227-TODAY(),""))</f>
        <v/>
      </c>
      <c r="J3227" s="4" t="str">
        <f aca="true">IF($D3227="Manual Review","Manual Review",IF($G3227="","No Data",IF(NOT(ISNUMBER($H3227)),"N/A",IF($H3227&lt;TODAY(),"Overdue",IF($H3227&lt;=TODAY()+30,"Due within 1 Month",IF($H3227&lt;=TODAY()+60,"Due within 2 Months","OK"))))))</f>
        <v>No Data</v>
      </c>
      <c r="K3227" s="13"/>
    </row>
    <row r="3228" customFormat="false" ht="15" hidden="false" customHeight="false" outlineLevel="0" collapsed="false">
      <c r="A3228" s="9" t="str">
        <f aca="false">Vessels!B33</f>
        <v>Vessel 29</v>
      </c>
      <c r="B3228" s="9" t="s">
        <v>117</v>
      </c>
      <c r="C3228" s="7" t="s">
        <v>130</v>
      </c>
      <c r="D3228" s="9" t="s">
        <v>45</v>
      </c>
      <c r="E3228" s="9" t="s">
        <v>44</v>
      </c>
      <c r="F3228" s="5" t="n">
        <v>12</v>
      </c>
      <c r="G3228" s="10"/>
      <c r="H3228" s="11" t="str">
        <f aca="false">IFERROR(IF($D3228="Manual Review","",IF($G3228="","",IF($D3228="Direct Expiry",$G3228,EDATE($G3228,$F3228)))),"Check Date")</f>
        <v/>
      </c>
      <c r="I3228" s="12" t="str">
        <f aca="true">IF($H3228="","",IF(ISNUMBER($H3228),$H3228-TODAY(),""))</f>
        <v/>
      </c>
      <c r="J3228" s="4" t="str">
        <f aca="true">IF($D3228="Manual Review","Manual Review",IF($G3228="","No Data",IF(NOT(ISNUMBER($H3228)),"N/A",IF($H3228&lt;TODAY(),"Overdue",IF($H3228&lt;=TODAY()+30,"Due within 1 Month",IF($H3228&lt;=TODAY()+60,"Due within 2 Months","OK"))))))</f>
        <v>No Data</v>
      </c>
      <c r="K3228" s="13"/>
    </row>
    <row r="3229" customFormat="false" ht="15" hidden="false" customHeight="false" outlineLevel="0" collapsed="false">
      <c r="A3229" s="9" t="str">
        <f aca="false">Vessels!B33</f>
        <v>Vessel 29</v>
      </c>
      <c r="B3229" s="9" t="s">
        <v>117</v>
      </c>
      <c r="C3229" s="7" t="s">
        <v>131</v>
      </c>
      <c r="D3229" s="9" t="s">
        <v>45</v>
      </c>
      <c r="E3229" s="9" t="s">
        <v>44</v>
      </c>
      <c r="F3229" s="5" t="n">
        <v>12</v>
      </c>
      <c r="G3229" s="10"/>
      <c r="H3229" s="11" t="str">
        <f aca="false">IFERROR(IF($D3229="Manual Review","",IF($G3229="","",IF($D3229="Direct Expiry",$G3229,EDATE($G3229,$F3229)))),"Check Date")</f>
        <v/>
      </c>
      <c r="I3229" s="12" t="str">
        <f aca="true">IF($H3229="","",IF(ISNUMBER($H3229),$H3229-TODAY(),""))</f>
        <v/>
      </c>
      <c r="J3229" s="4" t="str">
        <f aca="true">IF($D3229="Manual Review","Manual Review",IF($G3229="","No Data",IF(NOT(ISNUMBER($H3229)),"N/A",IF($H3229&lt;TODAY(),"Overdue",IF($H3229&lt;=TODAY()+30,"Due within 1 Month",IF($H3229&lt;=TODAY()+60,"Due within 2 Months","OK"))))))</f>
        <v>No Data</v>
      </c>
      <c r="K3229" s="13"/>
    </row>
    <row r="3230" customFormat="false" ht="15" hidden="false" customHeight="false" outlineLevel="0" collapsed="false">
      <c r="A3230" s="9" t="str">
        <f aca="false">Vessels!B33</f>
        <v>Vessel 29</v>
      </c>
      <c r="B3230" s="9" t="s">
        <v>117</v>
      </c>
      <c r="C3230" s="7" t="s">
        <v>132</v>
      </c>
      <c r="D3230" s="9" t="s">
        <v>45</v>
      </c>
      <c r="E3230" s="9" t="s">
        <v>44</v>
      </c>
      <c r="F3230" s="5" t="n">
        <v>12</v>
      </c>
      <c r="G3230" s="10"/>
      <c r="H3230" s="11" t="str">
        <f aca="false">IFERROR(IF($D3230="Manual Review","",IF($G3230="","",IF($D3230="Direct Expiry",$G3230,EDATE($G3230,$F3230)))),"Check Date")</f>
        <v/>
      </c>
      <c r="I3230" s="12" t="str">
        <f aca="true">IF($H3230="","",IF(ISNUMBER($H3230),$H3230-TODAY(),""))</f>
        <v/>
      </c>
      <c r="J3230" s="4" t="str">
        <f aca="true">IF($D3230="Manual Review","Manual Review",IF($G3230="","No Data",IF(NOT(ISNUMBER($H3230)),"N/A",IF($H3230&lt;TODAY(),"Overdue",IF($H3230&lt;=TODAY()+30,"Due within 1 Month",IF($H3230&lt;=TODAY()+60,"Due within 2 Months","OK"))))))</f>
        <v>No Data</v>
      </c>
      <c r="K3230" s="13"/>
    </row>
    <row r="3231" customFormat="false" ht="15" hidden="false" customHeight="false" outlineLevel="0" collapsed="false">
      <c r="A3231" s="9" t="str">
        <f aca="false">Vessels!B33</f>
        <v>Vessel 29</v>
      </c>
      <c r="B3231" s="9" t="s">
        <v>117</v>
      </c>
      <c r="C3231" s="7" t="s">
        <v>133</v>
      </c>
      <c r="D3231" s="9" t="s">
        <v>45</v>
      </c>
      <c r="E3231" s="9" t="s">
        <v>44</v>
      </c>
      <c r="F3231" s="5" t="n">
        <v>12</v>
      </c>
      <c r="G3231" s="10"/>
      <c r="H3231" s="11" t="str">
        <f aca="false">IFERROR(IF($D3231="Manual Review","",IF($G3231="","",IF($D3231="Direct Expiry",$G3231,EDATE($G3231,$F3231)))),"Check Date")</f>
        <v/>
      </c>
      <c r="I3231" s="12" t="str">
        <f aca="true">IF($H3231="","",IF(ISNUMBER($H3231),$H3231-TODAY(),""))</f>
        <v/>
      </c>
      <c r="J3231" s="4" t="str">
        <f aca="true">IF($D3231="Manual Review","Manual Review",IF($G3231="","No Data",IF(NOT(ISNUMBER($H3231)),"N/A",IF($H3231&lt;TODAY(),"Overdue",IF($H3231&lt;=TODAY()+30,"Due within 1 Month",IF($H3231&lt;=TODAY()+60,"Due within 2 Months","OK"))))))</f>
        <v>No Data</v>
      </c>
      <c r="K3231" s="13"/>
    </row>
    <row r="3232" customFormat="false" ht="15" hidden="false" customHeight="false" outlineLevel="0" collapsed="false">
      <c r="A3232" s="9" t="str">
        <f aca="false">Vessels!B33</f>
        <v>Vessel 29</v>
      </c>
      <c r="B3232" s="9" t="s">
        <v>117</v>
      </c>
      <c r="C3232" s="7" t="s">
        <v>134</v>
      </c>
      <c r="D3232" s="9" t="s">
        <v>45</v>
      </c>
      <c r="E3232" s="9" t="s">
        <v>44</v>
      </c>
      <c r="F3232" s="5" t="n">
        <v>12</v>
      </c>
      <c r="G3232" s="10"/>
      <c r="H3232" s="11" t="str">
        <f aca="false">IFERROR(IF($D3232="Manual Review","",IF($G3232="","",IF($D3232="Direct Expiry",$G3232,EDATE($G3232,$F3232)))),"Check Date")</f>
        <v/>
      </c>
      <c r="I3232" s="12" t="str">
        <f aca="true">IF($H3232="","",IF(ISNUMBER($H3232),$H3232-TODAY(),""))</f>
        <v/>
      </c>
      <c r="J3232" s="4" t="str">
        <f aca="true">IF($D3232="Manual Review","Manual Review",IF($G3232="","No Data",IF(NOT(ISNUMBER($H3232)),"N/A",IF($H3232&lt;TODAY(),"Overdue",IF($H3232&lt;=TODAY()+30,"Due within 1 Month",IF($H3232&lt;=TODAY()+60,"Due within 2 Months","OK"))))))</f>
        <v>No Data</v>
      </c>
      <c r="K3232" s="13"/>
    </row>
    <row r="3233" customFormat="false" ht="15" hidden="false" customHeight="false" outlineLevel="0" collapsed="false">
      <c r="A3233" s="9" t="str">
        <f aca="false">Vessels!B33</f>
        <v>Vessel 29</v>
      </c>
      <c r="B3233" s="9" t="s">
        <v>117</v>
      </c>
      <c r="C3233" s="7" t="s">
        <v>135</v>
      </c>
      <c r="D3233" s="9" t="s">
        <v>45</v>
      </c>
      <c r="E3233" s="9" t="s">
        <v>44</v>
      </c>
      <c r="F3233" s="5" t="n">
        <v>12</v>
      </c>
      <c r="G3233" s="10"/>
      <c r="H3233" s="11" t="str">
        <f aca="false">IFERROR(IF($D3233="Manual Review","",IF($G3233="","",IF($D3233="Direct Expiry",$G3233,EDATE($G3233,$F3233)))),"Check Date")</f>
        <v/>
      </c>
      <c r="I3233" s="12" t="str">
        <f aca="true">IF($H3233="","",IF(ISNUMBER($H3233),$H3233-TODAY(),""))</f>
        <v/>
      </c>
      <c r="J3233" s="4" t="str">
        <f aca="true">IF($D3233="Manual Review","Manual Review",IF($G3233="","No Data",IF(NOT(ISNUMBER($H3233)),"N/A",IF($H3233&lt;TODAY(),"Overdue",IF($H3233&lt;=TODAY()+30,"Due within 1 Month",IF($H3233&lt;=TODAY()+60,"Due within 2 Months","OK"))))))</f>
        <v>No Data</v>
      </c>
      <c r="K3233" s="13"/>
    </row>
    <row r="3234" customFormat="false" ht="15" hidden="false" customHeight="false" outlineLevel="0" collapsed="false">
      <c r="A3234" s="9" t="str">
        <f aca="false">Vessels!B33</f>
        <v>Vessel 29</v>
      </c>
      <c r="B3234" s="9" t="s">
        <v>136</v>
      </c>
      <c r="C3234" s="7" t="s">
        <v>137</v>
      </c>
      <c r="D3234" s="9" t="s">
        <v>45</v>
      </c>
      <c r="E3234" s="9" t="s">
        <v>44</v>
      </c>
      <c r="F3234" s="5" t="n">
        <v>12</v>
      </c>
      <c r="G3234" s="10"/>
      <c r="H3234" s="11" t="str">
        <f aca="false">IFERROR(IF($D3234="Manual Review","",IF($G3234="","",IF($D3234="Direct Expiry",$G3234,EDATE($G3234,$F3234)))),"Check Date")</f>
        <v/>
      </c>
      <c r="I3234" s="12" t="str">
        <f aca="true">IF($H3234="","",IF(ISNUMBER($H3234),$H3234-TODAY(),""))</f>
        <v/>
      </c>
      <c r="J3234" s="4" t="str">
        <f aca="true">IF($D3234="Manual Review","Manual Review",IF($G3234="","No Data",IF(NOT(ISNUMBER($H3234)),"N/A",IF($H3234&lt;TODAY(),"Overdue",IF($H3234&lt;=TODAY()+30,"Due within 1 Month",IF($H3234&lt;=TODAY()+60,"Due within 2 Months","OK"))))))</f>
        <v>No Data</v>
      </c>
      <c r="K3234" s="13"/>
    </row>
    <row r="3235" customFormat="false" ht="15" hidden="false" customHeight="false" outlineLevel="0" collapsed="false">
      <c r="A3235" s="9" t="str">
        <f aca="false">Vessels!B33</f>
        <v>Vessel 29</v>
      </c>
      <c r="B3235" s="9" t="s">
        <v>136</v>
      </c>
      <c r="C3235" s="7" t="s">
        <v>138</v>
      </c>
      <c r="D3235" s="9" t="s">
        <v>45</v>
      </c>
      <c r="E3235" s="9" t="s">
        <v>44</v>
      </c>
      <c r="F3235" s="5" t="n">
        <v>12</v>
      </c>
      <c r="G3235" s="10"/>
      <c r="H3235" s="11" t="str">
        <f aca="false">IFERROR(IF($D3235="Manual Review","",IF($G3235="","",IF($D3235="Direct Expiry",$G3235,EDATE($G3235,$F3235)))),"Check Date")</f>
        <v/>
      </c>
      <c r="I3235" s="12" t="str">
        <f aca="true">IF($H3235="","",IF(ISNUMBER($H3235),$H3235-TODAY(),""))</f>
        <v/>
      </c>
      <c r="J3235" s="4" t="str">
        <f aca="true">IF($D3235="Manual Review","Manual Review",IF($G3235="","No Data",IF(NOT(ISNUMBER($H3235)),"N/A",IF($H3235&lt;TODAY(),"Overdue",IF($H3235&lt;=TODAY()+30,"Due within 1 Month",IF($H3235&lt;=TODAY()+60,"Due within 2 Months","OK"))))))</f>
        <v>No Data</v>
      </c>
      <c r="K3235" s="13"/>
    </row>
    <row r="3236" customFormat="false" ht="15" hidden="false" customHeight="false" outlineLevel="0" collapsed="false">
      <c r="A3236" s="9" t="str">
        <f aca="false">Vessels!B33</f>
        <v>Vessel 29</v>
      </c>
      <c r="B3236" s="9" t="s">
        <v>136</v>
      </c>
      <c r="C3236" s="7" t="s">
        <v>139</v>
      </c>
      <c r="D3236" s="9" t="s">
        <v>45</v>
      </c>
      <c r="E3236" s="9" t="s">
        <v>140</v>
      </c>
      <c r="F3236" s="5" t="n">
        <v>12</v>
      </c>
      <c r="G3236" s="10"/>
      <c r="H3236" s="11" t="str">
        <f aca="false">IFERROR(IF($D3236="Manual Review","",IF($G3236="","",IF($D3236="Direct Expiry",$G3236,EDATE($G3236,$F3236)))),"Check Date")</f>
        <v/>
      </c>
      <c r="I3236" s="12" t="str">
        <f aca="true">IF($H3236="","",IF(ISNUMBER($H3236),$H3236-TODAY(),""))</f>
        <v/>
      </c>
      <c r="J3236" s="4" t="str">
        <f aca="true">IF($D3236="Manual Review","Manual Review",IF($G3236="","No Data",IF(NOT(ISNUMBER($H3236)),"N/A",IF($H3236&lt;TODAY(),"Overdue",IF($H3236&lt;=TODAY()+30,"Due within 1 Month",IF($H3236&lt;=TODAY()+60,"Due within 2 Months","OK"))))))</f>
        <v>No Data</v>
      </c>
      <c r="K3236" s="13"/>
    </row>
    <row r="3237" customFormat="false" ht="15" hidden="false" customHeight="false" outlineLevel="0" collapsed="false">
      <c r="A3237" s="9" t="str">
        <f aca="false">Vessels!B33</f>
        <v>Vessel 29</v>
      </c>
      <c r="B3237" s="9" t="s">
        <v>136</v>
      </c>
      <c r="C3237" s="7" t="s">
        <v>141</v>
      </c>
      <c r="D3237" s="9" t="s">
        <v>45</v>
      </c>
      <c r="E3237" s="9" t="s">
        <v>44</v>
      </c>
      <c r="F3237" s="5" t="n">
        <v>12</v>
      </c>
      <c r="G3237" s="10"/>
      <c r="H3237" s="11" t="str">
        <f aca="false">IFERROR(IF($D3237="Manual Review","",IF($G3237="","",IF($D3237="Direct Expiry",$G3237,EDATE($G3237,$F3237)))),"Check Date")</f>
        <v/>
      </c>
      <c r="I3237" s="12" t="str">
        <f aca="true">IF($H3237="","",IF(ISNUMBER($H3237),$H3237-TODAY(),""))</f>
        <v/>
      </c>
      <c r="J3237" s="4" t="str">
        <f aca="true">IF($D3237="Manual Review","Manual Review",IF($G3237="","No Data",IF(NOT(ISNUMBER($H3237)),"N/A",IF($H3237&lt;TODAY(),"Overdue",IF($H3237&lt;=TODAY()+30,"Due within 1 Month",IF($H3237&lt;=TODAY()+60,"Due within 2 Months","OK"))))))</f>
        <v>No Data</v>
      </c>
      <c r="K3237" s="13"/>
    </row>
    <row r="3238" customFormat="false" ht="15" hidden="false" customHeight="false" outlineLevel="0" collapsed="false">
      <c r="A3238" s="9" t="str">
        <f aca="false">Vessels!B33</f>
        <v>Vessel 29</v>
      </c>
      <c r="B3238" s="9" t="s">
        <v>136</v>
      </c>
      <c r="C3238" s="7" t="s">
        <v>142</v>
      </c>
      <c r="D3238" s="9" t="s">
        <v>115</v>
      </c>
      <c r="E3238" s="9" t="s">
        <v>143</v>
      </c>
      <c r="F3238" s="5"/>
      <c r="G3238" s="10"/>
      <c r="H3238" s="11" t="str">
        <f aca="false">IFERROR(IF($D3238="Manual Review","",IF($G3238="","",IF($D3238="Direct Expiry",$G3238,EDATE($G3238,$F3238)))),"Check Date")</f>
        <v/>
      </c>
      <c r="I3238" s="12" t="str">
        <f aca="true">IF($H3238="","",IF(ISNUMBER($H3238),$H3238-TODAY(),""))</f>
        <v/>
      </c>
      <c r="J3238" s="4" t="str">
        <f aca="true">IF($D3238="Manual Review","Manual Review",IF($G3238="","No Data",IF(NOT(ISNUMBER($H3238)),"N/A",IF($H3238&lt;TODAY(),"Overdue",IF($H3238&lt;=TODAY()+30,"Due within 1 Month",IF($H3238&lt;=TODAY()+60,"Due within 2 Months","OK"))))))</f>
        <v>Manual Review</v>
      </c>
      <c r="K3238" s="13"/>
    </row>
    <row r="3239" customFormat="false" ht="15" hidden="false" customHeight="false" outlineLevel="0" collapsed="false">
      <c r="A3239" s="9" t="str">
        <f aca="false">Vessels!B33</f>
        <v>Vessel 29</v>
      </c>
      <c r="B3239" s="9" t="s">
        <v>136</v>
      </c>
      <c r="C3239" s="7" t="s">
        <v>144</v>
      </c>
      <c r="D3239" s="9" t="s">
        <v>45</v>
      </c>
      <c r="E3239" s="9" t="s">
        <v>44</v>
      </c>
      <c r="F3239" s="5" t="n">
        <v>12</v>
      </c>
      <c r="G3239" s="10"/>
      <c r="H3239" s="11" t="str">
        <f aca="false">IFERROR(IF($D3239="Manual Review","",IF($G3239="","",IF($D3239="Direct Expiry",$G3239,EDATE($G3239,$F3239)))),"Check Date")</f>
        <v/>
      </c>
      <c r="I3239" s="12" t="str">
        <f aca="true">IF($H3239="","",IF(ISNUMBER($H3239),$H3239-TODAY(),""))</f>
        <v/>
      </c>
      <c r="J3239" s="4" t="str">
        <f aca="true">IF($D3239="Manual Review","Manual Review",IF($G3239="","No Data",IF(NOT(ISNUMBER($H3239)),"N/A",IF($H3239&lt;TODAY(),"Overdue",IF($H3239&lt;=TODAY()+30,"Due within 1 Month",IF($H3239&lt;=TODAY()+60,"Due within 2 Months","OK"))))))</f>
        <v>No Data</v>
      </c>
      <c r="K3239" s="13"/>
    </row>
    <row r="3240" customFormat="false" ht="15" hidden="false" customHeight="false" outlineLevel="0" collapsed="false">
      <c r="A3240" s="9" t="str">
        <f aca="false">Vessels!B33</f>
        <v>Vessel 29</v>
      </c>
      <c r="B3240" s="9" t="s">
        <v>136</v>
      </c>
      <c r="C3240" s="7" t="s">
        <v>145</v>
      </c>
      <c r="D3240" s="9" t="s">
        <v>45</v>
      </c>
      <c r="E3240" s="9" t="s">
        <v>44</v>
      </c>
      <c r="F3240" s="5" t="n">
        <v>12</v>
      </c>
      <c r="G3240" s="10"/>
      <c r="H3240" s="11" t="str">
        <f aca="false">IFERROR(IF($D3240="Manual Review","",IF($G3240="","",IF($D3240="Direct Expiry",$G3240,EDATE($G3240,$F3240)))),"Check Date")</f>
        <v/>
      </c>
      <c r="I3240" s="12" t="str">
        <f aca="true">IF($H3240="","",IF(ISNUMBER($H3240),$H3240-TODAY(),""))</f>
        <v/>
      </c>
      <c r="J3240" s="4" t="str">
        <f aca="true">IF($D3240="Manual Review","Manual Review",IF($G3240="","No Data",IF(NOT(ISNUMBER($H3240)),"N/A",IF($H3240&lt;TODAY(),"Overdue",IF($H3240&lt;=TODAY()+30,"Due within 1 Month",IF($H3240&lt;=TODAY()+60,"Due within 2 Months","OK"))))))</f>
        <v>No Data</v>
      </c>
      <c r="K3240" s="13"/>
    </row>
    <row r="3241" customFormat="false" ht="15" hidden="false" customHeight="false" outlineLevel="0" collapsed="false">
      <c r="A3241" s="9" t="str">
        <f aca="false">Vessels!B33</f>
        <v>Vessel 29</v>
      </c>
      <c r="B3241" s="9" t="s">
        <v>136</v>
      </c>
      <c r="C3241" s="7" t="s">
        <v>146</v>
      </c>
      <c r="D3241" s="9" t="s">
        <v>45</v>
      </c>
      <c r="E3241" s="9" t="s">
        <v>44</v>
      </c>
      <c r="F3241" s="5" t="n">
        <v>12</v>
      </c>
      <c r="G3241" s="10"/>
      <c r="H3241" s="11" t="str">
        <f aca="false">IFERROR(IF($D3241="Manual Review","",IF($G3241="","",IF($D3241="Direct Expiry",$G3241,EDATE($G3241,$F3241)))),"Check Date")</f>
        <v/>
      </c>
      <c r="I3241" s="12" t="str">
        <f aca="true">IF($H3241="","",IF(ISNUMBER($H3241),$H3241-TODAY(),""))</f>
        <v/>
      </c>
      <c r="J3241" s="4" t="str">
        <f aca="true">IF($D3241="Manual Review","Manual Review",IF($G3241="","No Data",IF(NOT(ISNUMBER($H3241)),"N/A",IF($H3241&lt;TODAY(),"Overdue",IF($H3241&lt;=TODAY()+30,"Due within 1 Month",IF($H3241&lt;=TODAY()+60,"Due within 2 Months","OK"))))))</f>
        <v>No Data</v>
      </c>
      <c r="K3241" s="13"/>
    </row>
    <row r="3242" customFormat="false" ht="15" hidden="false" customHeight="false" outlineLevel="0" collapsed="false">
      <c r="A3242" s="9" t="str">
        <f aca="false">Vessels!B33</f>
        <v>Vessel 29</v>
      </c>
      <c r="B3242" s="9" t="s">
        <v>136</v>
      </c>
      <c r="C3242" s="7" t="s">
        <v>147</v>
      </c>
      <c r="D3242" s="9" t="s">
        <v>45</v>
      </c>
      <c r="E3242" s="9" t="s">
        <v>44</v>
      </c>
      <c r="F3242" s="5" t="n">
        <v>12</v>
      </c>
      <c r="G3242" s="10"/>
      <c r="H3242" s="11" t="str">
        <f aca="false">IFERROR(IF($D3242="Manual Review","",IF($G3242="","",IF($D3242="Direct Expiry",$G3242,EDATE($G3242,$F3242)))),"Check Date")</f>
        <v/>
      </c>
      <c r="I3242" s="12" t="str">
        <f aca="true">IF($H3242="","",IF(ISNUMBER($H3242),$H3242-TODAY(),""))</f>
        <v/>
      </c>
      <c r="J3242" s="4" t="str">
        <f aca="true">IF($D3242="Manual Review","Manual Review",IF($G3242="","No Data",IF(NOT(ISNUMBER($H3242)),"N/A",IF($H3242&lt;TODAY(),"Overdue",IF($H3242&lt;=TODAY()+30,"Due within 1 Month",IF($H3242&lt;=TODAY()+60,"Due within 2 Months","OK"))))))</f>
        <v>No Data</v>
      </c>
      <c r="K3242" s="13"/>
    </row>
    <row r="3243" customFormat="false" ht="15" hidden="false" customHeight="false" outlineLevel="0" collapsed="false">
      <c r="A3243" s="9" t="str">
        <f aca="false">Vessels!B33</f>
        <v>Vessel 29</v>
      </c>
      <c r="B3243" s="9" t="s">
        <v>136</v>
      </c>
      <c r="C3243" s="7" t="s">
        <v>148</v>
      </c>
      <c r="D3243" s="9" t="s">
        <v>45</v>
      </c>
      <c r="E3243" s="9" t="s">
        <v>44</v>
      </c>
      <c r="F3243" s="5" t="n">
        <v>12</v>
      </c>
      <c r="G3243" s="10"/>
      <c r="H3243" s="11" t="str">
        <f aca="false">IFERROR(IF($D3243="Manual Review","",IF($G3243="","",IF($D3243="Direct Expiry",$G3243,EDATE($G3243,$F3243)))),"Check Date")</f>
        <v/>
      </c>
      <c r="I3243" s="12" t="str">
        <f aca="true">IF($H3243="","",IF(ISNUMBER($H3243),$H3243-TODAY(),""))</f>
        <v/>
      </c>
      <c r="J3243" s="4" t="str">
        <f aca="true">IF($D3243="Manual Review","Manual Review",IF($G3243="","No Data",IF(NOT(ISNUMBER($H3243)),"N/A",IF($H3243&lt;TODAY(),"Overdue",IF($H3243&lt;=TODAY()+30,"Due within 1 Month",IF($H3243&lt;=TODAY()+60,"Due within 2 Months","OK"))))))</f>
        <v>No Data</v>
      </c>
      <c r="K3243" s="13"/>
    </row>
    <row r="3244" customFormat="false" ht="15" hidden="false" customHeight="false" outlineLevel="0" collapsed="false">
      <c r="A3244" s="9" t="str">
        <f aca="false">Vessels!B33</f>
        <v>Vessel 29</v>
      </c>
      <c r="B3244" s="9" t="s">
        <v>136</v>
      </c>
      <c r="C3244" s="7" t="s">
        <v>149</v>
      </c>
      <c r="D3244" s="9" t="s">
        <v>45</v>
      </c>
      <c r="E3244" s="9" t="s">
        <v>44</v>
      </c>
      <c r="F3244" s="5" t="n">
        <v>12</v>
      </c>
      <c r="G3244" s="10"/>
      <c r="H3244" s="11" t="str">
        <f aca="false">IFERROR(IF($D3244="Manual Review","",IF($G3244="","",IF($D3244="Direct Expiry",$G3244,EDATE($G3244,$F3244)))),"Check Date")</f>
        <v/>
      </c>
      <c r="I3244" s="12" t="str">
        <f aca="true">IF($H3244="","",IF(ISNUMBER($H3244),$H3244-TODAY(),""))</f>
        <v/>
      </c>
      <c r="J3244" s="4" t="str">
        <f aca="true">IF($D3244="Manual Review","Manual Review",IF($G3244="","No Data",IF(NOT(ISNUMBER($H3244)),"N/A",IF($H3244&lt;TODAY(),"Overdue",IF($H3244&lt;=TODAY()+30,"Due within 1 Month",IF($H3244&lt;=TODAY()+60,"Due within 2 Months","OK"))))))</f>
        <v>No Data</v>
      </c>
      <c r="K3244" s="13"/>
    </row>
    <row r="3245" customFormat="false" ht="15" hidden="false" customHeight="false" outlineLevel="0" collapsed="false">
      <c r="A3245" s="9" t="str">
        <f aca="false">Vessels!B33</f>
        <v>Vessel 29</v>
      </c>
      <c r="B3245" s="9" t="s">
        <v>136</v>
      </c>
      <c r="C3245" s="7" t="s">
        <v>150</v>
      </c>
      <c r="D3245" s="9" t="s">
        <v>45</v>
      </c>
      <c r="E3245" s="9" t="s">
        <v>44</v>
      </c>
      <c r="F3245" s="5" t="n">
        <v>12</v>
      </c>
      <c r="G3245" s="10"/>
      <c r="H3245" s="11" t="str">
        <f aca="false">IFERROR(IF($D3245="Manual Review","",IF($G3245="","",IF($D3245="Direct Expiry",$G3245,EDATE($G3245,$F3245)))),"Check Date")</f>
        <v/>
      </c>
      <c r="I3245" s="12" t="str">
        <f aca="true">IF($H3245="","",IF(ISNUMBER($H3245),$H3245-TODAY(),""))</f>
        <v/>
      </c>
      <c r="J3245" s="4" t="str">
        <f aca="true">IF($D3245="Manual Review","Manual Review",IF($G3245="","No Data",IF(NOT(ISNUMBER($H3245)),"N/A",IF($H3245&lt;TODAY(),"Overdue",IF($H3245&lt;=TODAY()+30,"Due within 1 Month",IF($H3245&lt;=TODAY()+60,"Due within 2 Months","OK"))))))</f>
        <v>No Data</v>
      </c>
      <c r="K3245" s="13"/>
    </row>
    <row r="3246" customFormat="false" ht="15" hidden="false" customHeight="false" outlineLevel="0" collapsed="false">
      <c r="A3246" s="9" t="str">
        <f aca="false">Vessels!B33</f>
        <v>Vessel 29</v>
      </c>
      <c r="B3246" s="9" t="s">
        <v>136</v>
      </c>
      <c r="C3246" s="7" t="s">
        <v>151</v>
      </c>
      <c r="D3246" s="9" t="s">
        <v>45</v>
      </c>
      <c r="E3246" s="9" t="s">
        <v>44</v>
      </c>
      <c r="F3246" s="5" t="n">
        <v>12</v>
      </c>
      <c r="G3246" s="10"/>
      <c r="H3246" s="11" t="str">
        <f aca="false">IFERROR(IF($D3246="Manual Review","",IF($G3246="","",IF($D3246="Direct Expiry",$G3246,EDATE($G3246,$F3246)))),"Check Date")</f>
        <v/>
      </c>
      <c r="I3246" s="12" t="str">
        <f aca="true">IF($H3246="","",IF(ISNUMBER($H3246),$H3246-TODAY(),""))</f>
        <v/>
      </c>
      <c r="J3246" s="4" t="str">
        <f aca="true">IF($D3246="Manual Review","Manual Review",IF($G3246="","No Data",IF(NOT(ISNUMBER($H3246)),"N/A",IF($H3246&lt;TODAY(),"Overdue",IF($H3246&lt;=TODAY()+30,"Due within 1 Month",IF($H3246&lt;=TODAY()+60,"Due within 2 Months","OK"))))))</f>
        <v>No Data</v>
      </c>
      <c r="K3246" s="13"/>
    </row>
    <row r="3247" customFormat="false" ht="15" hidden="false" customHeight="false" outlineLevel="0" collapsed="false">
      <c r="A3247" s="9" t="str">
        <f aca="false">Vessels!B33</f>
        <v>Vessel 29</v>
      </c>
      <c r="B3247" s="9" t="s">
        <v>136</v>
      </c>
      <c r="C3247" s="7" t="s">
        <v>152</v>
      </c>
      <c r="D3247" s="9" t="s">
        <v>45</v>
      </c>
      <c r="E3247" s="9" t="s">
        <v>44</v>
      </c>
      <c r="F3247" s="5" t="n">
        <v>12</v>
      </c>
      <c r="G3247" s="10"/>
      <c r="H3247" s="11" t="str">
        <f aca="false">IFERROR(IF($D3247="Manual Review","",IF($G3247="","",IF($D3247="Direct Expiry",$G3247,EDATE($G3247,$F3247)))),"Check Date")</f>
        <v/>
      </c>
      <c r="I3247" s="12" t="str">
        <f aca="true">IF($H3247="","",IF(ISNUMBER($H3247),$H3247-TODAY(),""))</f>
        <v/>
      </c>
      <c r="J3247" s="4" t="str">
        <f aca="true">IF($D3247="Manual Review","Manual Review",IF($G3247="","No Data",IF(NOT(ISNUMBER($H3247)),"N/A",IF($H3247&lt;TODAY(),"Overdue",IF($H3247&lt;=TODAY()+30,"Due within 1 Month",IF($H3247&lt;=TODAY()+60,"Due within 2 Months","OK"))))))</f>
        <v>No Data</v>
      </c>
      <c r="K3247" s="13"/>
    </row>
    <row r="3248" customFormat="false" ht="15" hidden="false" customHeight="false" outlineLevel="0" collapsed="false">
      <c r="A3248" s="9" t="str">
        <f aca="false">Vessels!B33</f>
        <v>Vessel 29</v>
      </c>
      <c r="B3248" s="9" t="s">
        <v>136</v>
      </c>
      <c r="C3248" s="7" t="s">
        <v>153</v>
      </c>
      <c r="D3248" s="9" t="s">
        <v>45</v>
      </c>
      <c r="E3248" s="9" t="s">
        <v>44</v>
      </c>
      <c r="F3248" s="5" t="n">
        <v>12</v>
      </c>
      <c r="G3248" s="10"/>
      <c r="H3248" s="11" t="str">
        <f aca="false">IFERROR(IF($D3248="Manual Review","",IF($G3248="","",IF($D3248="Direct Expiry",$G3248,EDATE($G3248,$F3248)))),"Check Date")</f>
        <v/>
      </c>
      <c r="I3248" s="12" t="str">
        <f aca="true">IF($H3248="","",IF(ISNUMBER($H3248),$H3248-TODAY(),""))</f>
        <v/>
      </c>
      <c r="J3248" s="4" t="str">
        <f aca="true">IF($D3248="Manual Review","Manual Review",IF($G3248="","No Data",IF(NOT(ISNUMBER($H3248)),"N/A",IF($H3248&lt;TODAY(),"Overdue",IF($H3248&lt;=TODAY()+30,"Due within 1 Month",IF($H3248&lt;=TODAY()+60,"Due within 2 Months","OK"))))))</f>
        <v>No Data</v>
      </c>
      <c r="K3248" s="13"/>
    </row>
    <row r="3249" customFormat="false" ht="15" hidden="false" customHeight="false" outlineLevel="0" collapsed="false">
      <c r="A3249" s="9" t="str">
        <f aca="false">Vessels!B33</f>
        <v>Vessel 29</v>
      </c>
      <c r="B3249" s="9" t="s">
        <v>136</v>
      </c>
      <c r="C3249" s="7" t="s">
        <v>154</v>
      </c>
      <c r="D3249" s="9" t="s">
        <v>45</v>
      </c>
      <c r="E3249" s="9" t="s">
        <v>44</v>
      </c>
      <c r="F3249" s="5" t="n">
        <v>12</v>
      </c>
      <c r="G3249" s="10"/>
      <c r="H3249" s="11" t="str">
        <f aca="false">IFERROR(IF($D3249="Manual Review","",IF($G3249="","",IF($D3249="Direct Expiry",$G3249,EDATE($G3249,$F3249)))),"Check Date")</f>
        <v/>
      </c>
      <c r="I3249" s="12" t="str">
        <f aca="true">IF($H3249="","",IF(ISNUMBER($H3249),$H3249-TODAY(),""))</f>
        <v/>
      </c>
      <c r="J3249" s="4" t="str">
        <f aca="true">IF($D3249="Manual Review","Manual Review",IF($G3249="","No Data",IF(NOT(ISNUMBER($H3249)),"N/A",IF($H3249&lt;TODAY(),"Overdue",IF($H3249&lt;=TODAY()+30,"Due within 1 Month",IF($H3249&lt;=TODAY()+60,"Due within 2 Months","OK"))))))</f>
        <v>No Data</v>
      </c>
      <c r="K3249" s="13"/>
    </row>
    <row r="3250" customFormat="false" ht="15" hidden="false" customHeight="false" outlineLevel="0" collapsed="false">
      <c r="A3250" s="9" t="str">
        <f aca="false">Vessels!B33</f>
        <v>Vessel 29</v>
      </c>
      <c r="B3250" s="9" t="s">
        <v>136</v>
      </c>
      <c r="C3250" s="7" t="s">
        <v>155</v>
      </c>
      <c r="D3250" s="9" t="s">
        <v>45</v>
      </c>
      <c r="E3250" s="9" t="s">
        <v>44</v>
      </c>
      <c r="F3250" s="5" t="n">
        <v>12</v>
      </c>
      <c r="G3250" s="10"/>
      <c r="H3250" s="11" t="str">
        <f aca="false">IFERROR(IF($D3250="Manual Review","",IF($G3250="","",IF($D3250="Direct Expiry",$G3250,EDATE($G3250,$F3250)))),"Check Date")</f>
        <v/>
      </c>
      <c r="I3250" s="12" t="str">
        <f aca="true">IF($H3250="","",IF(ISNUMBER($H3250),$H3250-TODAY(),""))</f>
        <v/>
      </c>
      <c r="J3250" s="4" t="str">
        <f aca="true">IF($D3250="Manual Review","Manual Review",IF($G3250="","No Data",IF(NOT(ISNUMBER($H3250)),"N/A",IF($H3250&lt;TODAY(),"Overdue",IF($H3250&lt;=TODAY()+30,"Due within 1 Month",IF($H3250&lt;=TODAY()+60,"Due within 2 Months","OK"))))))</f>
        <v>No Data</v>
      </c>
      <c r="K3250" s="13"/>
    </row>
    <row r="3251" customFormat="false" ht="15" hidden="false" customHeight="false" outlineLevel="0" collapsed="false">
      <c r="A3251" s="9" t="str">
        <f aca="false">Vessels!B33</f>
        <v>Vessel 29</v>
      </c>
      <c r="B3251" s="9" t="s">
        <v>136</v>
      </c>
      <c r="C3251" s="7" t="s">
        <v>156</v>
      </c>
      <c r="D3251" s="9" t="s">
        <v>45</v>
      </c>
      <c r="E3251" s="9" t="s">
        <v>44</v>
      </c>
      <c r="F3251" s="5" t="n">
        <v>12</v>
      </c>
      <c r="G3251" s="10"/>
      <c r="H3251" s="11" t="str">
        <f aca="false">IFERROR(IF($D3251="Manual Review","",IF($G3251="","",IF($D3251="Direct Expiry",$G3251,EDATE($G3251,$F3251)))),"Check Date")</f>
        <v/>
      </c>
      <c r="I3251" s="12" t="str">
        <f aca="true">IF($H3251="","",IF(ISNUMBER($H3251),$H3251-TODAY(),""))</f>
        <v/>
      </c>
      <c r="J3251" s="4" t="str">
        <f aca="true">IF($D3251="Manual Review","Manual Review",IF($G3251="","No Data",IF(NOT(ISNUMBER($H3251)),"N/A",IF($H3251&lt;TODAY(),"Overdue",IF($H3251&lt;=TODAY()+30,"Due within 1 Month",IF($H3251&lt;=TODAY()+60,"Due within 2 Months","OK"))))))</f>
        <v>No Data</v>
      </c>
      <c r="K3251" s="13"/>
    </row>
    <row r="3252" customFormat="false" ht="15" hidden="false" customHeight="false" outlineLevel="0" collapsed="false">
      <c r="A3252" s="9" t="str">
        <f aca="false">Vessels!B33</f>
        <v>Vessel 29</v>
      </c>
      <c r="B3252" s="9" t="s">
        <v>136</v>
      </c>
      <c r="C3252" s="7" t="s">
        <v>157</v>
      </c>
      <c r="D3252" s="9" t="s">
        <v>45</v>
      </c>
      <c r="E3252" s="9" t="s">
        <v>44</v>
      </c>
      <c r="F3252" s="5" t="n">
        <v>12</v>
      </c>
      <c r="G3252" s="10"/>
      <c r="H3252" s="11" t="str">
        <f aca="false">IFERROR(IF($D3252="Manual Review","",IF($G3252="","",IF($D3252="Direct Expiry",$G3252,EDATE($G3252,$F3252)))),"Check Date")</f>
        <v/>
      </c>
      <c r="I3252" s="12" t="str">
        <f aca="true">IF($H3252="","",IF(ISNUMBER($H3252),$H3252-TODAY(),""))</f>
        <v/>
      </c>
      <c r="J3252" s="4" t="str">
        <f aca="true">IF($D3252="Manual Review","Manual Review",IF($G3252="","No Data",IF(NOT(ISNUMBER($H3252)),"N/A",IF($H3252&lt;TODAY(),"Overdue",IF($H3252&lt;=TODAY()+30,"Due within 1 Month",IF($H3252&lt;=TODAY()+60,"Due within 2 Months","OK"))))))</f>
        <v>No Data</v>
      </c>
      <c r="K3252" s="13"/>
    </row>
    <row r="3253" customFormat="false" ht="15" hidden="false" customHeight="false" outlineLevel="0" collapsed="false">
      <c r="A3253" s="9" t="str">
        <f aca="false">Vessels!B34</f>
        <v>Vessel 30</v>
      </c>
      <c r="B3253" s="9" t="s">
        <v>42</v>
      </c>
      <c r="C3253" s="7" t="s">
        <v>43</v>
      </c>
      <c r="D3253" s="9" t="s">
        <v>45</v>
      </c>
      <c r="E3253" s="9" t="s">
        <v>44</v>
      </c>
      <c r="F3253" s="5" t="n">
        <v>12</v>
      </c>
      <c r="G3253" s="10"/>
      <c r="H3253" s="11" t="str">
        <f aca="false">IFERROR(IF($D3253="Manual Review","",IF($G3253="","",IF($D3253="Direct Expiry",$G3253,EDATE($G3253,$F3253)))),"Check Date")</f>
        <v/>
      </c>
      <c r="I3253" s="12" t="str">
        <f aca="true">IF($H3253="","",IF(ISNUMBER($H3253),$H3253-TODAY(),""))</f>
        <v/>
      </c>
      <c r="J3253" s="4" t="str">
        <f aca="true">IF($D3253="Manual Review","Manual Review",IF($G3253="","No Data",IF(NOT(ISNUMBER($H3253)),"N/A",IF($H3253&lt;TODAY(),"Overdue",IF($H3253&lt;=TODAY()+30,"Due within 1 Month",IF($H3253&lt;=TODAY()+60,"Due within 2 Months","OK"))))))</f>
        <v>No Data</v>
      </c>
      <c r="K3253" s="13"/>
    </row>
    <row r="3254" customFormat="false" ht="15" hidden="false" customHeight="false" outlineLevel="0" collapsed="false">
      <c r="A3254" s="9" t="str">
        <f aca="false">Vessels!B34</f>
        <v>Vessel 30</v>
      </c>
      <c r="B3254" s="9" t="s">
        <v>42</v>
      </c>
      <c r="C3254" s="7" t="s">
        <v>43</v>
      </c>
      <c r="D3254" s="9" t="s">
        <v>45</v>
      </c>
      <c r="E3254" s="9" t="s">
        <v>46</v>
      </c>
      <c r="F3254" s="5" t="n">
        <v>60</v>
      </c>
      <c r="G3254" s="10"/>
      <c r="H3254" s="11" t="str">
        <f aca="false">IFERROR(IF($D3254="Manual Review","",IF($G3254="","",IF($D3254="Direct Expiry",$G3254,EDATE($G3254,$F3254)))),"Check Date")</f>
        <v/>
      </c>
      <c r="I3254" s="12" t="str">
        <f aca="true">IF($H3254="","",IF(ISNUMBER($H3254),$H3254-TODAY(),""))</f>
        <v/>
      </c>
      <c r="J3254" s="4" t="str">
        <f aca="true">IF($D3254="Manual Review","Manual Review",IF($G3254="","No Data",IF(NOT(ISNUMBER($H3254)),"N/A",IF($H3254&lt;TODAY(),"Overdue",IF($H3254&lt;=TODAY()+30,"Due within 1 Month",IF($H3254&lt;=TODAY()+60,"Due within 2 Months","OK"))))))</f>
        <v>No Data</v>
      </c>
      <c r="K3254" s="13"/>
    </row>
    <row r="3255" customFormat="false" ht="15" hidden="false" customHeight="false" outlineLevel="0" collapsed="false">
      <c r="A3255" s="9" t="str">
        <f aca="false">Vessels!B34</f>
        <v>Vessel 30</v>
      </c>
      <c r="B3255" s="9" t="s">
        <v>42</v>
      </c>
      <c r="C3255" s="7" t="s">
        <v>47</v>
      </c>
      <c r="D3255" s="9" t="s">
        <v>45</v>
      </c>
      <c r="E3255" s="9" t="s">
        <v>44</v>
      </c>
      <c r="F3255" s="5" t="n">
        <v>12</v>
      </c>
      <c r="G3255" s="10"/>
      <c r="H3255" s="11" t="str">
        <f aca="false">IFERROR(IF($D3255="Manual Review","",IF($G3255="","",IF($D3255="Direct Expiry",$G3255,EDATE($G3255,$F3255)))),"Check Date")</f>
        <v/>
      </c>
      <c r="I3255" s="12" t="str">
        <f aca="true">IF($H3255="","",IF(ISNUMBER($H3255),$H3255-TODAY(),""))</f>
        <v/>
      </c>
      <c r="J3255" s="4" t="str">
        <f aca="true">IF($D3255="Manual Review","Manual Review",IF($G3255="","No Data",IF(NOT(ISNUMBER($H3255)),"N/A",IF($H3255&lt;TODAY(),"Overdue",IF($H3255&lt;=TODAY()+30,"Due within 1 Month",IF($H3255&lt;=TODAY()+60,"Due within 2 Months","OK"))))))</f>
        <v>No Data</v>
      </c>
      <c r="K3255" s="13"/>
    </row>
    <row r="3256" customFormat="false" ht="15" hidden="false" customHeight="false" outlineLevel="0" collapsed="false">
      <c r="A3256" s="9" t="str">
        <f aca="false">Vessels!B34</f>
        <v>Vessel 30</v>
      </c>
      <c r="B3256" s="9" t="s">
        <v>42</v>
      </c>
      <c r="C3256" s="7" t="s">
        <v>47</v>
      </c>
      <c r="D3256" s="9" t="s">
        <v>45</v>
      </c>
      <c r="E3256" s="9" t="s">
        <v>46</v>
      </c>
      <c r="F3256" s="5" t="n">
        <v>60</v>
      </c>
      <c r="G3256" s="10"/>
      <c r="H3256" s="11" t="str">
        <f aca="false">IFERROR(IF($D3256="Manual Review","",IF($G3256="","",IF($D3256="Direct Expiry",$G3256,EDATE($G3256,$F3256)))),"Check Date")</f>
        <v/>
      </c>
      <c r="I3256" s="12" t="str">
        <f aca="true">IF($H3256="","",IF(ISNUMBER($H3256),$H3256-TODAY(),""))</f>
        <v/>
      </c>
      <c r="J3256" s="4" t="str">
        <f aca="true">IF($D3256="Manual Review","Manual Review",IF($G3256="","No Data",IF(NOT(ISNUMBER($H3256)),"N/A",IF($H3256&lt;TODAY(),"Overdue",IF($H3256&lt;=TODAY()+30,"Due within 1 Month",IF($H3256&lt;=TODAY()+60,"Due within 2 Months","OK"))))))</f>
        <v>No Data</v>
      </c>
      <c r="K3256" s="13"/>
    </row>
    <row r="3257" customFormat="false" ht="15" hidden="false" customHeight="false" outlineLevel="0" collapsed="false">
      <c r="A3257" s="9" t="str">
        <f aca="false">Vessels!B34</f>
        <v>Vessel 30</v>
      </c>
      <c r="B3257" s="9" t="s">
        <v>42</v>
      </c>
      <c r="C3257" s="7" t="s">
        <v>48</v>
      </c>
      <c r="D3257" s="9" t="s">
        <v>45</v>
      </c>
      <c r="E3257" s="9" t="s">
        <v>44</v>
      </c>
      <c r="F3257" s="5" t="n">
        <v>12</v>
      </c>
      <c r="G3257" s="10"/>
      <c r="H3257" s="11" t="str">
        <f aca="false">IFERROR(IF($D3257="Manual Review","",IF($G3257="","",IF($D3257="Direct Expiry",$G3257,EDATE($G3257,$F3257)))),"Check Date")</f>
        <v/>
      </c>
      <c r="I3257" s="12" t="str">
        <f aca="true">IF($H3257="","",IF(ISNUMBER($H3257),$H3257-TODAY(),""))</f>
        <v/>
      </c>
      <c r="J3257" s="4" t="str">
        <f aca="true">IF($D3257="Manual Review","Manual Review",IF($G3257="","No Data",IF(NOT(ISNUMBER($H3257)),"N/A",IF($H3257&lt;TODAY(),"Overdue",IF($H3257&lt;=TODAY()+30,"Due within 1 Month",IF($H3257&lt;=TODAY()+60,"Due within 2 Months","OK"))))))</f>
        <v>No Data</v>
      </c>
      <c r="K3257" s="13"/>
    </row>
    <row r="3258" customFormat="false" ht="15" hidden="false" customHeight="false" outlineLevel="0" collapsed="false">
      <c r="A3258" s="9" t="str">
        <f aca="false">Vessels!B34</f>
        <v>Vessel 30</v>
      </c>
      <c r="B3258" s="9" t="s">
        <v>42</v>
      </c>
      <c r="C3258" s="7" t="s">
        <v>48</v>
      </c>
      <c r="D3258" s="9" t="s">
        <v>45</v>
      </c>
      <c r="E3258" s="9" t="s">
        <v>49</v>
      </c>
      <c r="F3258" s="5" t="n">
        <v>60</v>
      </c>
      <c r="G3258" s="10"/>
      <c r="H3258" s="11" t="str">
        <f aca="false">IFERROR(IF($D3258="Manual Review","",IF($G3258="","",IF($D3258="Direct Expiry",$G3258,EDATE($G3258,$F3258)))),"Check Date")</f>
        <v/>
      </c>
      <c r="I3258" s="12" t="str">
        <f aca="true">IF($H3258="","",IF(ISNUMBER($H3258),$H3258-TODAY(),""))</f>
        <v/>
      </c>
      <c r="J3258" s="4" t="str">
        <f aca="true">IF($D3258="Manual Review","Manual Review",IF($G3258="","No Data",IF(NOT(ISNUMBER($H3258)),"N/A",IF($H3258&lt;TODAY(),"Overdue",IF($H3258&lt;=TODAY()+30,"Due within 1 Month",IF($H3258&lt;=TODAY()+60,"Due within 2 Months","OK"))))))</f>
        <v>No Data</v>
      </c>
      <c r="K3258" s="13"/>
    </row>
    <row r="3259" customFormat="false" ht="15" hidden="false" customHeight="false" outlineLevel="0" collapsed="false">
      <c r="A3259" s="9" t="str">
        <f aca="false">Vessels!B34</f>
        <v>Vessel 30</v>
      </c>
      <c r="B3259" s="9" t="s">
        <v>42</v>
      </c>
      <c r="C3259" s="7" t="s">
        <v>50</v>
      </c>
      <c r="D3259" s="9" t="s">
        <v>45</v>
      </c>
      <c r="E3259" s="9" t="s">
        <v>44</v>
      </c>
      <c r="F3259" s="5" t="n">
        <v>12</v>
      </c>
      <c r="G3259" s="10"/>
      <c r="H3259" s="11" t="str">
        <f aca="false">IFERROR(IF($D3259="Manual Review","",IF($G3259="","",IF($D3259="Direct Expiry",$G3259,EDATE($G3259,$F3259)))),"Check Date")</f>
        <v/>
      </c>
      <c r="I3259" s="12" t="str">
        <f aca="true">IF($H3259="","",IF(ISNUMBER($H3259),$H3259-TODAY(),""))</f>
        <v/>
      </c>
      <c r="J3259" s="4" t="str">
        <f aca="true">IF($D3259="Manual Review","Manual Review",IF($G3259="","No Data",IF(NOT(ISNUMBER($H3259)),"N/A",IF($H3259&lt;TODAY(),"Overdue",IF($H3259&lt;=TODAY()+30,"Due within 1 Month",IF($H3259&lt;=TODAY()+60,"Due within 2 Months","OK"))))))</f>
        <v>No Data</v>
      </c>
      <c r="K3259" s="13"/>
    </row>
    <row r="3260" customFormat="false" ht="15" hidden="false" customHeight="false" outlineLevel="0" collapsed="false">
      <c r="A3260" s="9" t="str">
        <f aca="false">Vessels!B34</f>
        <v>Vessel 30</v>
      </c>
      <c r="B3260" s="9" t="s">
        <v>42</v>
      </c>
      <c r="C3260" s="7" t="s">
        <v>50</v>
      </c>
      <c r="D3260" s="9" t="s">
        <v>45</v>
      </c>
      <c r="E3260" s="9" t="s">
        <v>49</v>
      </c>
      <c r="F3260" s="5" t="n">
        <v>60</v>
      </c>
      <c r="G3260" s="10"/>
      <c r="H3260" s="11" t="str">
        <f aca="false">IFERROR(IF($D3260="Manual Review","",IF($G3260="","",IF($D3260="Direct Expiry",$G3260,EDATE($G3260,$F3260)))),"Check Date")</f>
        <v/>
      </c>
      <c r="I3260" s="12" t="str">
        <f aca="true">IF($H3260="","",IF(ISNUMBER($H3260),$H3260-TODAY(),""))</f>
        <v/>
      </c>
      <c r="J3260" s="4" t="str">
        <f aca="true">IF($D3260="Manual Review","Manual Review",IF($G3260="","No Data",IF(NOT(ISNUMBER($H3260)),"N/A",IF($H3260&lt;TODAY(),"Overdue",IF($H3260&lt;=TODAY()+30,"Due within 1 Month",IF($H3260&lt;=TODAY()+60,"Due within 2 Months","OK"))))))</f>
        <v>No Data</v>
      </c>
      <c r="K3260" s="13"/>
    </row>
    <row r="3261" customFormat="false" ht="15" hidden="false" customHeight="false" outlineLevel="0" collapsed="false">
      <c r="A3261" s="9" t="str">
        <f aca="false">Vessels!B34</f>
        <v>Vessel 30</v>
      </c>
      <c r="B3261" s="9" t="s">
        <v>42</v>
      </c>
      <c r="C3261" s="7" t="s">
        <v>51</v>
      </c>
      <c r="D3261" s="9" t="s">
        <v>45</v>
      </c>
      <c r="E3261" s="9" t="s">
        <v>46</v>
      </c>
      <c r="F3261" s="5" t="n">
        <v>60</v>
      </c>
      <c r="G3261" s="10"/>
      <c r="H3261" s="11" t="str">
        <f aca="false">IFERROR(IF($D3261="Manual Review","",IF($G3261="","",IF($D3261="Direct Expiry",$G3261,EDATE($G3261,$F3261)))),"Check Date")</f>
        <v/>
      </c>
      <c r="I3261" s="12" t="str">
        <f aca="true">IF($H3261="","",IF(ISNUMBER($H3261),$H3261-TODAY(),""))</f>
        <v/>
      </c>
      <c r="J3261" s="4" t="str">
        <f aca="true">IF($D3261="Manual Review","Manual Review",IF($G3261="","No Data",IF(NOT(ISNUMBER($H3261)),"N/A",IF($H3261&lt;TODAY(),"Overdue",IF($H3261&lt;=TODAY()+30,"Due within 1 Month",IF($H3261&lt;=TODAY()+60,"Due within 2 Months","OK"))))))</f>
        <v>No Data</v>
      </c>
      <c r="K3261" s="13"/>
    </row>
    <row r="3262" customFormat="false" ht="15" hidden="false" customHeight="false" outlineLevel="0" collapsed="false">
      <c r="A3262" s="9" t="str">
        <f aca="false">Vessels!B34</f>
        <v>Vessel 30</v>
      </c>
      <c r="B3262" s="9" t="s">
        <v>42</v>
      </c>
      <c r="C3262" s="7" t="s">
        <v>52</v>
      </c>
      <c r="D3262" s="9" t="s">
        <v>45</v>
      </c>
      <c r="E3262" s="9" t="s">
        <v>46</v>
      </c>
      <c r="F3262" s="5" t="n">
        <v>60</v>
      </c>
      <c r="G3262" s="10"/>
      <c r="H3262" s="11" t="str">
        <f aca="false">IFERROR(IF($D3262="Manual Review","",IF($G3262="","",IF($D3262="Direct Expiry",$G3262,EDATE($G3262,$F3262)))),"Check Date")</f>
        <v/>
      </c>
      <c r="I3262" s="12" t="str">
        <f aca="true">IF($H3262="","",IF(ISNUMBER($H3262),$H3262-TODAY(),""))</f>
        <v/>
      </c>
      <c r="J3262" s="4" t="str">
        <f aca="true">IF($D3262="Manual Review","Manual Review",IF($G3262="","No Data",IF(NOT(ISNUMBER($H3262)),"N/A",IF($H3262&lt;TODAY(),"Overdue",IF($H3262&lt;=TODAY()+30,"Due within 1 Month",IF($H3262&lt;=TODAY()+60,"Due within 2 Months","OK"))))))</f>
        <v>No Data</v>
      </c>
      <c r="K3262" s="13"/>
    </row>
    <row r="3263" customFormat="false" ht="15" hidden="false" customHeight="false" outlineLevel="0" collapsed="false">
      <c r="A3263" s="9" t="str">
        <f aca="false">Vessels!B34</f>
        <v>Vessel 30</v>
      </c>
      <c r="B3263" s="9" t="s">
        <v>42</v>
      </c>
      <c r="C3263" s="7" t="s">
        <v>53</v>
      </c>
      <c r="D3263" s="9" t="s">
        <v>45</v>
      </c>
      <c r="E3263" s="9" t="s">
        <v>46</v>
      </c>
      <c r="F3263" s="5" t="n">
        <v>60</v>
      </c>
      <c r="G3263" s="10"/>
      <c r="H3263" s="11" t="str">
        <f aca="false">IFERROR(IF($D3263="Manual Review","",IF($G3263="","",IF($D3263="Direct Expiry",$G3263,EDATE($G3263,$F3263)))),"Check Date")</f>
        <v/>
      </c>
      <c r="I3263" s="12" t="str">
        <f aca="true">IF($H3263="","",IF(ISNUMBER($H3263),$H3263-TODAY(),""))</f>
        <v/>
      </c>
      <c r="J3263" s="4" t="str">
        <f aca="true">IF($D3263="Manual Review","Manual Review",IF($G3263="","No Data",IF(NOT(ISNUMBER($H3263)),"N/A",IF($H3263&lt;TODAY(),"Overdue",IF($H3263&lt;=TODAY()+30,"Due within 1 Month",IF($H3263&lt;=TODAY()+60,"Due within 2 Months","OK"))))))</f>
        <v>No Data</v>
      </c>
      <c r="K3263" s="13"/>
    </row>
    <row r="3264" customFormat="false" ht="15" hidden="false" customHeight="false" outlineLevel="0" collapsed="false">
      <c r="A3264" s="9" t="str">
        <f aca="false">Vessels!B34</f>
        <v>Vessel 30</v>
      </c>
      <c r="B3264" s="9" t="s">
        <v>42</v>
      </c>
      <c r="C3264" s="7" t="s">
        <v>54</v>
      </c>
      <c r="D3264" s="9" t="s">
        <v>45</v>
      </c>
      <c r="E3264" s="9" t="s">
        <v>46</v>
      </c>
      <c r="F3264" s="5" t="n">
        <v>60</v>
      </c>
      <c r="G3264" s="10"/>
      <c r="H3264" s="11" t="str">
        <f aca="false">IFERROR(IF($D3264="Manual Review","",IF($G3264="","",IF($D3264="Direct Expiry",$G3264,EDATE($G3264,$F3264)))),"Check Date")</f>
        <v/>
      </c>
      <c r="I3264" s="12" t="str">
        <f aca="true">IF($H3264="","",IF(ISNUMBER($H3264),$H3264-TODAY(),""))</f>
        <v/>
      </c>
      <c r="J3264" s="4" t="str">
        <f aca="true">IF($D3264="Manual Review","Manual Review",IF($G3264="","No Data",IF(NOT(ISNUMBER($H3264)),"N/A",IF($H3264&lt;TODAY(),"Overdue",IF($H3264&lt;=TODAY()+30,"Due within 1 Month",IF($H3264&lt;=TODAY()+60,"Due within 2 Months","OK"))))))</f>
        <v>No Data</v>
      </c>
      <c r="K3264" s="13"/>
    </row>
    <row r="3265" customFormat="false" ht="15" hidden="false" customHeight="false" outlineLevel="0" collapsed="false">
      <c r="A3265" s="9" t="str">
        <f aca="false">Vessels!B34</f>
        <v>Vessel 30</v>
      </c>
      <c r="B3265" s="9" t="s">
        <v>42</v>
      </c>
      <c r="C3265" s="7" t="s">
        <v>55</v>
      </c>
      <c r="D3265" s="9" t="s">
        <v>45</v>
      </c>
      <c r="E3265" s="9" t="s">
        <v>46</v>
      </c>
      <c r="F3265" s="5" t="n">
        <v>60</v>
      </c>
      <c r="G3265" s="10"/>
      <c r="H3265" s="11" t="str">
        <f aca="false">IFERROR(IF($D3265="Manual Review","",IF($G3265="","",IF($D3265="Direct Expiry",$G3265,EDATE($G3265,$F3265)))),"Check Date")</f>
        <v/>
      </c>
      <c r="I3265" s="12" t="str">
        <f aca="true">IF($H3265="","",IF(ISNUMBER($H3265),$H3265-TODAY(),""))</f>
        <v/>
      </c>
      <c r="J3265" s="4" t="str">
        <f aca="true">IF($D3265="Manual Review","Manual Review",IF($G3265="","No Data",IF(NOT(ISNUMBER($H3265)),"N/A",IF($H3265&lt;TODAY(),"Overdue",IF($H3265&lt;=TODAY()+30,"Due within 1 Month",IF($H3265&lt;=TODAY()+60,"Due within 2 Months","OK"))))))</f>
        <v>No Data</v>
      </c>
      <c r="K3265" s="13"/>
    </row>
    <row r="3266" customFormat="false" ht="15" hidden="false" customHeight="false" outlineLevel="0" collapsed="false">
      <c r="A3266" s="9" t="str">
        <f aca="false">Vessels!B34</f>
        <v>Vessel 30</v>
      </c>
      <c r="B3266" s="9" t="s">
        <v>42</v>
      </c>
      <c r="C3266" s="7" t="s">
        <v>56</v>
      </c>
      <c r="D3266" s="9" t="s">
        <v>45</v>
      </c>
      <c r="E3266" s="9" t="s">
        <v>46</v>
      </c>
      <c r="F3266" s="5" t="n">
        <v>60</v>
      </c>
      <c r="G3266" s="10"/>
      <c r="H3266" s="11" t="str">
        <f aca="false">IFERROR(IF($D3266="Manual Review","",IF($G3266="","",IF($D3266="Direct Expiry",$G3266,EDATE($G3266,$F3266)))),"Check Date")</f>
        <v/>
      </c>
      <c r="I3266" s="12" t="str">
        <f aca="true">IF($H3266="","",IF(ISNUMBER($H3266),$H3266-TODAY(),""))</f>
        <v/>
      </c>
      <c r="J3266" s="4" t="str">
        <f aca="true">IF($D3266="Manual Review","Manual Review",IF($G3266="","No Data",IF(NOT(ISNUMBER($H3266)),"N/A",IF($H3266&lt;TODAY(),"Overdue",IF($H3266&lt;=TODAY()+30,"Due within 1 Month",IF($H3266&lt;=TODAY()+60,"Due within 2 Months","OK"))))))</f>
        <v>No Data</v>
      </c>
      <c r="K3266" s="13"/>
    </row>
    <row r="3267" customFormat="false" ht="15" hidden="false" customHeight="false" outlineLevel="0" collapsed="false">
      <c r="A3267" s="9" t="str">
        <f aca="false">Vessels!B34</f>
        <v>Vessel 30</v>
      </c>
      <c r="B3267" s="9" t="s">
        <v>42</v>
      </c>
      <c r="C3267" s="7" t="s">
        <v>57</v>
      </c>
      <c r="D3267" s="9" t="s">
        <v>59</v>
      </c>
      <c r="E3267" s="9" t="s">
        <v>58</v>
      </c>
      <c r="F3267" s="5"/>
      <c r="G3267" s="10"/>
      <c r="H3267" s="11" t="str">
        <f aca="false">IFERROR(IF($D3267="Manual Review","",IF($G3267="","",IF($D3267="Direct Expiry",$G3267,EDATE($G3267,$F3267)))),"Check Date")</f>
        <v/>
      </c>
      <c r="I3267" s="12" t="str">
        <f aca="true">IF($H3267="","",IF(ISNUMBER($H3267),$H3267-TODAY(),""))</f>
        <v/>
      </c>
      <c r="J3267" s="4" t="str">
        <f aca="true">IF($D3267="Manual Review","Manual Review",IF($G3267="","No Data",IF(NOT(ISNUMBER($H3267)),"N/A",IF($H3267&lt;TODAY(),"Overdue",IF($H3267&lt;=TODAY()+30,"Due within 1 Month",IF($H3267&lt;=TODAY()+60,"Due within 2 Months","OK"))))))</f>
        <v>No Data</v>
      </c>
      <c r="K3267" s="13"/>
    </row>
    <row r="3268" customFormat="false" ht="15" hidden="false" customHeight="false" outlineLevel="0" collapsed="false">
      <c r="A3268" s="9" t="str">
        <f aca="false">Vessels!B34</f>
        <v>Vessel 30</v>
      </c>
      <c r="B3268" s="9" t="s">
        <v>42</v>
      </c>
      <c r="C3268" s="7" t="s">
        <v>60</v>
      </c>
      <c r="D3268" s="9" t="s">
        <v>45</v>
      </c>
      <c r="E3268" s="9" t="s">
        <v>44</v>
      </c>
      <c r="F3268" s="5" t="n">
        <v>12</v>
      </c>
      <c r="G3268" s="10"/>
      <c r="H3268" s="11" t="str">
        <f aca="false">IFERROR(IF($D3268="Manual Review","",IF($G3268="","",IF($D3268="Direct Expiry",$G3268,EDATE($G3268,$F3268)))),"Check Date")</f>
        <v/>
      </c>
      <c r="I3268" s="12" t="str">
        <f aca="true">IF($H3268="","",IF(ISNUMBER($H3268),$H3268-TODAY(),""))</f>
        <v/>
      </c>
      <c r="J3268" s="4" t="str">
        <f aca="true">IF($D3268="Manual Review","Manual Review",IF($G3268="","No Data",IF(NOT(ISNUMBER($H3268)),"N/A",IF($H3268&lt;TODAY(),"Overdue",IF($H3268&lt;=TODAY()+30,"Due within 1 Month",IF($H3268&lt;=TODAY()+60,"Due within 2 Months","OK"))))))</f>
        <v>No Data</v>
      </c>
      <c r="K3268" s="13"/>
    </row>
    <row r="3269" customFormat="false" ht="15" hidden="false" customHeight="false" outlineLevel="0" collapsed="false">
      <c r="A3269" s="9" t="str">
        <f aca="false">Vessels!B34</f>
        <v>Vessel 30</v>
      </c>
      <c r="B3269" s="9" t="s">
        <v>42</v>
      </c>
      <c r="C3269" s="7" t="s">
        <v>60</v>
      </c>
      <c r="D3269" s="9" t="s">
        <v>45</v>
      </c>
      <c r="E3269" s="9" t="s">
        <v>46</v>
      </c>
      <c r="F3269" s="5" t="n">
        <v>60</v>
      </c>
      <c r="G3269" s="10"/>
      <c r="H3269" s="11" t="str">
        <f aca="false">IFERROR(IF($D3269="Manual Review","",IF($G3269="","",IF($D3269="Direct Expiry",$G3269,EDATE($G3269,$F3269)))),"Check Date")</f>
        <v/>
      </c>
      <c r="I3269" s="12" t="str">
        <f aca="true">IF($H3269="","",IF(ISNUMBER($H3269),$H3269-TODAY(),""))</f>
        <v/>
      </c>
      <c r="J3269" s="4" t="str">
        <f aca="true">IF($D3269="Manual Review","Manual Review",IF($G3269="","No Data",IF(NOT(ISNUMBER($H3269)),"N/A",IF($H3269&lt;TODAY(),"Overdue",IF($H3269&lt;=TODAY()+30,"Due within 1 Month",IF($H3269&lt;=TODAY()+60,"Due within 2 Months","OK"))))))</f>
        <v>No Data</v>
      </c>
      <c r="K3269" s="13"/>
    </row>
    <row r="3270" customFormat="false" ht="15" hidden="false" customHeight="false" outlineLevel="0" collapsed="false">
      <c r="A3270" s="9" t="str">
        <f aca="false">Vessels!B34</f>
        <v>Vessel 30</v>
      </c>
      <c r="B3270" s="9" t="s">
        <v>42</v>
      </c>
      <c r="C3270" s="7" t="s">
        <v>61</v>
      </c>
      <c r="D3270" s="9" t="s">
        <v>45</v>
      </c>
      <c r="E3270" s="9" t="s">
        <v>44</v>
      </c>
      <c r="F3270" s="5" t="n">
        <v>12</v>
      </c>
      <c r="G3270" s="10"/>
      <c r="H3270" s="11" t="str">
        <f aca="false">IFERROR(IF($D3270="Manual Review","",IF($G3270="","",IF($D3270="Direct Expiry",$G3270,EDATE($G3270,$F3270)))),"Check Date")</f>
        <v/>
      </c>
      <c r="I3270" s="12" t="str">
        <f aca="true">IF($H3270="","",IF(ISNUMBER($H3270),$H3270-TODAY(),""))</f>
        <v/>
      </c>
      <c r="J3270" s="4" t="str">
        <f aca="true">IF($D3270="Manual Review","Manual Review",IF($G3270="","No Data",IF(NOT(ISNUMBER($H3270)),"N/A",IF($H3270&lt;TODAY(),"Overdue",IF($H3270&lt;=TODAY()+30,"Due within 1 Month",IF($H3270&lt;=TODAY()+60,"Due within 2 Months","OK"))))))</f>
        <v>No Data</v>
      </c>
      <c r="K3270" s="13"/>
    </row>
    <row r="3271" customFormat="false" ht="15" hidden="false" customHeight="false" outlineLevel="0" collapsed="false">
      <c r="A3271" s="9" t="str">
        <f aca="false">Vessels!B34</f>
        <v>Vessel 30</v>
      </c>
      <c r="B3271" s="9" t="s">
        <v>42</v>
      </c>
      <c r="C3271" s="7" t="s">
        <v>61</v>
      </c>
      <c r="D3271" s="9" t="s">
        <v>45</v>
      </c>
      <c r="E3271" s="9" t="s">
        <v>46</v>
      </c>
      <c r="F3271" s="5" t="n">
        <v>60</v>
      </c>
      <c r="G3271" s="10"/>
      <c r="H3271" s="11" t="str">
        <f aca="false">IFERROR(IF($D3271="Manual Review","",IF($G3271="","",IF($D3271="Direct Expiry",$G3271,EDATE($G3271,$F3271)))),"Check Date")</f>
        <v/>
      </c>
      <c r="I3271" s="12" t="str">
        <f aca="true">IF($H3271="","",IF(ISNUMBER($H3271),$H3271-TODAY(),""))</f>
        <v/>
      </c>
      <c r="J3271" s="4" t="str">
        <f aca="true">IF($D3271="Manual Review","Manual Review",IF($G3271="","No Data",IF(NOT(ISNUMBER($H3271)),"N/A",IF($H3271&lt;TODAY(),"Overdue",IF($H3271&lt;=TODAY()+30,"Due within 1 Month",IF($H3271&lt;=TODAY()+60,"Due within 2 Months","OK"))))))</f>
        <v>No Data</v>
      </c>
      <c r="K3271" s="13"/>
    </row>
    <row r="3272" customFormat="false" ht="15" hidden="false" customHeight="false" outlineLevel="0" collapsed="false">
      <c r="A3272" s="9" t="str">
        <f aca="false">Vessels!B34</f>
        <v>Vessel 30</v>
      </c>
      <c r="B3272" s="9" t="s">
        <v>42</v>
      </c>
      <c r="C3272" s="7" t="s">
        <v>62</v>
      </c>
      <c r="D3272" s="9" t="s">
        <v>45</v>
      </c>
      <c r="E3272" s="9" t="s">
        <v>44</v>
      </c>
      <c r="F3272" s="5" t="n">
        <v>12</v>
      </c>
      <c r="G3272" s="10"/>
      <c r="H3272" s="11" t="str">
        <f aca="false">IFERROR(IF($D3272="Manual Review","",IF($G3272="","",IF($D3272="Direct Expiry",$G3272,EDATE($G3272,$F3272)))),"Check Date")</f>
        <v/>
      </c>
      <c r="I3272" s="12" t="str">
        <f aca="true">IF($H3272="","",IF(ISNUMBER($H3272),$H3272-TODAY(),""))</f>
        <v/>
      </c>
      <c r="J3272" s="4" t="str">
        <f aca="true">IF($D3272="Manual Review","Manual Review",IF($G3272="","No Data",IF(NOT(ISNUMBER($H3272)),"N/A",IF($H3272&lt;TODAY(),"Overdue",IF($H3272&lt;=TODAY()+30,"Due within 1 Month",IF($H3272&lt;=TODAY()+60,"Due within 2 Months","OK"))))))</f>
        <v>No Data</v>
      </c>
      <c r="K3272" s="13"/>
    </row>
    <row r="3273" customFormat="false" ht="15" hidden="false" customHeight="false" outlineLevel="0" collapsed="false">
      <c r="A3273" s="9" t="str">
        <f aca="false">Vessels!B34</f>
        <v>Vessel 30</v>
      </c>
      <c r="B3273" s="9" t="s">
        <v>42</v>
      </c>
      <c r="C3273" s="7" t="s">
        <v>62</v>
      </c>
      <c r="D3273" s="9" t="s">
        <v>45</v>
      </c>
      <c r="E3273" s="9" t="s">
        <v>49</v>
      </c>
      <c r="F3273" s="5" t="n">
        <v>60</v>
      </c>
      <c r="G3273" s="10"/>
      <c r="H3273" s="11" t="str">
        <f aca="false">IFERROR(IF($D3273="Manual Review","",IF($G3273="","",IF($D3273="Direct Expiry",$G3273,EDATE($G3273,$F3273)))),"Check Date")</f>
        <v/>
      </c>
      <c r="I3273" s="12" t="str">
        <f aca="true">IF($H3273="","",IF(ISNUMBER($H3273),$H3273-TODAY(),""))</f>
        <v/>
      </c>
      <c r="J3273" s="4" t="str">
        <f aca="true">IF($D3273="Manual Review","Manual Review",IF($G3273="","No Data",IF(NOT(ISNUMBER($H3273)),"N/A",IF($H3273&lt;TODAY(),"Overdue",IF($H3273&lt;=TODAY()+30,"Due within 1 Month",IF($H3273&lt;=TODAY()+60,"Due within 2 Months","OK"))))))</f>
        <v>No Data</v>
      </c>
      <c r="K3273" s="13"/>
    </row>
    <row r="3274" customFormat="false" ht="15" hidden="false" customHeight="false" outlineLevel="0" collapsed="false">
      <c r="A3274" s="9" t="str">
        <f aca="false">Vessels!B34</f>
        <v>Vessel 30</v>
      </c>
      <c r="B3274" s="9" t="s">
        <v>42</v>
      </c>
      <c r="C3274" s="7" t="s">
        <v>63</v>
      </c>
      <c r="D3274" s="9" t="s">
        <v>45</v>
      </c>
      <c r="E3274" s="9" t="s">
        <v>44</v>
      </c>
      <c r="F3274" s="5" t="n">
        <v>12</v>
      </c>
      <c r="G3274" s="10"/>
      <c r="H3274" s="11" t="str">
        <f aca="false">IFERROR(IF($D3274="Manual Review","",IF($G3274="","",IF($D3274="Direct Expiry",$G3274,EDATE($G3274,$F3274)))),"Check Date")</f>
        <v/>
      </c>
      <c r="I3274" s="12" t="str">
        <f aca="true">IF($H3274="","",IF(ISNUMBER($H3274),$H3274-TODAY(),""))</f>
        <v/>
      </c>
      <c r="J3274" s="4" t="str">
        <f aca="true">IF($D3274="Manual Review","Manual Review",IF($G3274="","No Data",IF(NOT(ISNUMBER($H3274)),"N/A",IF($H3274&lt;TODAY(),"Overdue",IF($H3274&lt;=TODAY()+30,"Due within 1 Month",IF($H3274&lt;=TODAY()+60,"Due within 2 Months","OK"))))))</f>
        <v>No Data</v>
      </c>
      <c r="K3274" s="13"/>
    </row>
    <row r="3275" customFormat="false" ht="15" hidden="false" customHeight="false" outlineLevel="0" collapsed="false">
      <c r="A3275" s="9" t="str">
        <f aca="false">Vessels!B34</f>
        <v>Vessel 30</v>
      </c>
      <c r="B3275" s="9" t="s">
        <v>42</v>
      </c>
      <c r="C3275" s="7" t="s">
        <v>63</v>
      </c>
      <c r="D3275" s="9" t="s">
        <v>45</v>
      </c>
      <c r="E3275" s="9" t="s">
        <v>49</v>
      </c>
      <c r="F3275" s="5" t="n">
        <v>60</v>
      </c>
      <c r="G3275" s="10"/>
      <c r="H3275" s="11" t="str">
        <f aca="false">IFERROR(IF($D3275="Manual Review","",IF($G3275="","",IF($D3275="Direct Expiry",$G3275,EDATE($G3275,$F3275)))),"Check Date")</f>
        <v/>
      </c>
      <c r="I3275" s="12" t="str">
        <f aca="true">IF($H3275="","",IF(ISNUMBER($H3275),$H3275-TODAY(),""))</f>
        <v/>
      </c>
      <c r="J3275" s="4" t="str">
        <f aca="true">IF($D3275="Manual Review","Manual Review",IF($G3275="","No Data",IF(NOT(ISNUMBER($H3275)),"N/A",IF($H3275&lt;TODAY(),"Overdue",IF($H3275&lt;=TODAY()+30,"Due within 1 Month",IF($H3275&lt;=TODAY()+60,"Due within 2 Months","OK"))))))</f>
        <v>No Data</v>
      </c>
      <c r="K3275" s="13"/>
    </row>
    <row r="3276" customFormat="false" ht="15" hidden="false" customHeight="false" outlineLevel="0" collapsed="false">
      <c r="A3276" s="9" t="str">
        <f aca="false">Vessels!B34</f>
        <v>Vessel 30</v>
      </c>
      <c r="B3276" s="9" t="s">
        <v>42</v>
      </c>
      <c r="C3276" s="7" t="s">
        <v>64</v>
      </c>
      <c r="D3276" s="9" t="s">
        <v>45</v>
      </c>
      <c r="E3276" s="9" t="s">
        <v>46</v>
      </c>
      <c r="F3276" s="5" t="n">
        <v>60</v>
      </c>
      <c r="G3276" s="10"/>
      <c r="H3276" s="11" t="str">
        <f aca="false">IFERROR(IF($D3276="Manual Review","",IF($G3276="","",IF($D3276="Direct Expiry",$G3276,EDATE($G3276,$F3276)))),"Check Date")</f>
        <v/>
      </c>
      <c r="I3276" s="12" t="str">
        <f aca="true">IF($H3276="","",IF(ISNUMBER($H3276),$H3276-TODAY(),""))</f>
        <v/>
      </c>
      <c r="J3276" s="4" t="str">
        <f aca="true">IF($D3276="Manual Review","Manual Review",IF($G3276="","No Data",IF(NOT(ISNUMBER($H3276)),"N/A",IF($H3276&lt;TODAY(),"Overdue",IF($H3276&lt;=TODAY()+30,"Due within 1 Month",IF($H3276&lt;=TODAY()+60,"Due within 2 Months","OK"))))))</f>
        <v>No Data</v>
      </c>
      <c r="K3276" s="13"/>
    </row>
    <row r="3277" customFormat="false" ht="15" hidden="false" customHeight="false" outlineLevel="0" collapsed="false">
      <c r="A3277" s="9" t="str">
        <f aca="false">Vessels!B34</f>
        <v>Vessel 30</v>
      </c>
      <c r="B3277" s="9" t="s">
        <v>42</v>
      </c>
      <c r="C3277" s="7" t="s">
        <v>65</v>
      </c>
      <c r="D3277" s="9" t="s">
        <v>45</v>
      </c>
      <c r="E3277" s="9" t="s">
        <v>46</v>
      </c>
      <c r="F3277" s="5" t="n">
        <v>60</v>
      </c>
      <c r="G3277" s="10"/>
      <c r="H3277" s="11" t="str">
        <f aca="false">IFERROR(IF($D3277="Manual Review","",IF($G3277="","",IF($D3277="Direct Expiry",$G3277,EDATE($G3277,$F3277)))),"Check Date")</f>
        <v/>
      </c>
      <c r="I3277" s="12" t="str">
        <f aca="true">IF($H3277="","",IF(ISNUMBER($H3277),$H3277-TODAY(),""))</f>
        <v/>
      </c>
      <c r="J3277" s="4" t="str">
        <f aca="true">IF($D3277="Manual Review","Manual Review",IF($G3277="","No Data",IF(NOT(ISNUMBER($H3277)),"N/A",IF($H3277&lt;TODAY(),"Overdue",IF($H3277&lt;=TODAY()+30,"Due within 1 Month",IF($H3277&lt;=TODAY()+60,"Due within 2 Months","OK"))))))</f>
        <v>No Data</v>
      </c>
      <c r="K3277" s="13"/>
    </row>
    <row r="3278" customFormat="false" ht="15" hidden="false" customHeight="false" outlineLevel="0" collapsed="false">
      <c r="A3278" s="9" t="str">
        <f aca="false">Vessels!B34</f>
        <v>Vessel 30</v>
      </c>
      <c r="B3278" s="9" t="s">
        <v>42</v>
      </c>
      <c r="C3278" s="7" t="s">
        <v>66</v>
      </c>
      <c r="D3278" s="9" t="s">
        <v>45</v>
      </c>
      <c r="E3278" s="9" t="s">
        <v>46</v>
      </c>
      <c r="F3278" s="5" t="n">
        <v>60</v>
      </c>
      <c r="G3278" s="10"/>
      <c r="H3278" s="11" t="str">
        <f aca="false">IFERROR(IF($D3278="Manual Review","",IF($G3278="","",IF($D3278="Direct Expiry",$G3278,EDATE($G3278,$F3278)))),"Check Date")</f>
        <v/>
      </c>
      <c r="I3278" s="12" t="str">
        <f aca="true">IF($H3278="","",IF(ISNUMBER($H3278),$H3278-TODAY(),""))</f>
        <v/>
      </c>
      <c r="J3278" s="4" t="str">
        <f aca="true">IF($D3278="Manual Review","Manual Review",IF($G3278="","No Data",IF(NOT(ISNUMBER($H3278)),"N/A",IF($H3278&lt;TODAY(),"Overdue",IF($H3278&lt;=TODAY()+30,"Due within 1 Month",IF($H3278&lt;=TODAY()+60,"Due within 2 Months","OK"))))))</f>
        <v>No Data</v>
      </c>
      <c r="K3278" s="13"/>
    </row>
    <row r="3279" customFormat="false" ht="15" hidden="false" customHeight="false" outlineLevel="0" collapsed="false">
      <c r="A3279" s="9" t="str">
        <f aca="false">Vessels!B34</f>
        <v>Vessel 30</v>
      </c>
      <c r="B3279" s="9" t="s">
        <v>42</v>
      </c>
      <c r="C3279" s="7" t="s">
        <v>67</v>
      </c>
      <c r="D3279" s="9" t="s">
        <v>45</v>
      </c>
      <c r="E3279" s="9" t="s">
        <v>46</v>
      </c>
      <c r="F3279" s="5" t="n">
        <v>60</v>
      </c>
      <c r="G3279" s="10"/>
      <c r="H3279" s="11" t="str">
        <f aca="false">IFERROR(IF($D3279="Manual Review","",IF($G3279="","",IF($D3279="Direct Expiry",$G3279,EDATE($G3279,$F3279)))),"Check Date")</f>
        <v/>
      </c>
      <c r="I3279" s="12" t="str">
        <f aca="true">IF($H3279="","",IF(ISNUMBER($H3279),$H3279-TODAY(),""))</f>
        <v/>
      </c>
      <c r="J3279" s="4" t="str">
        <f aca="true">IF($D3279="Manual Review","Manual Review",IF($G3279="","No Data",IF(NOT(ISNUMBER($H3279)),"N/A",IF($H3279&lt;TODAY(),"Overdue",IF($H3279&lt;=TODAY()+30,"Due within 1 Month",IF($H3279&lt;=TODAY()+60,"Due within 2 Months","OK"))))))</f>
        <v>No Data</v>
      </c>
      <c r="K3279" s="13"/>
    </row>
    <row r="3280" customFormat="false" ht="15" hidden="false" customHeight="false" outlineLevel="0" collapsed="false">
      <c r="A3280" s="9" t="str">
        <f aca="false">Vessels!B34</f>
        <v>Vessel 30</v>
      </c>
      <c r="B3280" s="9" t="s">
        <v>42</v>
      </c>
      <c r="C3280" s="7" t="s">
        <v>68</v>
      </c>
      <c r="D3280" s="9" t="s">
        <v>45</v>
      </c>
      <c r="E3280" s="9" t="s">
        <v>46</v>
      </c>
      <c r="F3280" s="5" t="n">
        <v>60</v>
      </c>
      <c r="G3280" s="10"/>
      <c r="H3280" s="11" t="str">
        <f aca="false">IFERROR(IF($D3280="Manual Review","",IF($G3280="","",IF($D3280="Direct Expiry",$G3280,EDATE($G3280,$F3280)))),"Check Date")</f>
        <v/>
      </c>
      <c r="I3280" s="12" t="str">
        <f aca="true">IF($H3280="","",IF(ISNUMBER($H3280),$H3280-TODAY(),""))</f>
        <v/>
      </c>
      <c r="J3280" s="4" t="str">
        <f aca="true">IF($D3280="Manual Review","Manual Review",IF($G3280="","No Data",IF(NOT(ISNUMBER($H3280)),"N/A",IF($H3280&lt;TODAY(),"Overdue",IF($H3280&lt;=TODAY()+30,"Due within 1 Month",IF($H3280&lt;=TODAY()+60,"Due within 2 Months","OK"))))))</f>
        <v>No Data</v>
      </c>
      <c r="K3280" s="13"/>
    </row>
    <row r="3281" customFormat="false" ht="15" hidden="false" customHeight="false" outlineLevel="0" collapsed="false">
      <c r="A3281" s="9" t="str">
        <f aca="false">Vessels!B34</f>
        <v>Vessel 30</v>
      </c>
      <c r="B3281" s="9" t="s">
        <v>42</v>
      </c>
      <c r="C3281" s="7" t="s">
        <v>69</v>
      </c>
      <c r="D3281" s="9" t="s">
        <v>45</v>
      </c>
      <c r="E3281" s="9" t="s">
        <v>46</v>
      </c>
      <c r="F3281" s="5" t="n">
        <v>60</v>
      </c>
      <c r="G3281" s="10"/>
      <c r="H3281" s="11" t="str">
        <f aca="false">IFERROR(IF($D3281="Manual Review","",IF($G3281="","",IF($D3281="Direct Expiry",$G3281,EDATE($G3281,$F3281)))),"Check Date")</f>
        <v/>
      </c>
      <c r="I3281" s="12" t="str">
        <f aca="true">IF($H3281="","",IF(ISNUMBER($H3281),$H3281-TODAY(),""))</f>
        <v/>
      </c>
      <c r="J3281" s="4" t="str">
        <f aca="true">IF($D3281="Manual Review","Manual Review",IF($G3281="","No Data",IF(NOT(ISNUMBER($H3281)),"N/A",IF($H3281&lt;TODAY(),"Overdue",IF($H3281&lt;=TODAY()+30,"Due within 1 Month",IF($H3281&lt;=TODAY()+60,"Due within 2 Months","OK"))))))</f>
        <v>No Data</v>
      </c>
      <c r="K3281" s="13"/>
    </row>
    <row r="3282" customFormat="false" ht="15" hidden="false" customHeight="false" outlineLevel="0" collapsed="false">
      <c r="A3282" s="9" t="str">
        <f aca="false">Vessels!B34</f>
        <v>Vessel 30</v>
      </c>
      <c r="B3282" s="9" t="s">
        <v>42</v>
      </c>
      <c r="C3282" s="7" t="s">
        <v>70</v>
      </c>
      <c r="D3282" s="9" t="s">
        <v>59</v>
      </c>
      <c r="E3282" s="9" t="s">
        <v>58</v>
      </c>
      <c r="F3282" s="5"/>
      <c r="G3282" s="10"/>
      <c r="H3282" s="11" t="str">
        <f aca="false">IFERROR(IF($D3282="Manual Review","",IF($G3282="","",IF($D3282="Direct Expiry",$G3282,EDATE($G3282,$F3282)))),"Check Date")</f>
        <v/>
      </c>
      <c r="I3282" s="12" t="str">
        <f aca="true">IF($H3282="","",IF(ISNUMBER($H3282),$H3282-TODAY(),""))</f>
        <v/>
      </c>
      <c r="J3282" s="4" t="str">
        <f aca="true">IF($D3282="Manual Review","Manual Review",IF($G3282="","No Data",IF(NOT(ISNUMBER($H3282)),"N/A",IF($H3282&lt;TODAY(),"Overdue",IF($H3282&lt;=TODAY()+30,"Due within 1 Month",IF($H3282&lt;=TODAY()+60,"Due within 2 Months","OK"))))))</f>
        <v>No Data</v>
      </c>
      <c r="K3282" s="13"/>
    </row>
    <row r="3283" customFormat="false" ht="15" hidden="false" customHeight="false" outlineLevel="0" collapsed="false">
      <c r="A3283" s="9" t="str">
        <f aca="false">Vessels!B34</f>
        <v>Vessel 30</v>
      </c>
      <c r="B3283" s="9" t="s">
        <v>42</v>
      </c>
      <c r="C3283" s="7" t="s">
        <v>71</v>
      </c>
      <c r="D3283" s="9" t="s">
        <v>45</v>
      </c>
      <c r="E3283" s="9" t="s">
        <v>44</v>
      </c>
      <c r="F3283" s="5" t="n">
        <v>12</v>
      </c>
      <c r="G3283" s="10"/>
      <c r="H3283" s="11" t="str">
        <f aca="false">IFERROR(IF($D3283="Manual Review","",IF($G3283="","",IF($D3283="Direct Expiry",$G3283,EDATE($G3283,$F3283)))),"Check Date")</f>
        <v/>
      </c>
      <c r="I3283" s="12" t="str">
        <f aca="true">IF($H3283="","",IF(ISNUMBER($H3283),$H3283-TODAY(),""))</f>
        <v/>
      </c>
      <c r="J3283" s="4" t="str">
        <f aca="true">IF($D3283="Manual Review","Manual Review",IF($G3283="","No Data",IF(NOT(ISNUMBER($H3283)),"N/A",IF($H3283&lt;TODAY(),"Overdue",IF($H3283&lt;=TODAY()+30,"Due within 1 Month",IF($H3283&lt;=TODAY()+60,"Due within 2 Months","OK"))))))</f>
        <v>No Data</v>
      </c>
      <c r="K3283" s="13"/>
    </row>
    <row r="3284" customFormat="false" ht="15" hidden="false" customHeight="false" outlineLevel="0" collapsed="false">
      <c r="A3284" s="9" t="str">
        <f aca="false">Vessels!B34</f>
        <v>Vessel 30</v>
      </c>
      <c r="B3284" s="9" t="s">
        <v>42</v>
      </c>
      <c r="C3284" s="7" t="s">
        <v>72</v>
      </c>
      <c r="D3284" s="9" t="s">
        <v>59</v>
      </c>
      <c r="E3284" s="9" t="s">
        <v>58</v>
      </c>
      <c r="F3284" s="5"/>
      <c r="G3284" s="10"/>
      <c r="H3284" s="11" t="str">
        <f aca="false">IFERROR(IF($D3284="Manual Review","",IF($G3284="","",IF($D3284="Direct Expiry",$G3284,EDATE($G3284,$F3284)))),"Check Date")</f>
        <v/>
      </c>
      <c r="I3284" s="12" t="str">
        <f aca="true">IF($H3284="","",IF(ISNUMBER($H3284),$H3284-TODAY(),""))</f>
        <v/>
      </c>
      <c r="J3284" s="4" t="str">
        <f aca="true">IF($D3284="Manual Review","Manual Review",IF($G3284="","No Data",IF(NOT(ISNUMBER($H3284)),"N/A",IF($H3284&lt;TODAY(),"Overdue",IF($H3284&lt;=TODAY()+30,"Due within 1 Month",IF($H3284&lt;=TODAY()+60,"Due within 2 Months","OK"))))))</f>
        <v>No Data</v>
      </c>
      <c r="K3284" s="13"/>
    </row>
    <row r="3285" customFormat="false" ht="15" hidden="false" customHeight="false" outlineLevel="0" collapsed="false">
      <c r="A3285" s="9" t="str">
        <f aca="false">Vessels!B34</f>
        <v>Vessel 30</v>
      </c>
      <c r="B3285" s="9" t="s">
        <v>42</v>
      </c>
      <c r="C3285" s="7" t="s">
        <v>73</v>
      </c>
      <c r="D3285" s="9" t="s">
        <v>45</v>
      </c>
      <c r="E3285" s="9" t="s">
        <v>44</v>
      </c>
      <c r="F3285" s="5" t="n">
        <v>12</v>
      </c>
      <c r="G3285" s="10"/>
      <c r="H3285" s="11" t="str">
        <f aca="false">IFERROR(IF($D3285="Manual Review","",IF($G3285="","",IF($D3285="Direct Expiry",$G3285,EDATE($G3285,$F3285)))),"Check Date")</f>
        <v/>
      </c>
      <c r="I3285" s="12" t="str">
        <f aca="true">IF($H3285="","",IF(ISNUMBER($H3285),$H3285-TODAY(),""))</f>
        <v/>
      </c>
      <c r="J3285" s="4" t="str">
        <f aca="true">IF($D3285="Manual Review","Manual Review",IF($G3285="","No Data",IF(NOT(ISNUMBER($H3285)),"N/A",IF($H3285&lt;TODAY(),"Overdue",IF($H3285&lt;=TODAY()+30,"Due within 1 Month",IF($H3285&lt;=TODAY()+60,"Due within 2 Months","OK"))))))</f>
        <v>No Data</v>
      </c>
      <c r="K3285" s="13"/>
    </row>
    <row r="3286" customFormat="false" ht="15" hidden="false" customHeight="false" outlineLevel="0" collapsed="false">
      <c r="A3286" s="9" t="str">
        <f aca="false">Vessels!B34</f>
        <v>Vessel 30</v>
      </c>
      <c r="B3286" s="9" t="s">
        <v>42</v>
      </c>
      <c r="C3286" s="7" t="s">
        <v>74</v>
      </c>
      <c r="D3286" s="9" t="s">
        <v>59</v>
      </c>
      <c r="E3286" s="9" t="s">
        <v>58</v>
      </c>
      <c r="F3286" s="5"/>
      <c r="G3286" s="10"/>
      <c r="H3286" s="11" t="str">
        <f aca="false">IFERROR(IF($D3286="Manual Review","",IF($G3286="","",IF($D3286="Direct Expiry",$G3286,EDATE($G3286,$F3286)))),"Check Date")</f>
        <v/>
      </c>
      <c r="I3286" s="12" t="str">
        <f aca="true">IF($H3286="","",IF(ISNUMBER($H3286),$H3286-TODAY(),""))</f>
        <v/>
      </c>
      <c r="J3286" s="4" t="str">
        <f aca="true">IF($D3286="Manual Review","Manual Review",IF($G3286="","No Data",IF(NOT(ISNUMBER($H3286)),"N/A",IF($H3286&lt;TODAY(),"Overdue",IF($H3286&lt;=TODAY()+30,"Due within 1 Month",IF($H3286&lt;=TODAY()+60,"Due within 2 Months","OK"))))))</f>
        <v>No Data</v>
      </c>
      <c r="K3286" s="13"/>
    </row>
    <row r="3287" customFormat="false" ht="15" hidden="false" customHeight="false" outlineLevel="0" collapsed="false">
      <c r="A3287" s="9" t="str">
        <f aca="false">Vessels!B34</f>
        <v>Vessel 30</v>
      </c>
      <c r="B3287" s="9" t="s">
        <v>42</v>
      </c>
      <c r="C3287" s="7" t="s">
        <v>75</v>
      </c>
      <c r="D3287" s="9" t="s">
        <v>45</v>
      </c>
      <c r="E3287" s="9" t="s">
        <v>44</v>
      </c>
      <c r="F3287" s="5" t="n">
        <v>12</v>
      </c>
      <c r="G3287" s="10"/>
      <c r="H3287" s="11" t="str">
        <f aca="false">IFERROR(IF($D3287="Manual Review","",IF($G3287="","",IF($D3287="Direct Expiry",$G3287,EDATE($G3287,$F3287)))),"Check Date")</f>
        <v/>
      </c>
      <c r="I3287" s="12" t="str">
        <f aca="true">IF($H3287="","",IF(ISNUMBER($H3287),$H3287-TODAY(),""))</f>
        <v/>
      </c>
      <c r="J3287" s="4" t="str">
        <f aca="true">IF($D3287="Manual Review","Manual Review",IF($G3287="","No Data",IF(NOT(ISNUMBER($H3287)),"N/A",IF($H3287&lt;TODAY(),"Overdue",IF($H3287&lt;=TODAY()+30,"Due within 1 Month",IF($H3287&lt;=TODAY()+60,"Due within 2 Months","OK"))))))</f>
        <v>No Data</v>
      </c>
      <c r="K3287" s="13"/>
    </row>
    <row r="3288" customFormat="false" ht="15" hidden="false" customHeight="false" outlineLevel="0" collapsed="false">
      <c r="A3288" s="9" t="str">
        <f aca="false">Vessels!B34</f>
        <v>Vessel 30</v>
      </c>
      <c r="B3288" s="9" t="s">
        <v>42</v>
      </c>
      <c r="C3288" s="7" t="s">
        <v>76</v>
      </c>
      <c r="D3288" s="9" t="s">
        <v>59</v>
      </c>
      <c r="E3288" s="9" t="s">
        <v>58</v>
      </c>
      <c r="F3288" s="5"/>
      <c r="G3288" s="10"/>
      <c r="H3288" s="11" t="str">
        <f aca="false">IFERROR(IF($D3288="Manual Review","",IF($G3288="","",IF($D3288="Direct Expiry",$G3288,EDATE($G3288,$F3288)))),"Check Date")</f>
        <v/>
      </c>
      <c r="I3288" s="12" t="str">
        <f aca="true">IF($H3288="","",IF(ISNUMBER($H3288),$H3288-TODAY(),""))</f>
        <v/>
      </c>
      <c r="J3288" s="4" t="str">
        <f aca="true">IF($D3288="Manual Review","Manual Review",IF($G3288="","No Data",IF(NOT(ISNUMBER($H3288)),"N/A",IF($H3288&lt;TODAY(),"Overdue",IF($H3288&lt;=TODAY()+30,"Due within 1 Month",IF($H3288&lt;=TODAY()+60,"Due within 2 Months","OK"))))))</f>
        <v>No Data</v>
      </c>
      <c r="K3288" s="13"/>
    </row>
    <row r="3289" customFormat="false" ht="15" hidden="false" customHeight="false" outlineLevel="0" collapsed="false">
      <c r="A3289" s="9" t="str">
        <f aca="false">Vessels!B34</f>
        <v>Vessel 30</v>
      </c>
      <c r="B3289" s="9" t="s">
        <v>42</v>
      </c>
      <c r="C3289" s="7" t="s">
        <v>77</v>
      </c>
      <c r="D3289" s="9" t="s">
        <v>59</v>
      </c>
      <c r="E3289" s="9" t="s">
        <v>58</v>
      </c>
      <c r="F3289" s="5"/>
      <c r="G3289" s="10"/>
      <c r="H3289" s="11" t="str">
        <f aca="false">IFERROR(IF($D3289="Manual Review","",IF($G3289="","",IF($D3289="Direct Expiry",$G3289,EDATE($G3289,$F3289)))),"Check Date")</f>
        <v/>
      </c>
      <c r="I3289" s="12" t="str">
        <f aca="true">IF($H3289="","",IF(ISNUMBER($H3289),$H3289-TODAY(),""))</f>
        <v/>
      </c>
      <c r="J3289" s="4" t="str">
        <f aca="true">IF($D3289="Manual Review","Manual Review",IF($G3289="","No Data",IF(NOT(ISNUMBER($H3289)),"N/A",IF($H3289&lt;TODAY(),"Overdue",IF($H3289&lt;=TODAY()+30,"Due within 1 Month",IF($H3289&lt;=TODAY()+60,"Due within 2 Months","OK"))))))</f>
        <v>No Data</v>
      </c>
      <c r="K3289" s="13"/>
    </row>
    <row r="3290" customFormat="false" ht="15" hidden="false" customHeight="false" outlineLevel="0" collapsed="false">
      <c r="A3290" s="9" t="str">
        <f aca="false">Vessels!B34</f>
        <v>Vessel 30</v>
      </c>
      <c r="B3290" s="9" t="s">
        <v>42</v>
      </c>
      <c r="C3290" s="7" t="s">
        <v>78</v>
      </c>
      <c r="D3290" s="9" t="s">
        <v>59</v>
      </c>
      <c r="E3290" s="9" t="s">
        <v>58</v>
      </c>
      <c r="F3290" s="5"/>
      <c r="G3290" s="10"/>
      <c r="H3290" s="11" t="str">
        <f aca="false">IFERROR(IF($D3290="Manual Review","",IF($G3290="","",IF($D3290="Direct Expiry",$G3290,EDATE($G3290,$F3290)))),"Check Date")</f>
        <v/>
      </c>
      <c r="I3290" s="12" t="str">
        <f aca="true">IF($H3290="","",IF(ISNUMBER($H3290),$H3290-TODAY(),""))</f>
        <v/>
      </c>
      <c r="J3290" s="4" t="str">
        <f aca="true">IF($D3290="Manual Review","Manual Review",IF($G3290="","No Data",IF(NOT(ISNUMBER($H3290)),"N/A",IF($H3290&lt;TODAY(),"Overdue",IF($H3290&lt;=TODAY()+30,"Due within 1 Month",IF($H3290&lt;=TODAY()+60,"Due within 2 Months","OK"))))))</f>
        <v>No Data</v>
      </c>
      <c r="K3290" s="13"/>
    </row>
    <row r="3291" customFormat="false" ht="15" hidden="false" customHeight="false" outlineLevel="0" collapsed="false">
      <c r="A3291" s="9" t="str">
        <f aca="false">Vessels!B34</f>
        <v>Vessel 30</v>
      </c>
      <c r="B3291" s="9" t="s">
        <v>42</v>
      </c>
      <c r="C3291" s="7" t="s">
        <v>79</v>
      </c>
      <c r="D3291" s="9" t="s">
        <v>45</v>
      </c>
      <c r="E3291" s="9" t="s">
        <v>44</v>
      </c>
      <c r="F3291" s="5" t="n">
        <v>12</v>
      </c>
      <c r="G3291" s="10"/>
      <c r="H3291" s="11" t="str">
        <f aca="false">IFERROR(IF($D3291="Manual Review","",IF($G3291="","",IF($D3291="Direct Expiry",$G3291,EDATE($G3291,$F3291)))),"Check Date")</f>
        <v/>
      </c>
      <c r="I3291" s="12" t="str">
        <f aca="true">IF($H3291="","",IF(ISNUMBER($H3291),$H3291-TODAY(),""))</f>
        <v/>
      </c>
      <c r="J3291" s="4" t="str">
        <f aca="true">IF($D3291="Manual Review","Manual Review",IF($G3291="","No Data",IF(NOT(ISNUMBER($H3291)),"N/A",IF($H3291&lt;TODAY(),"Overdue",IF($H3291&lt;=TODAY()+30,"Due within 1 Month",IF($H3291&lt;=TODAY()+60,"Due within 2 Months","OK"))))))</f>
        <v>No Data</v>
      </c>
      <c r="K3291" s="13"/>
    </row>
    <row r="3292" customFormat="false" ht="15" hidden="false" customHeight="false" outlineLevel="0" collapsed="false">
      <c r="A3292" s="9" t="str">
        <f aca="false">Vessels!B34</f>
        <v>Vessel 30</v>
      </c>
      <c r="B3292" s="9" t="s">
        <v>42</v>
      </c>
      <c r="C3292" s="7" t="s">
        <v>80</v>
      </c>
      <c r="D3292" s="9" t="s">
        <v>45</v>
      </c>
      <c r="E3292" s="9" t="s">
        <v>81</v>
      </c>
      <c r="F3292" s="5" t="n">
        <v>36</v>
      </c>
      <c r="G3292" s="10"/>
      <c r="H3292" s="11" t="str">
        <f aca="false">IFERROR(IF($D3292="Manual Review","",IF($G3292="","",IF($D3292="Direct Expiry",$G3292,EDATE($G3292,$F3292)))),"Check Date")</f>
        <v/>
      </c>
      <c r="I3292" s="12" t="str">
        <f aca="true">IF($H3292="","",IF(ISNUMBER($H3292),$H3292-TODAY(),""))</f>
        <v/>
      </c>
      <c r="J3292" s="4" t="str">
        <f aca="true">IF($D3292="Manual Review","Manual Review",IF($G3292="","No Data",IF(NOT(ISNUMBER($H3292)),"N/A",IF($H3292&lt;TODAY(),"Overdue",IF($H3292&lt;=TODAY()+30,"Due within 1 Month",IF($H3292&lt;=TODAY()+60,"Due within 2 Months","OK"))))))</f>
        <v>No Data</v>
      </c>
      <c r="K3292" s="13"/>
    </row>
    <row r="3293" customFormat="false" ht="15" hidden="false" customHeight="false" outlineLevel="0" collapsed="false">
      <c r="A3293" s="9" t="str">
        <f aca="false">Vessels!B34</f>
        <v>Vessel 30</v>
      </c>
      <c r="B3293" s="9" t="s">
        <v>42</v>
      </c>
      <c r="C3293" s="7" t="s">
        <v>80</v>
      </c>
      <c r="D3293" s="9" t="s">
        <v>45</v>
      </c>
      <c r="E3293" s="9" t="s">
        <v>82</v>
      </c>
      <c r="F3293" s="5" t="n">
        <v>24</v>
      </c>
      <c r="G3293" s="10"/>
      <c r="H3293" s="11" t="str">
        <f aca="false">IFERROR(IF($D3293="Manual Review","",IF($G3293="","",IF($D3293="Direct Expiry",$G3293,EDATE($G3293,$F3293)))),"Check Date")</f>
        <v/>
      </c>
      <c r="I3293" s="12" t="str">
        <f aca="true">IF($H3293="","",IF(ISNUMBER($H3293),$H3293-TODAY(),""))</f>
        <v/>
      </c>
      <c r="J3293" s="4" t="str">
        <f aca="true">IF($D3293="Manual Review","Manual Review",IF($G3293="","No Data",IF(NOT(ISNUMBER($H3293)),"N/A",IF($H3293&lt;TODAY(),"Overdue",IF($H3293&lt;=TODAY()+30,"Due within 1 Month",IF($H3293&lt;=TODAY()+60,"Due within 2 Months","OK"))))))</f>
        <v>No Data</v>
      </c>
      <c r="K3293" s="13"/>
    </row>
    <row r="3294" customFormat="false" ht="15" hidden="false" customHeight="false" outlineLevel="0" collapsed="false">
      <c r="A3294" s="9" t="str">
        <f aca="false">Vessels!B34</f>
        <v>Vessel 30</v>
      </c>
      <c r="B3294" s="9" t="s">
        <v>42</v>
      </c>
      <c r="C3294" s="7" t="s">
        <v>83</v>
      </c>
      <c r="D3294" s="9" t="s">
        <v>45</v>
      </c>
      <c r="E3294" s="9" t="s">
        <v>44</v>
      </c>
      <c r="F3294" s="5" t="n">
        <v>12</v>
      </c>
      <c r="G3294" s="10"/>
      <c r="H3294" s="11" t="str">
        <f aca="false">IFERROR(IF($D3294="Manual Review","",IF($G3294="","",IF($D3294="Direct Expiry",$G3294,EDATE($G3294,$F3294)))),"Check Date")</f>
        <v/>
      </c>
      <c r="I3294" s="12" t="str">
        <f aca="true">IF($H3294="","",IF(ISNUMBER($H3294),$H3294-TODAY(),""))</f>
        <v/>
      </c>
      <c r="J3294" s="4" t="str">
        <f aca="true">IF($D3294="Manual Review","Manual Review",IF($G3294="","No Data",IF(NOT(ISNUMBER($H3294)),"N/A",IF($H3294&lt;TODAY(),"Overdue",IF($H3294&lt;=TODAY()+30,"Due within 1 Month",IF($H3294&lt;=TODAY()+60,"Due within 2 Months","OK"))))))</f>
        <v>No Data</v>
      </c>
      <c r="K3294" s="13"/>
    </row>
    <row r="3295" customFormat="false" ht="15" hidden="false" customHeight="false" outlineLevel="0" collapsed="false">
      <c r="A3295" s="9" t="str">
        <f aca="false">Vessels!B34</f>
        <v>Vessel 30</v>
      </c>
      <c r="B3295" s="9" t="s">
        <v>42</v>
      </c>
      <c r="C3295" s="7" t="s">
        <v>83</v>
      </c>
      <c r="D3295" s="9" t="s">
        <v>45</v>
      </c>
      <c r="E3295" s="9" t="s">
        <v>84</v>
      </c>
      <c r="F3295" s="5" t="n">
        <v>60</v>
      </c>
      <c r="G3295" s="10"/>
      <c r="H3295" s="11" t="str">
        <f aca="false">IFERROR(IF($D3295="Manual Review","",IF($G3295="","",IF($D3295="Direct Expiry",$G3295,EDATE($G3295,$F3295)))),"Check Date")</f>
        <v/>
      </c>
      <c r="I3295" s="12" t="str">
        <f aca="true">IF($H3295="","",IF(ISNUMBER($H3295),$H3295-TODAY(),""))</f>
        <v/>
      </c>
      <c r="J3295" s="4" t="str">
        <f aca="true">IF($D3295="Manual Review","Manual Review",IF($G3295="","No Data",IF(NOT(ISNUMBER($H3295)),"N/A",IF($H3295&lt;TODAY(),"Overdue",IF($H3295&lt;=TODAY()+30,"Due within 1 Month",IF($H3295&lt;=TODAY()+60,"Due within 2 Months","OK"))))))</f>
        <v>No Data</v>
      </c>
      <c r="K3295" s="13"/>
    </row>
    <row r="3296" customFormat="false" ht="15" hidden="false" customHeight="false" outlineLevel="0" collapsed="false">
      <c r="A3296" s="9" t="str">
        <f aca="false">Vessels!B34</f>
        <v>Vessel 30</v>
      </c>
      <c r="B3296" s="9" t="s">
        <v>42</v>
      </c>
      <c r="C3296" s="7" t="s">
        <v>85</v>
      </c>
      <c r="D3296" s="9" t="s">
        <v>45</v>
      </c>
      <c r="E3296" s="9" t="s">
        <v>44</v>
      </c>
      <c r="F3296" s="5" t="n">
        <v>12</v>
      </c>
      <c r="G3296" s="10"/>
      <c r="H3296" s="11" t="str">
        <f aca="false">IFERROR(IF($D3296="Manual Review","",IF($G3296="","",IF($D3296="Direct Expiry",$G3296,EDATE($G3296,$F3296)))),"Check Date")</f>
        <v/>
      </c>
      <c r="I3296" s="12" t="str">
        <f aca="true">IF($H3296="","",IF(ISNUMBER($H3296),$H3296-TODAY(),""))</f>
        <v/>
      </c>
      <c r="J3296" s="4" t="str">
        <f aca="true">IF($D3296="Manual Review","Manual Review",IF($G3296="","No Data",IF(NOT(ISNUMBER($H3296)),"N/A",IF($H3296&lt;TODAY(),"Overdue",IF($H3296&lt;=TODAY()+30,"Due within 1 Month",IF($H3296&lt;=TODAY()+60,"Due within 2 Months","OK"))))))</f>
        <v>No Data</v>
      </c>
      <c r="K3296" s="13"/>
    </row>
    <row r="3297" customFormat="false" ht="15" hidden="false" customHeight="false" outlineLevel="0" collapsed="false">
      <c r="A3297" s="9" t="str">
        <f aca="false">Vessels!B34</f>
        <v>Vessel 30</v>
      </c>
      <c r="B3297" s="9" t="s">
        <v>42</v>
      </c>
      <c r="C3297" s="7" t="s">
        <v>85</v>
      </c>
      <c r="D3297" s="9" t="s">
        <v>45</v>
      </c>
      <c r="E3297" s="9" t="s">
        <v>84</v>
      </c>
      <c r="F3297" s="5" t="n">
        <v>60</v>
      </c>
      <c r="G3297" s="10"/>
      <c r="H3297" s="11" t="str">
        <f aca="false">IFERROR(IF($D3297="Manual Review","",IF($G3297="","",IF($D3297="Direct Expiry",$G3297,EDATE($G3297,$F3297)))),"Check Date")</f>
        <v/>
      </c>
      <c r="I3297" s="12" t="str">
        <f aca="true">IF($H3297="","",IF(ISNUMBER($H3297),$H3297-TODAY(),""))</f>
        <v/>
      </c>
      <c r="J3297" s="4" t="str">
        <f aca="true">IF($D3297="Manual Review","Manual Review",IF($G3297="","No Data",IF(NOT(ISNUMBER($H3297)),"N/A",IF($H3297&lt;TODAY(),"Overdue",IF($H3297&lt;=TODAY()+30,"Due within 1 Month",IF($H3297&lt;=TODAY()+60,"Due within 2 Months","OK"))))))</f>
        <v>No Data</v>
      </c>
      <c r="K3297" s="13"/>
    </row>
    <row r="3298" customFormat="false" ht="15" hidden="false" customHeight="false" outlineLevel="0" collapsed="false">
      <c r="A3298" s="9" t="str">
        <f aca="false">Vessels!B34</f>
        <v>Vessel 30</v>
      </c>
      <c r="B3298" s="9" t="s">
        <v>42</v>
      </c>
      <c r="C3298" s="7" t="s">
        <v>86</v>
      </c>
      <c r="D3298" s="9" t="s">
        <v>45</v>
      </c>
      <c r="E3298" s="9" t="s">
        <v>44</v>
      </c>
      <c r="F3298" s="5" t="n">
        <v>12</v>
      </c>
      <c r="G3298" s="10"/>
      <c r="H3298" s="11" t="str">
        <f aca="false">IFERROR(IF($D3298="Manual Review","",IF($G3298="","",IF($D3298="Direct Expiry",$G3298,EDATE($G3298,$F3298)))),"Check Date")</f>
        <v/>
      </c>
      <c r="I3298" s="12" t="str">
        <f aca="true">IF($H3298="","",IF(ISNUMBER($H3298),$H3298-TODAY(),""))</f>
        <v/>
      </c>
      <c r="J3298" s="4" t="str">
        <f aca="true">IF($D3298="Manual Review","Manual Review",IF($G3298="","No Data",IF(NOT(ISNUMBER($H3298)),"N/A",IF($H3298&lt;TODAY(),"Overdue",IF($H3298&lt;=TODAY()+30,"Due within 1 Month",IF($H3298&lt;=TODAY()+60,"Due within 2 Months","OK"))))))</f>
        <v>No Data</v>
      </c>
      <c r="K3298" s="13"/>
    </row>
    <row r="3299" customFormat="false" ht="15" hidden="false" customHeight="false" outlineLevel="0" collapsed="false">
      <c r="A3299" s="9" t="str">
        <f aca="false">Vessels!B34</f>
        <v>Vessel 30</v>
      </c>
      <c r="B3299" s="9" t="s">
        <v>42</v>
      </c>
      <c r="C3299" s="7" t="s">
        <v>87</v>
      </c>
      <c r="D3299" s="9" t="s">
        <v>45</v>
      </c>
      <c r="E3299" s="9" t="s">
        <v>44</v>
      </c>
      <c r="F3299" s="5" t="n">
        <v>12</v>
      </c>
      <c r="G3299" s="10"/>
      <c r="H3299" s="11" t="str">
        <f aca="false">IFERROR(IF($D3299="Manual Review","",IF($G3299="","",IF($D3299="Direct Expiry",$G3299,EDATE($G3299,$F3299)))),"Check Date")</f>
        <v/>
      </c>
      <c r="I3299" s="12" t="str">
        <f aca="true">IF($H3299="","",IF(ISNUMBER($H3299),$H3299-TODAY(),""))</f>
        <v/>
      </c>
      <c r="J3299" s="4" t="str">
        <f aca="true">IF($D3299="Manual Review","Manual Review",IF($G3299="","No Data",IF(NOT(ISNUMBER($H3299)),"N/A",IF($H3299&lt;TODAY(),"Overdue",IF($H3299&lt;=TODAY()+30,"Due within 1 Month",IF($H3299&lt;=TODAY()+60,"Due within 2 Months","OK"))))))</f>
        <v>No Data</v>
      </c>
      <c r="K3299" s="13"/>
    </row>
    <row r="3300" customFormat="false" ht="15" hidden="false" customHeight="false" outlineLevel="0" collapsed="false">
      <c r="A3300" s="9" t="str">
        <f aca="false">Vessels!B34</f>
        <v>Vessel 30</v>
      </c>
      <c r="B3300" s="9" t="s">
        <v>88</v>
      </c>
      <c r="C3300" s="7" t="s">
        <v>89</v>
      </c>
      <c r="D3300" s="9" t="s">
        <v>45</v>
      </c>
      <c r="E3300" s="9" t="s">
        <v>90</v>
      </c>
      <c r="F3300" s="5" t="n">
        <v>36</v>
      </c>
      <c r="G3300" s="10"/>
      <c r="H3300" s="11" t="str">
        <f aca="false">IFERROR(IF($D3300="Manual Review","",IF($G3300="","",IF($D3300="Direct Expiry",$G3300,EDATE($G3300,$F3300)))),"Check Date")</f>
        <v/>
      </c>
      <c r="I3300" s="12" t="str">
        <f aca="true">IF($H3300="","",IF(ISNUMBER($H3300),$H3300-TODAY(),""))</f>
        <v/>
      </c>
      <c r="J3300" s="4" t="str">
        <f aca="true">IF($D3300="Manual Review","Manual Review",IF($G3300="","No Data",IF(NOT(ISNUMBER($H3300)),"N/A",IF($H3300&lt;TODAY(),"Overdue",IF($H3300&lt;=TODAY()+30,"Due within 1 Month",IF($H3300&lt;=TODAY()+60,"Due within 2 Months","OK"))))))</f>
        <v>No Data</v>
      </c>
      <c r="K3300" s="13"/>
    </row>
    <row r="3301" customFormat="false" ht="15" hidden="false" customHeight="false" outlineLevel="0" collapsed="false">
      <c r="A3301" s="9" t="str">
        <f aca="false">Vessels!B34</f>
        <v>Vessel 30</v>
      </c>
      <c r="B3301" s="9" t="s">
        <v>88</v>
      </c>
      <c r="C3301" s="7" t="s">
        <v>91</v>
      </c>
      <c r="D3301" s="9" t="s">
        <v>45</v>
      </c>
      <c r="E3301" s="9" t="s">
        <v>44</v>
      </c>
      <c r="F3301" s="5" t="n">
        <v>12</v>
      </c>
      <c r="G3301" s="10"/>
      <c r="H3301" s="11" t="str">
        <f aca="false">IFERROR(IF($D3301="Manual Review","",IF($G3301="","",IF($D3301="Direct Expiry",$G3301,EDATE($G3301,$F3301)))),"Check Date")</f>
        <v/>
      </c>
      <c r="I3301" s="12" t="str">
        <f aca="true">IF($H3301="","",IF(ISNUMBER($H3301),$H3301-TODAY(),""))</f>
        <v/>
      </c>
      <c r="J3301" s="4" t="str">
        <f aca="true">IF($D3301="Manual Review","Manual Review",IF($G3301="","No Data",IF(NOT(ISNUMBER($H3301)),"N/A",IF($H3301&lt;TODAY(),"Overdue",IF($H3301&lt;=TODAY()+30,"Due within 1 Month",IF($H3301&lt;=TODAY()+60,"Due within 2 Months","OK"))))))</f>
        <v>No Data</v>
      </c>
      <c r="K3301" s="13"/>
    </row>
    <row r="3302" customFormat="false" ht="15" hidden="false" customHeight="false" outlineLevel="0" collapsed="false">
      <c r="A3302" s="9" t="str">
        <f aca="false">Vessels!B34</f>
        <v>Vessel 30</v>
      </c>
      <c r="B3302" s="9" t="s">
        <v>88</v>
      </c>
      <c r="C3302" s="7" t="s">
        <v>91</v>
      </c>
      <c r="D3302" s="9" t="s">
        <v>45</v>
      </c>
      <c r="E3302" s="9" t="s">
        <v>92</v>
      </c>
      <c r="F3302" s="5" t="n">
        <v>120</v>
      </c>
      <c r="G3302" s="10"/>
      <c r="H3302" s="11" t="str">
        <f aca="false">IFERROR(IF($D3302="Manual Review","",IF($G3302="","",IF($D3302="Direct Expiry",$G3302,EDATE($G3302,$F3302)))),"Check Date")</f>
        <v/>
      </c>
      <c r="I3302" s="12" t="str">
        <f aca="true">IF($H3302="","",IF(ISNUMBER($H3302),$H3302-TODAY(),""))</f>
        <v/>
      </c>
      <c r="J3302" s="4" t="str">
        <f aca="true">IF($D3302="Manual Review","Manual Review",IF($G3302="","No Data",IF(NOT(ISNUMBER($H3302)),"N/A",IF($H3302&lt;TODAY(),"Overdue",IF($H3302&lt;=TODAY()+30,"Due within 1 Month",IF($H3302&lt;=TODAY()+60,"Due within 2 Months","OK"))))))</f>
        <v>No Data</v>
      </c>
      <c r="K3302" s="13"/>
    </row>
    <row r="3303" customFormat="false" ht="15" hidden="false" customHeight="false" outlineLevel="0" collapsed="false">
      <c r="A3303" s="9" t="str">
        <f aca="false">Vessels!B34</f>
        <v>Vessel 30</v>
      </c>
      <c r="B3303" s="9" t="s">
        <v>88</v>
      </c>
      <c r="C3303" s="7" t="s">
        <v>93</v>
      </c>
      <c r="D3303" s="9" t="s">
        <v>45</v>
      </c>
      <c r="E3303" s="9" t="s">
        <v>44</v>
      </c>
      <c r="F3303" s="5" t="n">
        <v>12</v>
      </c>
      <c r="G3303" s="10"/>
      <c r="H3303" s="11" t="str">
        <f aca="false">IFERROR(IF($D3303="Manual Review","",IF($G3303="","",IF($D3303="Direct Expiry",$G3303,EDATE($G3303,$F3303)))),"Check Date")</f>
        <v/>
      </c>
      <c r="I3303" s="12" t="str">
        <f aca="true">IF($H3303="","",IF(ISNUMBER($H3303),$H3303-TODAY(),""))</f>
        <v/>
      </c>
      <c r="J3303" s="4" t="str">
        <f aca="true">IF($D3303="Manual Review","Manual Review",IF($G3303="","No Data",IF(NOT(ISNUMBER($H3303)),"N/A",IF($H3303&lt;TODAY(),"Overdue",IF($H3303&lt;=TODAY()+30,"Due within 1 Month",IF($H3303&lt;=TODAY()+60,"Due within 2 Months","OK"))))))</f>
        <v>No Data</v>
      </c>
      <c r="K3303" s="13"/>
    </row>
    <row r="3304" customFormat="false" ht="15" hidden="false" customHeight="false" outlineLevel="0" collapsed="false">
      <c r="A3304" s="9" t="str">
        <f aca="false">Vessels!B34</f>
        <v>Vessel 30</v>
      </c>
      <c r="B3304" s="9" t="s">
        <v>88</v>
      </c>
      <c r="C3304" s="7" t="s">
        <v>93</v>
      </c>
      <c r="D3304" s="9" t="s">
        <v>45</v>
      </c>
      <c r="E3304" s="9" t="s">
        <v>92</v>
      </c>
      <c r="F3304" s="5" t="n">
        <v>120</v>
      </c>
      <c r="G3304" s="10"/>
      <c r="H3304" s="11" t="str">
        <f aca="false">IFERROR(IF($D3304="Manual Review","",IF($G3304="","",IF($D3304="Direct Expiry",$G3304,EDATE($G3304,$F3304)))),"Check Date")</f>
        <v/>
      </c>
      <c r="I3304" s="12" t="str">
        <f aca="true">IF($H3304="","",IF(ISNUMBER($H3304),$H3304-TODAY(),""))</f>
        <v/>
      </c>
      <c r="J3304" s="4" t="str">
        <f aca="true">IF($D3304="Manual Review","Manual Review",IF($G3304="","No Data",IF(NOT(ISNUMBER($H3304)),"N/A",IF($H3304&lt;TODAY(),"Overdue",IF($H3304&lt;=TODAY()+30,"Due within 1 Month",IF($H3304&lt;=TODAY()+60,"Due within 2 Months","OK"))))))</f>
        <v>No Data</v>
      </c>
      <c r="K3304" s="13"/>
    </row>
    <row r="3305" customFormat="false" ht="15" hidden="false" customHeight="false" outlineLevel="0" collapsed="false">
      <c r="A3305" s="9" t="str">
        <f aca="false">Vessels!B34</f>
        <v>Vessel 30</v>
      </c>
      <c r="B3305" s="9" t="s">
        <v>88</v>
      </c>
      <c r="C3305" s="7" t="s">
        <v>94</v>
      </c>
      <c r="D3305" s="9" t="s">
        <v>45</v>
      </c>
      <c r="E3305" s="9" t="s">
        <v>44</v>
      </c>
      <c r="F3305" s="5" t="n">
        <v>12</v>
      </c>
      <c r="G3305" s="10"/>
      <c r="H3305" s="11" t="str">
        <f aca="false">IFERROR(IF($D3305="Manual Review","",IF($G3305="","",IF($D3305="Direct Expiry",$G3305,EDATE($G3305,$F3305)))),"Check Date")</f>
        <v/>
      </c>
      <c r="I3305" s="12" t="str">
        <f aca="true">IF($H3305="","",IF(ISNUMBER($H3305),$H3305-TODAY(),""))</f>
        <v/>
      </c>
      <c r="J3305" s="4" t="str">
        <f aca="true">IF($D3305="Manual Review","Manual Review",IF($G3305="","No Data",IF(NOT(ISNUMBER($H3305)),"N/A",IF($H3305&lt;TODAY(),"Overdue",IF($H3305&lt;=TODAY()+30,"Due within 1 Month",IF($H3305&lt;=TODAY()+60,"Due within 2 Months","OK"))))))</f>
        <v>No Data</v>
      </c>
      <c r="K3305" s="13"/>
    </row>
    <row r="3306" customFormat="false" ht="15" hidden="false" customHeight="false" outlineLevel="0" collapsed="false">
      <c r="A3306" s="9" t="str">
        <f aca="false">Vessels!B34</f>
        <v>Vessel 30</v>
      </c>
      <c r="B3306" s="9" t="s">
        <v>88</v>
      </c>
      <c r="C3306" s="7" t="s">
        <v>94</v>
      </c>
      <c r="D3306" s="9" t="s">
        <v>45</v>
      </c>
      <c r="E3306" s="9" t="s">
        <v>92</v>
      </c>
      <c r="F3306" s="5" t="n">
        <v>120</v>
      </c>
      <c r="G3306" s="10"/>
      <c r="H3306" s="11" t="str">
        <f aca="false">IFERROR(IF($D3306="Manual Review","",IF($G3306="","",IF($D3306="Direct Expiry",$G3306,EDATE($G3306,$F3306)))),"Check Date")</f>
        <v/>
      </c>
      <c r="I3306" s="12" t="str">
        <f aca="true">IF($H3306="","",IF(ISNUMBER($H3306),$H3306-TODAY(),""))</f>
        <v/>
      </c>
      <c r="J3306" s="4" t="str">
        <f aca="true">IF($D3306="Manual Review","Manual Review",IF($G3306="","No Data",IF(NOT(ISNUMBER($H3306)),"N/A",IF($H3306&lt;TODAY(),"Overdue",IF($H3306&lt;=TODAY()+30,"Due within 1 Month",IF($H3306&lt;=TODAY()+60,"Due within 2 Months","OK"))))))</f>
        <v>No Data</v>
      </c>
      <c r="K3306" s="13"/>
    </row>
    <row r="3307" customFormat="false" ht="15" hidden="false" customHeight="false" outlineLevel="0" collapsed="false">
      <c r="A3307" s="9" t="str">
        <f aca="false">Vessels!B34</f>
        <v>Vessel 30</v>
      </c>
      <c r="B3307" s="9" t="s">
        <v>88</v>
      </c>
      <c r="C3307" s="7" t="s">
        <v>95</v>
      </c>
      <c r="D3307" s="9" t="s">
        <v>45</v>
      </c>
      <c r="E3307" s="9" t="s">
        <v>44</v>
      </c>
      <c r="F3307" s="5" t="n">
        <v>12</v>
      </c>
      <c r="G3307" s="10"/>
      <c r="H3307" s="11" t="str">
        <f aca="false">IFERROR(IF($D3307="Manual Review","",IF($G3307="","",IF($D3307="Direct Expiry",$G3307,EDATE($G3307,$F3307)))),"Check Date")</f>
        <v/>
      </c>
      <c r="I3307" s="12" t="str">
        <f aca="true">IF($H3307="","",IF(ISNUMBER($H3307),$H3307-TODAY(),""))</f>
        <v/>
      </c>
      <c r="J3307" s="4" t="str">
        <f aca="true">IF($D3307="Manual Review","Manual Review",IF($G3307="","No Data",IF(NOT(ISNUMBER($H3307)),"N/A",IF($H3307&lt;TODAY(),"Overdue",IF($H3307&lt;=TODAY()+30,"Due within 1 Month",IF($H3307&lt;=TODAY()+60,"Due within 2 Months","OK"))))))</f>
        <v>No Data</v>
      </c>
      <c r="K3307" s="13"/>
    </row>
    <row r="3308" customFormat="false" ht="15" hidden="false" customHeight="false" outlineLevel="0" collapsed="false">
      <c r="A3308" s="9" t="str">
        <f aca="false">Vessels!B34</f>
        <v>Vessel 30</v>
      </c>
      <c r="B3308" s="9" t="s">
        <v>88</v>
      </c>
      <c r="C3308" s="7" t="s">
        <v>95</v>
      </c>
      <c r="D3308" s="9" t="s">
        <v>45</v>
      </c>
      <c r="E3308" s="9" t="s">
        <v>92</v>
      </c>
      <c r="F3308" s="5" t="n">
        <v>120</v>
      </c>
      <c r="G3308" s="10"/>
      <c r="H3308" s="11" t="str">
        <f aca="false">IFERROR(IF($D3308="Manual Review","",IF($G3308="","",IF($D3308="Direct Expiry",$G3308,EDATE($G3308,$F3308)))),"Check Date")</f>
        <v/>
      </c>
      <c r="I3308" s="12" t="str">
        <f aca="true">IF($H3308="","",IF(ISNUMBER($H3308),$H3308-TODAY(),""))</f>
        <v/>
      </c>
      <c r="J3308" s="4" t="str">
        <f aca="true">IF($D3308="Manual Review","Manual Review",IF($G3308="","No Data",IF(NOT(ISNUMBER($H3308)),"N/A",IF($H3308&lt;TODAY(),"Overdue",IF($H3308&lt;=TODAY()+30,"Due within 1 Month",IF($H3308&lt;=TODAY()+60,"Due within 2 Months","OK"))))))</f>
        <v>No Data</v>
      </c>
      <c r="K3308" s="13"/>
    </row>
    <row r="3309" customFormat="false" ht="15" hidden="false" customHeight="false" outlineLevel="0" collapsed="false">
      <c r="A3309" s="9" t="str">
        <f aca="false">Vessels!B34</f>
        <v>Vessel 30</v>
      </c>
      <c r="B3309" s="9" t="s">
        <v>88</v>
      </c>
      <c r="C3309" s="7" t="s">
        <v>96</v>
      </c>
      <c r="D3309" s="9" t="s">
        <v>45</v>
      </c>
      <c r="E3309" s="9" t="s">
        <v>44</v>
      </c>
      <c r="F3309" s="5" t="n">
        <v>12</v>
      </c>
      <c r="G3309" s="10"/>
      <c r="H3309" s="11" t="str">
        <f aca="false">IFERROR(IF($D3309="Manual Review","",IF($G3309="","",IF($D3309="Direct Expiry",$G3309,EDATE($G3309,$F3309)))),"Check Date")</f>
        <v/>
      </c>
      <c r="I3309" s="12" t="str">
        <f aca="true">IF($H3309="","",IF(ISNUMBER($H3309),$H3309-TODAY(),""))</f>
        <v/>
      </c>
      <c r="J3309" s="4" t="str">
        <f aca="true">IF($D3309="Manual Review","Manual Review",IF($G3309="","No Data",IF(NOT(ISNUMBER($H3309)),"N/A",IF($H3309&lt;TODAY(),"Overdue",IF($H3309&lt;=TODAY()+30,"Due within 1 Month",IF($H3309&lt;=TODAY()+60,"Due within 2 Months","OK"))))))</f>
        <v>No Data</v>
      </c>
      <c r="K3309" s="13"/>
    </row>
    <row r="3310" customFormat="false" ht="15" hidden="false" customHeight="false" outlineLevel="0" collapsed="false">
      <c r="A3310" s="9" t="str">
        <f aca="false">Vessels!B34</f>
        <v>Vessel 30</v>
      </c>
      <c r="B3310" s="9" t="s">
        <v>88</v>
      </c>
      <c r="C3310" s="7" t="s">
        <v>96</v>
      </c>
      <c r="D3310" s="9" t="s">
        <v>45</v>
      </c>
      <c r="E3310" s="9" t="s">
        <v>97</v>
      </c>
      <c r="F3310" s="5" t="n">
        <v>120</v>
      </c>
      <c r="G3310" s="10"/>
      <c r="H3310" s="11" t="str">
        <f aca="false">IFERROR(IF($D3310="Manual Review","",IF($G3310="","",IF($D3310="Direct Expiry",$G3310,EDATE($G3310,$F3310)))),"Check Date")</f>
        <v/>
      </c>
      <c r="I3310" s="12" t="str">
        <f aca="true">IF($H3310="","",IF(ISNUMBER($H3310),$H3310-TODAY(),""))</f>
        <v/>
      </c>
      <c r="J3310" s="4" t="str">
        <f aca="true">IF($D3310="Manual Review","Manual Review",IF($G3310="","No Data",IF(NOT(ISNUMBER($H3310)),"N/A",IF($H3310&lt;TODAY(),"Overdue",IF($H3310&lt;=TODAY()+30,"Due within 1 Month",IF($H3310&lt;=TODAY()+60,"Due within 2 Months","OK"))))))</f>
        <v>No Data</v>
      </c>
      <c r="K3310" s="13"/>
    </row>
    <row r="3311" customFormat="false" ht="15" hidden="false" customHeight="false" outlineLevel="0" collapsed="false">
      <c r="A3311" s="9" t="str">
        <f aca="false">Vessels!B34</f>
        <v>Vessel 30</v>
      </c>
      <c r="B3311" s="9" t="s">
        <v>88</v>
      </c>
      <c r="C3311" s="7" t="s">
        <v>98</v>
      </c>
      <c r="D3311" s="9" t="s">
        <v>45</v>
      </c>
      <c r="E3311" s="9" t="s">
        <v>44</v>
      </c>
      <c r="F3311" s="5" t="n">
        <v>12</v>
      </c>
      <c r="G3311" s="10"/>
      <c r="H3311" s="11" t="str">
        <f aca="false">IFERROR(IF($D3311="Manual Review","",IF($G3311="","",IF($D3311="Direct Expiry",$G3311,EDATE($G3311,$F3311)))),"Check Date")</f>
        <v/>
      </c>
      <c r="I3311" s="12" t="str">
        <f aca="true">IF($H3311="","",IF(ISNUMBER($H3311),$H3311-TODAY(),""))</f>
        <v/>
      </c>
      <c r="J3311" s="4" t="str">
        <f aca="true">IF($D3311="Manual Review","Manual Review",IF($G3311="","No Data",IF(NOT(ISNUMBER($H3311)),"N/A",IF($H3311&lt;TODAY(),"Overdue",IF($H3311&lt;=TODAY()+30,"Due within 1 Month",IF($H3311&lt;=TODAY()+60,"Due within 2 Months","OK"))))))</f>
        <v>No Data</v>
      </c>
      <c r="K3311" s="13"/>
    </row>
    <row r="3312" customFormat="false" ht="15" hidden="false" customHeight="false" outlineLevel="0" collapsed="false">
      <c r="A3312" s="9" t="str">
        <f aca="false">Vessels!B34</f>
        <v>Vessel 30</v>
      </c>
      <c r="B3312" s="9" t="s">
        <v>88</v>
      </c>
      <c r="C3312" s="7" t="s">
        <v>98</v>
      </c>
      <c r="D3312" s="9" t="s">
        <v>45</v>
      </c>
      <c r="E3312" s="9" t="s">
        <v>99</v>
      </c>
      <c r="F3312" s="5" t="n">
        <v>60</v>
      </c>
      <c r="G3312" s="10"/>
      <c r="H3312" s="11" t="str">
        <f aca="false">IFERROR(IF($D3312="Manual Review","",IF($G3312="","",IF($D3312="Direct Expiry",$G3312,EDATE($G3312,$F3312)))),"Check Date")</f>
        <v/>
      </c>
      <c r="I3312" s="12" t="str">
        <f aca="true">IF($H3312="","",IF(ISNUMBER($H3312),$H3312-TODAY(),""))</f>
        <v/>
      </c>
      <c r="J3312" s="4" t="str">
        <f aca="true">IF($D3312="Manual Review","Manual Review",IF($G3312="","No Data",IF(NOT(ISNUMBER($H3312)),"N/A",IF($H3312&lt;TODAY(),"Overdue",IF($H3312&lt;=TODAY()+30,"Due within 1 Month",IF($H3312&lt;=TODAY()+60,"Due within 2 Months","OK"))))))</f>
        <v>No Data</v>
      </c>
      <c r="K3312" s="13"/>
    </row>
    <row r="3313" customFormat="false" ht="15" hidden="false" customHeight="false" outlineLevel="0" collapsed="false">
      <c r="A3313" s="9" t="str">
        <f aca="false">Vessels!B34</f>
        <v>Vessel 30</v>
      </c>
      <c r="B3313" s="9" t="s">
        <v>88</v>
      </c>
      <c r="C3313" s="7" t="s">
        <v>100</v>
      </c>
      <c r="D3313" s="9" t="s">
        <v>45</v>
      </c>
      <c r="E3313" s="9" t="s">
        <v>44</v>
      </c>
      <c r="F3313" s="5" t="n">
        <v>12</v>
      </c>
      <c r="G3313" s="10"/>
      <c r="H3313" s="11" t="str">
        <f aca="false">IFERROR(IF($D3313="Manual Review","",IF($G3313="","",IF($D3313="Direct Expiry",$G3313,EDATE($G3313,$F3313)))),"Check Date")</f>
        <v/>
      </c>
      <c r="I3313" s="12" t="str">
        <f aca="true">IF($H3313="","",IF(ISNUMBER($H3313),$H3313-TODAY(),""))</f>
        <v/>
      </c>
      <c r="J3313" s="4" t="str">
        <f aca="true">IF($D3313="Manual Review","Manual Review",IF($G3313="","No Data",IF(NOT(ISNUMBER($H3313)),"N/A",IF($H3313&lt;TODAY(),"Overdue",IF($H3313&lt;=TODAY()+30,"Due within 1 Month",IF($H3313&lt;=TODAY()+60,"Due within 2 Months","OK"))))))</f>
        <v>No Data</v>
      </c>
      <c r="K3313" s="13"/>
    </row>
    <row r="3314" customFormat="false" ht="15" hidden="false" customHeight="false" outlineLevel="0" collapsed="false">
      <c r="A3314" s="9" t="str">
        <f aca="false">Vessels!B34</f>
        <v>Vessel 30</v>
      </c>
      <c r="B3314" s="9" t="s">
        <v>88</v>
      </c>
      <c r="C3314" s="7" t="s">
        <v>100</v>
      </c>
      <c r="D3314" s="9" t="s">
        <v>45</v>
      </c>
      <c r="E3314" s="9" t="s">
        <v>99</v>
      </c>
      <c r="F3314" s="5" t="n">
        <v>60</v>
      </c>
      <c r="G3314" s="10"/>
      <c r="H3314" s="11" t="str">
        <f aca="false">IFERROR(IF($D3314="Manual Review","",IF($G3314="","",IF($D3314="Direct Expiry",$G3314,EDATE($G3314,$F3314)))),"Check Date")</f>
        <v/>
      </c>
      <c r="I3314" s="12" t="str">
        <f aca="true">IF($H3314="","",IF(ISNUMBER($H3314),$H3314-TODAY(),""))</f>
        <v/>
      </c>
      <c r="J3314" s="4" t="str">
        <f aca="true">IF($D3314="Manual Review","Manual Review",IF($G3314="","No Data",IF(NOT(ISNUMBER($H3314)),"N/A",IF($H3314&lt;TODAY(),"Overdue",IF($H3314&lt;=TODAY()+30,"Due within 1 Month",IF($H3314&lt;=TODAY()+60,"Due within 2 Months","OK"))))))</f>
        <v>No Data</v>
      </c>
      <c r="K3314" s="13"/>
    </row>
    <row r="3315" customFormat="false" ht="15" hidden="false" customHeight="false" outlineLevel="0" collapsed="false">
      <c r="A3315" s="9" t="str">
        <f aca="false">Vessels!B34</f>
        <v>Vessel 30</v>
      </c>
      <c r="B3315" s="9" t="s">
        <v>88</v>
      </c>
      <c r="C3315" s="7" t="s">
        <v>101</v>
      </c>
      <c r="D3315" s="9" t="s">
        <v>45</v>
      </c>
      <c r="E3315" s="9" t="s">
        <v>44</v>
      </c>
      <c r="F3315" s="5" t="n">
        <v>12</v>
      </c>
      <c r="G3315" s="10"/>
      <c r="H3315" s="11" t="str">
        <f aca="false">IFERROR(IF($D3315="Manual Review","",IF($G3315="","",IF($D3315="Direct Expiry",$G3315,EDATE($G3315,$F3315)))),"Check Date")</f>
        <v/>
      </c>
      <c r="I3315" s="12" t="str">
        <f aca="true">IF($H3315="","",IF(ISNUMBER($H3315),$H3315-TODAY(),""))</f>
        <v/>
      </c>
      <c r="J3315" s="4" t="str">
        <f aca="true">IF($D3315="Manual Review","Manual Review",IF($G3315="","No Data",IF(NOT(ISNUMBER($H3315)),"N/A",IF($H3315&lt;TODAY(),"Overdue",IF($H3315&lt;=TODAY()+30,"Due within 1 Month",IF($H3315&lt;=TODAY()+60,"Due within 2 Months","OK"))))))</f>
        <v>No Data</v>
      </c>
      <c r="K3315" s="13"/>
    </row>
    <row r="3316" customFormat="false" ht="23.85" hidden="false" customHeight="false" outlineLevel="0" collapsed="false">
      <c r="A3316" s="9" t="str">
        <f aca="false">Vessels!B34</f>
        <v>Vessel 30</v>
      </c>
      <c r="B3316" s="9" t="s">
        <v>88</v>
      </c>
      <c r="C3316" s="7" t="s">
        <v>102</v>
      </c>
      <c r="D3316" s="9" t="s">
        <v>45</v>
      </c>
      <c r="E3316" s="9" t="s">
        <v>44</v>
      </c>
      <c r="F3316" s="5" t="n">
        <v>12</v>
      </c>
      <c r="G3316" s="10"/>
      <c r="H3316" s="11" t="str">
        <f aca="false">IFERROR(IF($D3316="Manual Review","",IF($G3316="","",IF($D3316="Direct Expiry",$G3316,EDATE($G3316,$F3316)))),"Check Date")</f>
        <v/>
      </c>
      <c r="I3316" s="12" t="str">
        <f aca="true">IF($H3316="","",IF(ISNUMBER($H3316),$H3316-TODAY(),""))</f>
        <v/>
      </c>
      <c r="J3316" s="4" t="str">
        <f aca="true">IF($D3316="Manual Review","Manual Review",IF($G3316="","No Data",IF(NOT(ISNUMBER($H3316)),"N/A",IF($H3316&lt;TODAY(),"Overdue",IF($H3316&lt;=TODAY()+30,"Due within 1 Month",IF($H3316&lt;=TODAY()+60,"Due within 2 Months","OK"))))))</f>
        <v>No Data</v>
      </c>
      <c r="K3316" s="13"/>
    </row>
    <row r="3317" customFormat="false" ht="23.85" hidden="false" customHeight="false" outlineLevel="0" collapsed="false">
      <c r="A3317" s="9" t="str">
        <f aca="false">Vessels!B34</f>
        <v>Vessel 30</v>
      </c>
      <c r="B3317" s="9" t="s">
        <v>88</v>
      </c>
      <c r="C3317" s="7" t="s">
        <v>102</v>
      </c>
      <c r="D3317" s="9" t="s">
        <v>45</v>
      </c>
      <c r="E3317" s="9" t="s">
        <v>97</v>
      </c>
      <c r="F3317" s="5" t="n">
        <v>120</v>
      </c>
      <c r="G3317" s="10"/>
      <c r="H3317" s="11" t="str">
        <f aca="false">IFERROR(IF($D3317="Manual Review","",IF($G3317="","",IF($D3317="Direct Expiry",$G3317,EDATE($G3317,$F3317)))),"Check Date")</f>
        <v/>
      </c>
      <c r="I3317" s="12" t="str">
        <f aca="true">IF($H3317="","",IF(ISNUMBER($H3317),$H3317-TODAY(),""))</f>
        <v/>
      </c>
      <c r="J3317" s="4" t="str">
        <f aca="true">IF($D3317="Manual Review","Manual Review",IF($G3317="","No Data",IF(NOT(ISNUMBER($H3317)),"N/A",IF($H3317&lt;TODAY(),"Overdue",IF($H3317&lt;=TODAY()+30,"Due within 1 Month",IF($H3317&lt;=TODAY()+60,"Due within 2 Months","OK"))))))</f>
        <v>No Data</v>
      </c>
      <c r="K3317" s="13"/>
    </row>
    <row r="3318" customFormat="false" ht="15" hidden="false" customHeight="false" outlineLevel="0" collapsed="false">
      <c r="A3318" s="9" t="str">
        <f aca="false">Vessels!B34</f>
        <v>Vessel 30</v>
      </c>
      <c r="B3318" s="9" t="s">
        <v>88</v>
      </c>
      <c r="C3318" s="7" t="s">
        <v>103</v>
      </c>
      <c r="D3318" s="9" t="s">
        <v>45</v>
      </c>
      <c r="E3318" s="9" t="s">
        <v>44</v>
      </c>
      <c r="F3318" s="5" t="n">
        <v>12</v>
      </c>
      <c r="G3318" s="10"/>
      <c r="H3318" s="11" t="str">
        <f aca="false">IFERROR(IF($D3318="Manual Review","",IF($G3318="","",IF($D3318="Direct Expiry",$G3318,EDATE($G3318,$F3318)))),"Check Date")</f>
        <v/>
      </c>
      <c r="I3318" s="12" t="str">
        <f aca="true">IF($H3318="","",IF(ISNUMBER($H3318),$H3318-TODAY(),""))</f>
        <v/>
      </c>
      <c r="J3318" s="4" t="str">
        <f aca="true">IF($D3318="Manual Review","Manual Review",IF($G3318="","No Data",IF(NOT(ISNUMBER($H3318)),"N/A",IF($H3318&lt;TODAY(),"Overdue",IF($H3318&lt;=TODAY()+30,"Due within 1 Month",IF($H3318&lt;=TODAY()+60,"Due within 2 Months","OK"))))))</f>
        <v>No Data</v>
      </c>
      <c r="K3318" s="13"/>
    </row>
    <row r="3319" customFormat="false" ht="15" hidden="false" customHeight="false" outlineLevel="0" collapsed="false">
      <c r="A3319" s="9" t="str">
        <f aca="false">Vessels!B34</f>
        <v>Vessel 30</v>
      </c>
      <c r="B3319" s="9" t="s">
        <v>88</v>
      </c>
      <c r="C3319" s="7" t="s">
        <v>103</v>
      </c>
      <c r="D3319" s="9" t="s">
        <v>45</v>
      </c>
      <c r="E3319" s="9" t="s">
        <v>97</v>
      </c>
      <c r="F3319" s="5" t="n">
        <v>120</v>
      </c>
      <c r="G3319" s="10"/>
      <c r="H3319" s="11" t="str">
        <f aca="false">IFERROR(IF($D3319="Manual Review","",IF($G3319="","",IF($D3319="Direct Expiry",$G3319,EDATE($G3319,$F3319)))),"Check Date")</f>
        <v/>
      </c>
      <c r="I3319" s="12" t="str">
        <f aca="true">IF($H3319="","",IF(ISNUMBER($H3319),$H3319-TODAY(),""))</f>
        <v/>
      </c>
      <c r="J3319" s="4" t="str">
        <f aca="true">IF($D3319="Manual Review","Manual Review",IF($G3319="","No Data",IF(NOT(ISNUMBER($H3319)),"N/A",IF($H3319&lt;TODAY(),"Overdue",IF($H3319&lt;=TODAY()+30,"Due within 1 Month",IF($H3319&lt;=TODAY()+60,"Due within 2 Months","OK"))))))</f>
        <v>No Data</v>
      </c>
      <c r="K3319" s="13"/>
    </row>
    <row r="3320" customFormat="false" ht="15" hidden="false" customHeight="false" outlineLevel="0" collapsed="false">
      <c r="A3320" s="9" t="str">
        <f aca="false">Vessels!B34</f>
        <v>Vessel 30</v>
      </c>
      <c r="B3320" s="9" t="s">
        <v>88</v>
      </c>
      <c r="C3320" s="7" t="s">
        <v>104</v>
      </c>
      <c r="D3320" s="9" t="s">
        <v>45</v>
      </c>
      <c r="E3320" s="9" t="s">
        <v>44</v>
      </c>
      <c r="F3320" s="5" t="n">
        <v>12</v>
      </c>
      <c r="G3320" s="10"/>
      <c r="H3320" s="11" t="str">
        <f aca="false">IFERROR(IF($D3320="Manual Review","",IF($G3320="","",IF($D3320="Direct Expiry",$G3320,EDATE($G3320,$F3320)))),"Check Date")</f>
        <v/>
      </c>
      <c r="I3320" s="12" t="str">
        <f aca="true">IF($H3320="","",IF(ISNUMBER($H3320),$H3320-TODAY(),""))</f>
        <v/>
      </c>
      <c r="J3320" s="4" t="str">
        <f aca="true">IF($D3320="Manual Review","Manual Review",IF($G3320="","No Data",IF(NOT(ISNUMBER($H3320)),"N/A",IF($H3320&lt;TODAY(),"Overdue",IF($H3320&lt;=TODAY()+30,"Due within 1 Month",IF($H3320&lt;=TODAY()+60,"Due within 2 Months","OK"))))))</f>
        <v>No Data</v>
      </c>
      <c r="K3320" s="13"/>
    </row>
    <row r="3321" customFormat="false" ht="15" hidden="false" customHeight="false" outlineLevel="0" collapsed="false">
      <c r="A3321" s="9" t="str">
        <f aca="false">Vessels!B34</f>
        <v>Vessel 30</v>
      </c>
      <c r="B3321" s="9" t="s">
        <v>88</v>
      </c>
      <c r="C3321" s="7" t="s">
        <v>105</v>
      </c>
      <c r="D3321" s="9" t="s">
        <v>45</v>
      </c>
      <c r="E3321" s="9" t="s">
        <v>44</v>
      </c>
      <c r="F3321" s="5" t="n">
        <v>12</v>
      </c>
      <c r="G3321" s="10"/>
      <c r="H3321" s="11" t="str">
        <f aca="false">IFERROR(IF($D3321="Manual Review","",IF($G3321="","",IF($D3321="Direct Expiry",$G3321,EDATE($G3321,$F3321)))),"Check Date")</f>
        <v/>
      </c>
      <c r="I3321" s="12" t="str">
        <f aca="true">IF($H3321="","",IF(ISNUMBER($H3321),$H3321-TODAY(),""))</f>
        <v/>
      </c>
      <c r="J3321" s="4" t="str">
        <f aca="true">IF($D3321="Manual Review","Manual Review",IF($G3321="","No Data",IF(NOT(ISNUMBER($H3321)),"N/A",IF($H3321&lt;TODAY(),"Overdue",IF($H3321&lt;=TODAY()+30,"Due within 1 Month",IF($H3321&lt;=TODAY()+60,"Due within 2 Months","OK"))))))</f>
        <v>No Data</v>
      </c>
      <c r="K3321" s="13"/>
    </row>
    <row r="3322" customFormat="false" ht="15" hidden="false" customHeight="false" outlineLevel="0" collapsed="false">
      <c r="A3322" s="9" t="str">
        <f aca="false">Vessels!B34</f>
        <v>Vessel 30</v>
      </c>
      <c r="B3322" s="9" t="s">
        <v>88</v>
      </c>
      <c r="C3322" s="7" t="s">
        <v>106</v>
      </c>
      <c r="D3322" s="9" t="s">
        <v>45</v>
      </c>
      <c r="E3322" s="9" t="s">
        <v>44</v>
      </c>
      <c r="F3322" s="5" t="n">
        <v>12</v>
      </c>
      <c r="G3322" s="10"/>
      <c r="H3322" s="11" t="str">
        <f aca="false">IFERROR(IF($D3322="Manual Review","",IF($G3322="","",IF($D3322="Direct Expiry",$G3322,EDATE($G3322,$F3322)))),"Check Date")</f>
        <v/>
      </c>
      <c r="I3322" s="12" t="str">
        <f aca="true">IF($H3322="","",IF(ISNUMBER($H3322),$H3322-TODAY(),""))</f>
        <v/>
      </c>
      <c r="J3322" s="4" t="str">
        <f aca="true">IF($D3322="Manual Review","Manual Review",IF($G3322="","No Data",IF(NOT(ISNUMBER($H3322)),"N/A",IF($H3322&lt;TODAY(),"Overdue",IF($H3322&lt;=TODAY()+30,"Due within 1 Month",IF($H3322&lt;=TODAY()+60,"Due within 2 Months","OK"))))))</f>
        <v>No Data</v>
      </c>
      <c r="K3322" s="13"/>
    </row>
    <row r="3323" customFormat="false" ht="15" hidden="false" customHeight="false" outlineLevel="0" collapsed="false">
      <c r="A3323" s="9" t="str">
        <f aca="false">Vessels!B34</f>
        <v>Vessel 30</v>
      </c>
      <c r="B3323" s="9" t="s">
        <v>88</v>
      </c>
      <c r="C3323" s="7" t="s">
        <v>107</v>
      </c>
      <c r="D3323" s="9" t="s">
        <v>45</v>
      </c>
      <c r="E3323" s="9" t="s">
        <v>44</v>
      </c>
      <c r="F3323" s="5" t="n">
        <v>12</v>
      </c>
      <c r="G3323" s="10"/>
      <c r="H3323" s="11" t="str">
        <f aca="false">IFERROR(IF($D3323="Manual Review","",IF($G3323="","",IF($D3323="Direct Expiry",$G3323,EDATE($G3323,$F3323)))),"Check Date")</f>
        <v/>
      </c>
      <c r="I3323" s="12" t="str">
        <f aca="true">IF($H3323="","",IF(ISNUMBER($H3323),$H3323-TODAY(),""))</f>
        <v/>
      </c>
      <c r="J3323" s="4" t="str">
        <f aca="true">IF($D3323="Manual Review","Manual Review",IF($G3323="","No Data",IF(NOT(ISNUMBER($H3323)),"N/A",IF($H3323&lt;TODAY(),"Overdue",IF($H3323&lt;=TODAY()+30,"Due within 1 Month",IF($H3323&lt;=TODAY()+60,"Due within 2 Months","OK"))))))</f>
        <v>No Data</v>
      </c>
      <c r="K3323" s="13"/>
    </row>
    <row r="3324" customFormat="false" ht="15" hidden="false" customHeight="false" outlineLevel="0" collapsed="false">
      <c r="A3324" s="9" t="str">
        <f aca="false">Vessels!B34</f>
        <v>Vessel 30</v>
      </c>
      <c r="B3324" s="9" t="s">
        <v>88</v>
      </c>
      <c r="C3324" s="7" t="s">
        <v>108</v>
      </c>
      <c r="D3324" s="9" t="s">
        <v>45</v>
      </c>
      <c r="E3324" s="9" t="s">
        <v>109</v>
      </c>
      <c r="F3324" s="5" t="n">
        <v>12</v>
      </c>
      <c r="G3324" s="10"/>
      <c r="H3324" s="11" t="str">
        <f aca="false">IFERROR(IF($D3324="Manual Review","",IF($G3324="","",IF($D3324="Direct Expiry",$G3324,EDATE($G3324,$F3324)))),"Check Date")</f>
        <v/>
      </c>
      <c r="I3324" s="12" t="str">
        <f aca="true">IF($H3324="","",IF(ISNUMBER($H3324),$H3324-TODAY(),""))</f>
        <v/>
      </c>
      <c r="J3324" s="4" t="str">
        <f aca="true">IF($D3324="Manual Review","Manual Review",IF($G3324="","No Data",IF(NOT(ISNUMBER($H3324)),"N/A",IF($H3324&lt;TODAY(),"Overdue",IF($H3324&lt;=TODAY()+30,"Due within 1 Month",IF($H3324&lt;=TODAY()+60,"Due within 2 Months","OK"))))))</f>
        <v>No Data</v>
      </c>
      <c r="K3324" s="13"/>
    </row>
    <row r="3325" customFormat="false" ht="15" hidden="false" customHeight="false" outlineLevel="0" collapsed="false">
      <c r="A3325" s="9" t="str">
        <f aca="false">Vessels!B34</f>
        <v>Vessel 30</v>
      </c>
      <c r="B3325" s="9" t="s">
        <v>88</v>
      </c>
      <c r="C3325" s="7" t="s">
        <v>108</v>
      </c>
      <c r="D3325" s="9" t="s">
        <v>45</v>
      </c>
      <c r="E3325" s="9" t="s">
        <v>110</v>
      </c>
      <c r="F3325" s="5" t="n">
        <v>60</v>
      </c>
      <c r="G3325" s="10"/>
      <c r="H3325" s="11" t="str">
        <f aca="false">IFERROR(IF($D3325="Manual Review","",IF($G3325="","",IF($D3325="Direct Expiry",$G3325,EDATE($G3325,$F3325)))),"Check Date")</f>
        <v/>
      </c>
      <c r="I3325" s="12" t="str">
        <f aca="true">IF($H3325="","",IF(ISNUMBER($H3325),$H3325-TODAY(),""))</f>
        <v/>
      </c>
      <c r="J3325" s="4" t="str">
        <f aca="true">IF($D3325="Manual Review","Manual Review",IF($G3325="","No Data",IF(NOT(ISNUMBER($H3325)),"N/A",IF($H3325&lt;TODAY(),"Overdue",IF($H3325&lt;=TODAY()+30,"Due within 1 Month",IF($H3325&lt;=TODAY()+60,"Due within 2 Months","OK"))))))</f>
        <v>No Data</v>
      </c>
      <c r="K3325" s="13"/>
    </row>
    <row r="3326" customFormat="false" ht="15" hidden="false" customHeight="false" outlineLevel="0" collapsed="false">
      <c r="A3326" s="9" t="str">
        <f aca="false">Vessels!B34</f>
        <v>Vessel 30</v>
      </c>
      <c r="B3326" s="9" t="s">
        <v>88</v>
      </c>
      <c r="C3326" s="7" t="s">
        <v>111</v>
      </c>
      <c r="D3326" s="9" t="s">
        <v>45</v>
      </c>
      <c r="E3326" s="9" t="s">
        <v>44</v>
      </c>
      <c r="F3326" s="5" t="n">
        <v>12</v>
      </c>
      <c r="G3326" s="10"/>
      <c r="H3326" s="11" t="str">
        <f aca="false">IFERROR(IF($D3326="Manual Review","",IF($G3326="","",IF($D3326="Direct Expiry",$G3326,EDATE($G3326,$F3326)))),"Check Date")</f>
        <v/>
      </c>
      <c r="I3326" s="12" t="str">
        <f aca="true">IF($H3326="","",IF(ISNUMBER($H3326),$H3326-TODAY(),""))</f>
        <v/>
      </c>
      <c r="J3326" s="4" t="str">
        <f aca="true">IF($D3326="Manual Review","Manual Review",IF($G3326="","No Data",IF(NOT(ISNUMBER($H3326)),"N/A",IF($H3326&lt;TODAY(),"Overdue",IF($H3326&lt;=TODAY()+30,"Due within 1 Month",IF($H3326&lt;=TODAY()+60,"Due within 2 Months","OK"))))))</f>
        <v>No Data</v>
      </c>
      <c r="K3326" s="13"/>
    </row>
    <row r="3327" customFormat="false" ht="15" hidden="false" customHeight="false" outlineLevel="0" collapsed="false">
      <c r="A3327" s="9" t="str">
        <f aca="false">Vessels!B34</f>
        <v>Vessel 30</v>
      </c>
      <c r="B3327" s="9" t="s">
        <v>88</v>
      </c>
      <c r="C3327" s="7" t="s">
        <v>112</v>
      </c>
      <c r="D3327" s="9" t="s">
        <v>45</v>
      </c>
      <c r="E3327" s="9" t="s">
        <v>44</v>
      </c>
      <c r="F3327" s="5" t="n">
        <v>12</v>
      </c>
      <c r="G3327" s="10"/>
      <c r="H3327" s="11" t="str">
        <f aca="false">IFERROR(IF($D3327="Manual Review","",IF($G3327="","",IF($D3327="Direct Expiry",$G3327,EDATE($G3327,$F3327)))),"Check Date")</f>
        <v/>
      </c>
      <c r="I3327" s="12" t="str">
        <f aca="true">IF($H3327="","",IF(ISNUMBER($H3327),$H3327-TODAY(),""))</f>
        <v/>
      </c>
      <c r="J3327" s="4" t="str">
        <f aca="true">IF($D3327="Manual Review","Manual Review",IF($G3327="","No Data",IF(NOT(ISNUMBER($H3327)),"N/A",IF($H3327&lt;TODAY(),"Overdue",IF($H3327&lt;=TODAY()+30,"Due within 1 Month",IF($H3327&lt;=TODAY()+60,"Due within 2 Months","OK"))))))</f>
        <v>No Data</v>
      </c>
      <c r="K3327" s="13"/>
    </row>
    <row r="3328" customFormat="false" ht="15" hidden="false" customHeight="false" outlineLevel="0" collapsed="false">
      <c r="A3328" s="9" t="str">
        <f aca="false">Vessels!B34</f>
        <v>Vessel 30</v>
      </c>
      <c r="B3328" s="9" t="s">
        <v>88</v>
      </c>
      <c r="C3328" s="7" t="s">
        <v>113</v>
      </c>
      <c r="D3328" s="9" t="s">
        <v>115</v>
      </c>
      <c r="E3328" s="9" t="s">
        <v>114</v>
      </c>
      <c r="F3328" s="5"/>
      <c r="G3328" s="10"/>
      <c r="H3328" s="11" t="str">
        <f aca="false">IFERROR(IF($D3328="Manual Review","",IF($G3328="","",IF($D3328="Direct Expiry",$G3328,EDATE($G3328,$F3328)))),"Check Date")</f>
        <v/>
      </c>
      <c r="I3328" s="12" t="str">
        <f aca="true">IF($H3328="","",IF(ISNUMBER($H3328),$H3328-TODAY(),""))</f>
        <v/>
      </c>
      <c r="J3328" s="4" t="str">
        <f aca="true">IF($D3328="Manual Review","Manual Review",IF($G3328="","No Data",IF(NOT(ISNUMBER($H3328)),"N/A",IF($H3328&lt;TODAY(),"Overdue",IF($H3328&lt;=TODAY()+30,"Due within 1 Month",IF($H3328&lt;=TODAY()+60,"Due within 2 Months","OK"))))))</f>
        <v>Manual Review</v>
      </c>
      <c r="K3328" s="13"/>
    </row>
    <row r="3329" customFormat="false" ht="15" hidden="false" customHeight="false" outlineLevel="0" collapsed="false">
      <c r="A3329" s="9" t="str">
        <f aca="false">Vessels!B34</f>
        <v>Vessel 30</v>
      </c>
      <c r="B3329" s="9" t="s">
        <v>88</v>
      </c>
      <c r="C3329" s="7" t="s">
        <v>116</v>
      </c>
      <c r="D3329" s="9" t="s">
        <v>115</v>
      </c>
      <c r="E3329" s="9" t="s">
        <v>114</v>
      </c>
      <c r="F3329" s="5"/>
      <c r="G3329" s="10"/>
      <c r="H3329" s="11" t="str">
        <f aca="false">IFERROR(IF($D3329="Manual Review","",IF($G3329="","",IF($D3329="Direct Expiry",$G3329,EDATE($G3329,$F3329)))),"Check Date")</f>
        <v/>
      </c>
      <c r="I3329" s="12" t="str">
        <f aca="true">IF($H3329="","",IF(ISNUMBER($H3329),$H3329-TODAY(),""))</f>
        <v/>
      </c>
      <c r="J3329" s="4" t="str">
        <f aca="true">IF($D3329="Manual Review","Manual Review",IF($G3329="","No Data",IF(NOT(ISNUMBER($H3329)),"N/A",IF($H3329&lt;TODAY(),"Overdue",IF($H3329&lt;=TODAY()+30,"Due within 1 Month",IF($H3329&lt;=TODAY()+60,"Due within 2 Months","OK"))))))</f>
        <v>Manual Review</v>
      </c>
      <c r="K3329" s="13"/>
    </row>
    <row r="3330" customFormat="false" ht="15" hidden="false" customHeight="false" outlineLevel="0" collapsed="false">
      <c r="A3330" s="9" t="str">
        <f aca="false">Vessels!B34</f>
        <v>Vessel 30</v>
      </c>
      <c r="B3330" s="9" t="s">
        <v>117</v>
      </c>
      <c r="C3330" s="7" t="s">
        <v>118</v>
      </c>
      <c r="D3330" s="9" t="s">
        <v>59</v>
      </c>
      <c r="E3330" s="9" t="s">
        <v>119</v>
      </c>
      <c r="F3330" s="5"/>
      <c r="G3330" s="10"/>
      <c r="H3330" s="11" t="str">
        <f aca="false">IFERROR(IF($D3330="Manual Review","",IF($G3330="","",IF($D3330="Direct Expiry",$G3330,EDATE($G3330,$F3330)))),"Check Date")</f>
        <v/>
      </c>
      <c r="I3330" s="12" t="str">
        <f aca="true">IF($H3330="","",IF(ISNUMBER($H3330),$H3330-TODAY(),""))</f>
        <v/>
      </c>
      <c r="J3330" s="4" t="str">
        <f aca="true">IF($D3330="Manual Review","Manual Review",IF($G3330="","No Data",IF(NOT(ISNUMBER($H3330)),"N/A",IF($H3330&lt;TODAY(),"Overdue",IF($H3330&lt;=TODAY()+30,"Due within 1 Month",IF($H3330&lt;=TODAY()+60,"Due within 2 Months","OK"))))))</f>
        <v>No Data</v>
      </c>
      <c r="K3330" s="13"/>
    </row>
    <row r="3331" customFormat="false" ht="15" hidden="false" customHeight="false" outlineLevel="0" collapsed="false">
      <c r="A3331" s="9" t="str">
        <f aca="false">Vessels!B34</f>
        <v>Vessel 30</v>
      </c>
      <c r="B3331" s="9" t="s">
        <v>117</v>
      </c>
      <c r="C3331" s="7" t="s">
        <v>120</v>
      </c>
      <c r="D3331" s="9" t="s">
        <v>45</v>
      </c>
      <c r="E3331" s="9" t="s">
        <v>44</v>
      </c>
      <c r="F3331" s="5" t="n">
        <v>12</v>
      </c>
      <c r="G3331" s="10"/>
      <c r="H3331" s="11" t="str">
        <f aca="false">IFERROR(IF($D3331="Manual Review","",IF($G3331="","",IF($D3331="Direct Expiry",$G3331,EDATE($G3331,$F3331)))),"Check Date")</f>
        <v/>
      </c>
      <c r="I3331" s="12" t="str">
        <f aca="true">IF($H3331="","",IF(ISNUMBER($H3331),$H3331-TODAY(),""))</f>
        <v/>
      </c>
      <c r="J3331" s="4" t="str">
        <f aca="true">IF($D3331="Manual Review","Manual Review",IF($G3331="","No Data",IF(NOT(ISNUMBER($H3331)),"N/A",IF($H3331&lt;TODAY(),"Overdue",IF($H3331&lt;=TODAY()+30,"Due within 1 Month",IF($H3331&lt;=TODAY()+60,"Due within 2 Months","OK"))))))</f>
        <v>No Data</v>
      </c>
      <c r="K3331" s="13"/>
    </row>
    <row r="3332" customFormat="false" ht="15" hidden="false" customHeight="false" outlineLevel="0" collapsed="false">
      <c r="A3332" s="9" t="str">
        <f aca="false">Vessels!B34</f>
        <v>Vessel 30</v>
      </c>
      <c r="B3332" s="9" t="s">
        <v>117</v>
      </c>
      <c r="C3332" s="7" t="s">
        <v>121</v>
      </c>
      <c r="D3332" s="9" t="s">
        <v>45</v>
      </c>
      <c r="E3332" s="9" t="s">
        <v>44</v>
      </c>
      <c r="F3332" s="5" t="n">
        <v>12</v>
      </c>
      <c r="G3332" s="10"/>
      <c r="H3332" s="11" t="str">
        <f aca="false">IFERROR(IF($D3332="Manual Review","",IF($G3332="","",IF($D3332="Direct Expiry",$G3332,EDATE($G3332,$F3332)))),"Check Date")</f>
        <v/>
      </c>
      <c r="I3332" s="12" t="str">
        <f aca="true">IF($H3332="","",IF(ISNUMBER($H3332),$H3332-TODAY(),""))</f>
        <v/>
      </c>
      <c r="J3332" s="4" t="str">
        <f aca="true">IF($D3332="Manual Review","Manual Review",IF($G3332="","No Data",IF(NOT(ISNUMBER($H3332)),"N/A",IF($H3332&lt;TODAY(),"Overdue",IF($H3332&lt;=TODAY()+30,"Due within 1 Month",IF($H3332&lt;=TODAY()+60,"Due within 2 Months","OK"))))))</f>
        <v>No Data</v>
      </c>
      <c r="K3332" s="13"/>
    </row>
    <row r="3333" customFormat="false" ht="15" hidden="false" customHeight="false" outlineLevel="0" collapsed="false">
      <c r="A3333" s="9" t="str">
        <f aca="false">Vessels!B34</f>
        <v>Vessel 30</v>
      </c>
      <c r="B3333" s="9" t="s">
        <v>117</v>
      </c>
      <c r="C3333" s="7" t="s">
        <v>122</v>
      </c>
      <c r="D3333" s="9" t="s">
        <v>45</v>
      </c>
      <c r="E3333" s="9" t="s">
        <v>123</v>
      </c>
      <c r="F3333" s="5" t="n">
        <v>24</v>
      </c>
      <c r="G3333" s="10"/>
      <c r="H3333" s="11" t="str">
        <f aca="false">IFERROR(IF($D3333="Manual Review","",IF($G3333="","",IF($D3333="Direct Expiry",$G3333,EDATE($G3333,$F3333)))),"Check Date")</f>
        <v/>
      </c>
      <c r="I3333" s="12" t="str">
        <f aca="true">IF($H3333="","",IF(ISNUMBER($H3333),$H3333-TODAY(),""))</f>
        <v/>
      </c>
      <c r="J3333" s="4" t="str">
        <f aca="true">IF($D3333="Manual Review","Manual Review",IF($G3333="","No Data",IF(NOT(ISNUMBER($H3333)),"N/A",IF($H3333&lt;TODAY(),"Overdue",IF($H3333&lt;=TODAY()+30,"Due within 1 Month",IF($H3333&lt;=TODAY()+60,"Due within 2 Months","OK"))))))</f>
        <v>No Data</v>
      </c>
      <c r="K3333" s="13"/>
    </row>
    <row r="3334" customFormat="false" ht="15" hidden="false" customHeight="false" outlineLevel="0" collapsed="false">
      <c r="A3334" s="9" t="str">
        <f aca="false">Vessels!B34</f>
        <v>Vessel 30</v>
      </c>
      <c r="B3334" s="9" t="s">
        <v>117</v>
      </c>
      <c r="C3334" s="7" t="s">
        <v>124</v>
      </c>
      <c r="D3334" s="9" t="s">
        <v>59</v>
      </c>
      <c r="E3334" s="9" t="s">
        <v>58</v>
      </c>
      <c r="F3334" s="5"/>
      <c r="G3334" s="10"/>
      <c r="H3334" s="11" t="str">
        <f aca="false">IFERROR(IF($D3334="Manual Review","",IF($G3334="","",IF($D3334="Direct Expiry",$G3334,EDATE($G3334,$F3334)))),"Check Date")</f>
        <v/>
      </c>
      <c r="I3334" s="12" t="str">
        <f aca="true">IF($H3334="","",IF(ISNUMBER($H3334),$H3334-TODAY(),""))</f>
        <v/>
      </c>
      <c r="J3334" s="4" t="str">
        <f aca="true">IF($D3334="Manual Review","Manual Review",IF($G3334="","No Data",IF(NOT(ISNUMBER($H3334)),"N/A",IF($H3334&lt;TODAY(),"Overdue",IF($H3334&lt;=TODAY()+30,"Due within 1 Month",IF($H3334&lt;=TODAY()+60,"Due within 2 Months","OK"))))))</f>
        <v>No Data</v>
      </c>
      <c r="K3334" s="13"/>
    </row>
    <row r="3335" customFormat="false" ht="15" hidden="false" customHeight="false" outlineLevel="0" collapsed="false">
      <c r="A3335" s="9" t="str">
        <f aca="false">Vessels!B34</f>
        <v>Vessel 30</v>
      </c>
      <c r="B3335" s="9" t="s">
        <v>117</v>
      </c>
      <c r="C3335" s="7" t="s">
        <v>125</v>
      </c>
      <c r="D3335" s="9" t="s">
        <v>59</v>
      </c>
      <c r="E3335" s="9" t="s">
        <v>58</v>
      </c>
      <c r="F3335" s="5"/>
      <c r="G3335" s="10"/>
      <c r="H3335" s="11" t="str">
        <f aca="false">IFERROR(IF($D3335="Manual Review","",IF($G3335="","",IF($D3335="Direct Expiry",$G3335,EDATE($G3335,$F3335)))),"Check Date")</f>
        <v/>
      </c>
      <c r="I3335" s="12" t="str">
        <f aca="true">IF($H3335="","",IF(ISNUMBER($H3335),$H3335-TODAY(),""))</f>
        <v/>
      </c>
      <c r="J3335" s="4" t="str">
        <f aca="true">IF($D3335="Manual Review","Manual Review",IF($G3335="","No Data",IF(NOT(ISNUMBER($H3335)),"N/A",IF($H3335&lt;TODAY(),"Overdue",IF($H3335&lt;=TODAY()+30,"Due within 1 Month",IF($H3335&lt;=TODAY()+60,"Due within 2 Months","OK"))))))</f>
        <v>No Data</v>
      </c>
      <c r="K3335" s="13"/>
    </row>
    <row r="3336" customFormat="false" ht="15" hidden="false" customHeight="false" outlineLevel="0" collapsed="false">
      <c r="A3336" s="9" t="str">
        <f aca="false">Vessels!B34</f>
        <v>Vessel 30</v>
      </c>
      <c r="B3336" s="9" t="s">
        <v>117</v>
      </c>
      <c r="C3336" s="7" t="s">
        <v>126</v>
      </c>
      <c r="D3336" s="9" t="s">
        <v>45</v>
      </c>
      <c r="E3336" s="9" t="s">
        <v>44</v>
      </c>
      <c r="F3336" s="5" t="n">
        <v>12</v>
      </c>
      <c r="G3336" s="10"/>
      <c r="H3336" s="11" t="str">
        <f aca="false">IFERROR(IF($D3336="Manual Review","",IF($G3336="","",IF($D3336="Direct Expiry",$G3336,EDATE($G3336,$F3336)))),"Check Date")</f>
        <v/>
      </c>
      <c r="I3336" s="12" t="str">
        <f aca="true">IF($H3336="","",IF(ISNUMBER($H3336),$H3336-TODAY(),""))</f>
        <v/>
      </c>
      <c r="J3336" s="4" t="str">
        <f aca="true">IF($D3336="Manual Review","Manual Review",IF($G3336="","No Data",IF(NOT(ISNUMBER($H3336)),"N/A",IF($H3336&lt;TODAY(),"Overdue",IF($H3336&lt;=TODAY()+30,"Due within 1 Month",IF($H3336&lt;=TODAY()+60,"Due within 2 Months","OK"))))))</f>
        <v>No Data</v>
      </c>
      <c r="K3336" s="13"/>
    </row>
    <row r="3337" customFormat="false" ht="15" hidden="false" customHeight="false" outlineLevel="0" collapsed="false">
      <c r="A3337" s="9" t="str">
        <f aca="false">Vessels!B34</f>
        <v>Vessel 30</v>
      </c>
      <c r="B3337" s="9" t="s">
        <v>117</v>
      </c>
      <c r="C3337" s="7" t="s">
        <v>127</v>
      </c>
      <c r="D3337" s="9" t="s">
        <v>59</v>
      </c>
      <c r="E3337" s="9" t="s">
        <v>58</v>
      </c>
      <c r="F3337" s="5"/>
      <c r="G3337" s="10"/>
      <c r="H3337" s="11" t="str">
        <f aca="false">IFERROR(IF($D3337="Manual Review","",IF($G3337="","",IF($D3337="Direct Expiry",$G3337,EDATE($G3337,$F3337)))),"Check Date")</f>
        <v/>
      </c>
      <c r="I3337" s="12" t="str">
        <f aca="true">IF($H3337="","",IF(ISNUMBER($H3337),$H3337-TODAY(),""))</f>
        <v/>
      </c>
      <c r="J3337" s="4" t="str">
        <f aca="true">IF($D3337="Manual Review","Manual Review",IF($G3337="","No Data",IF(NOT(ISNUMBER($H3337)),"N/A",IF($H3337&lt;TODAY(),"Overdue",IF($H3337&lt;=TODAY()+30,"Due within 1 Month",IF($H3337&lt;=TODAY()+60,"Due within 2 Months","OK"))))))</f>
        <v>No Data</v>
      </c>
      <c r="K3337" s="13"/>
    </row>
    <row r="3338" customFormat="false" ht="15" hidden="false" customHeight="false" outlineLevel="0" collapsed="false">
      <c r="A3338" s="9" t="str">
        <f aca="false">Vessels!B34</f>
        <v>Vessel 30</v>
      </c>
      <c r="B3338" s="9" t="s">
        <v>117</v>
      </c>
      <c r="C3338" s="7" t="s">
        <v>128</v>
      </c>
      <c r="D3338" s="9" t="s">
        <v>59</v>
      </c>
      <c r="E3338" s="9" t="s">
        <v>58</v>
      </c>
      <c r="F3338" s="5"/>
      <c r="G3338" s="10"/>
      <c r="H3338" s="11" t="str">
        <f aca="false">IFERROR(IF($D3338="Manual Review","",IF($G3338="","",IF($D3338="Direct Expiry",$G3338,EDATE($G3338,$F3338)))),"Check Date")</f>
        <v/>
      </c>
      <c r="I3338" s="12" t="str">
        <f aca="true">IF($H3338="","",IF(ISNUMBER($H3338),$H3338-TODAY(),""))</f>
        <v/>
      </c>
      <c r="J3338" s="4" t="str">
        <f aca="true">IF($D3338="Manual Review","Manual Review",IF($G3338="","No Data",IF(NOT(ISNUMBER($H3338)),"N/A",IF($H3338&lt;TODAY(),"Overdue",IF($H3338&lt;=TODAY()+30,"Due within 1 Month",IF($H3338&lt;=TODAY()+60,"Due within 2 Months","OK"))))))</f>
        <v>No Data</v>
      </c>
      <c r="K3338" s="13"/>
    </row>
    <row r="3339" customFormat="false" ht="15" hidden="false" customHeight="false" outlineLevel="0" collapsed="false">
      <c r="A3339" s="9" t="str">
        <f aca="false">Vessels!B34</f>
        <v>Vessel 30</v>
      </c>
      <c r="B3339" s="9" t="s">
        <v>117</v>
      </c>
      <c r="C3339" s="7" t="s">
        <v>129</v>
      </c>
      <c r="D3339" s="9" t="s">
        <v>59</v>
      </c>
      <c r="E3339" s="9" t="s">
        <v>58</v>
      </c>
      <c r="F3339" s="5"/>
      <c r="G3339" s="10"/>
      <c r="H3339" s="11" t="str">
        <f aca="false">IFERROR(IF($D3339="Manual Review","",IF($G3339="","",IF($D3339="Direct Expiry",$G3339,EDATE($G3339,$F3339)))),"Check Date")</f>
        <v/>
      </c>
      <c r="I3339" s="12" t="str">
        <f aca="true">IF($H3339="","",IF(ISNUMBER($H3339),$H3339-TODAY(),""))</f>
        <v/>
      </c>
      <c r="J3339" s="4" t="str">
        <f aca="true">IF($D3339="Manual Review","Manual Review",IF($G3339="","No Data",IF(NOT(ISNUMBER($H3339)),"N/A",IF($H3339&lt;TODAY(),"Overdue",IF($H3339&lt;=TODAY()+30,"Due within 1 Month",IF($H3339&lt;=TODAY()+60,"Due within 2 Months","OK"))))))</f>
        <v>No Data</v>
      </c>
      <c r="K3339" s="13"/>
    </row>
    <row r="3340" customFormat="false" ht="15" hidden="false" customHeight="false" outlineLevel="0" collapsed="false">
      <c r="A3340" s="9" t="str">
        <f aca="false">Vessels!B34</f>
        <v>Vessel 30</v>
      </c>
      <c r="B3340" s="9" t="s">
        <v>117</v>
      </c>
      <c r="C3340" s="7" t="s">
        <v>130</v>
      </c>
      <c r="D3340" s="9" t="s">
        <v>45</v>
      </c>
      <c r="E3340" s="9" t="s">
        <v>44</v>
      </c>
      <c r="F3340" s="5" t="n">
        <v>12</v>
      </c>
      <c r="G3340" s="10"/>
      <c r="H3340" s="11" t="str">
        <f aca="false">IFERROR(IF($D3340="Manual Review","",IF($G3340="","",IF($D3340="Direct Expiry",$G3340,EDATE($G3340,$F3340)))),"Check Date")</f>
        <v/>
      </c>
      <c r="I3340" s="12" t="str">
        <f aca="true">IF($H3340="","",IF(ISNUMBER($H3340),$H3340-TODAY(),""))</f>
        <v/>
      </c>
      <c r="J3340" s="4" t="str">
        <f aca="true">IF($D3340="Manual Review","Manual Review",IF($G3340="","No Data",IF(NOT(ISNUMBER($H3340)),"N/A",IF($H3340&lt;TODAY(),"Overdue",IF($H3340&lt;=TODAY()+30,"Due within 1 Month",IF($H3340&lt;=TODAY()+60,"Due within 2 Months","OK"))))))</f>
        <v>No Data</v>
      </c>
      <c r="K3340" s="13"/>
    </row>
    <row r="3341" customFormat="false" ht="15" hidden="false" customHeight="false" outlineLevel="0" collapsed="false">
      <c r="A3341" s="9" t="str">
        <f aca="false">Vessels!B34</f>
        <v>Vessel 30</v>
      </c>
      <c r="B3341" s="9" t="s">
        <v>117</v>
      </c>
      <c r="C3341" s="7" t="s">
        <v>131</v>
      </c>
      <c r="D3341" s="9" t="s">
        <v>45</v>
      </c>
      <c r="E3341" s="9" t="s">
        <v>44</v>
      </c>
      <c r="F3341" s="5" t="n">
        <v>12</v>
      </c>
      <c r="G3341" s="10"/>
      <c r="H3341" s="11" t="str">
        <f aca="false">IFERROR(IF($D3341="Manual Review","",IF($G3341="","",IF($D3341="Direct Expiry",$G3341,EDATE($G3341,$F3341)))),"Check Date")</f>
        <v/>
      </c>
      <c r="I3341" s="12" t="str">
        <f aca="true">IF($H3341="","",IF(ISNUMBER($H3341),$H3341-TODAY(),""))</f>
        <v/>
      </c>
      <c r="J3341" s="4" t="str">
        <f aca="true">IF($D3341="Manual Review","Manual Review",IF($G3341="","No Data",IF(NOT(ISNUMBER($H3341)),"N/A",IF($H3341&lt;TODAY(),"Overdue",IF($H3341&lt;=TODAY()+30,"Due within 1 Month",IF($H3341&lt;=TODAY()+60,"Due within 2 Months","OK"))))))</f>
        <v>No Data</v>
      </c>
      <c r="K3341" s="13"/>
    </row>
    <row r="3342" customFormat="false" ht="15" hidden="false" customHeight="false" outlineLevel="0" collapsed="false">
      <c r="A3342" s="9" t="str">
        <f aca="false">Vessels!B34</f>
        <v>Vessel 30</v>
      </c>
      <c r="B3342" s="9" t="s">
        <v>117</v>
      </c>
      <c r="C3342" s="7" t="s">
        <v>132</v>
      </c>
      <c r="D3342" s="9" t="s">
        <v>45</v>
      </c>
      <c r="E3342" s="9" t="s">
        <v>44</v>
      </c>
      <c r="F3342" s="5" t="n">
        <v>12</v>
      </c>
      <c r="G3342" s="10"/>
      <c r="H3342" s="11" t="str">
        <f aca="false">IFERROR(IF($D3342="Manual Review","",IF($G3342="","",IF($D3342="Direct Expiry",$G3342,EDATE($G3342,$F3342)))),"Check Date")</f>
        <v/>
      </c>
      <c r="I3342" s="12" t="str">
        <f aca="true">IF($H3342="","",IF(ISNUMBER($H3342),$H3342-TODAY(),""))</f>
        <v/>
      </c>
      <c r="J3342" s="4" t="str">
        <f aca="true">IF($D3342="Manual Review","Manual Review",IF($G3342="","No Data",IF(NOT(ISNUMBER($H3342)),"N/A",IF($H3342&lt;TODAY(),"Overdue",IF($H3342&lt;=TODAY()+30,"Due within 1 Month",IF($H3342&lt;=TODAY()+60,"Due within 2 Months","OK"))))))</f>
        <v>No Data</v>
      </c>
      <c r="K3342" s="13"/>
    </row>
    <row r="3343" customFormat="false" ht="15" hidden="false" customHeight="false" outlineLevel="0" collapsed="false">
      <c r="A3343" s="9" t="str">
        <f aca="false">Vessels!B34</f>
        <v>Vessel 30</v>
      </c>
      <c r="B3343" s="9" t="s">
        <v>117</v>
      </c>
      <c r="C3343" s="7" t="s">
        <v>133</v>
      </c>
      <c r="D3343" s="9" t="s">
        <v>45</v>
      </c>
      <c r="E3343" s="9" t="s">
        <v>44</v>
      </c>
      <c r="F3343" s="5" t="n">
        <v>12</v>
      </c>
      <c r="G3343" s="10"/>
      <c r="H3343" s="11" t="str">
        <f aca="false">IFERROR(IF($D3343="Manual Review","",IF($G3343="","",IF($D3343="Direct Expiry",$G3343,EDATE($G3343,$F3343)))),"Check Date")</f>
        <v/>
      </c>
      <c r="I3343" s="12" t="str">
        <f aca="true">IF($H3343="","",IF(ISNUMBER($H3343),$H3343-TODAY(),""))</f>
        <v/>
      </c>
      <c r="J3343" s="4" t="str">
        <f aca="true">IF($D3343="Manual Review","Manual Review",IF($G3343="","No Data",IF(NOT(ISNUMBER($H3343)),"N/A",IF($H3343&lt;TODAY(),"Overdue",IF($H3343&lt;=TODAY()+30,"Due within 1 Month",IF($H3343&lt;=TODAY()+60,"Due within 2 Months","OK"))))))</f>
        <v>No Data</v>
      </c>
      <c r="K3343" s="13"/>
    </row>
    <row r="3344" customFormat="false" ht="15" hidden="false" customHeight="false" outlineLevel="0" collapsed="false">
      <c r="A3344" s="9" t="str">
        <f aca="false">Vessels!B34</f>
        <v>Vessel 30</v>
      </c>
      <c r="B3344" s="9" t="s">
        <v>117</v>
      </c>
      <c r="C3344" s="7" t="s">
        <v>134</v>
      </c>
      <c r="D3344" s="9" t="s">
        <v>45</v>
      </c>
      <c r="E3344" s="9" t="s">
        <v>44</v>
      </c>
      <c r="F3344" s="5" t="n">
        <v>12</v>
      </c>
      <c r="G3344" s="10"/>
      <c r="H3344" s="11" t="str">
        <f aca="false">IFERROR(IF($D3344="Manual Review","",IF($G3344="","",IF($D3344="Direct Expiry",$G3344,EDATE($G3344,$F3344)))),"Check Date")</f>
        <v/>
      </c>
      <c r="I3344" s="12" t="str">
        <f aca="true">IF($H3344="","",IF(ISNUMBER($H3344),$H3344-TODAY(),""))</f>
        <v/>
      </c>
      <c r="J3344" s="4" t="str">
        <f aca="true">IF($D3344="Manual Review","Manual Review",IF($G3344="","No Data",IF(NOT(ISNUMBER($H3344)),"N/A",IF($H3344&lt;TODAY(),"Overdue",IF($H3344&lt;=TODAY()+30,"Due within 1 Month",IF($H3344&lt;=TODAY()+60,"Due within 2 Months","OK"))))))</f>
        <v>No Data</v>
      </c>
      <c r="K3344" s="13"/>
    </row>
    <row r="3345" customFormat="false" ht="15" hidden="false" customHeight="false" outlineLevel="0" collapsed="false">
      <c r="A3345" s="9" t="str">
        <f aca="false">Vessels!B34</f>
        <v>Vessel 30</v>
      </c>
      <c r="B3345" s="9" t="s">
        <v>117</v>
      </c>
      <c r="C3345" s="7" t="s">
        <v>135</v>
      </c>
      <c r="D3345" s="9" t="s">
        <v>45</v>
      </c>
      <c r="E3345" s="9" t="s">
        <v>44</v>
      </c>
      <c r="F3345" s="5" t="n">
        <v>12</v>
      </c>
      <c r="G3345" s="10"/>
      <c r="H3345" s="11" t="str">
        <f aca="false">IFERROR(IF($D3345="Manual Review","",IF($G3345="","",IF($D3345="Direct Expiry",$G3345,EDATE($G3345,$F3345)))),"Check Date")</f>
        <v/>
      </c>
      <c r="I3345" s="12" t="str">
        <f aca="true">IF($H3345="","",IF(ISNUMBER($H3345),$H3345-TODAY(),""))</f>
        <v/>
      </c>
      <c r="J3345" s="4" t="str">
        <f aca="true">IF($D3345="Manual Review","Manual Review",IF($G3345="","No Data",IF(NOT(ISNUMBER($H3345)),"N/A",IF($H3345&lt;TODAY(),"Overdue",IF($H3345&lt;=TODAY()+30,"Due within 1 Month",IF($H3345&lt;=TODAY()+60,"Due within 2 Months","OK"))))))</f>
        <v>No Data</v>
      </c>
      <c r="K3345" s="13"/>
    </row>
    <row r="3346" customFormat="false" ht="15" hidden="false" customHeight="false" outlineLevel="0" collapsed="false">
      <c r="A3346" s="9" t="str">
        <f aca="false">Vessels!B34</f>
        <v>Vessel 30</v>
      </c>
      <c r="B3346" s="9" t="s">
        <v>136</v>
      </c>
      <c r="C3346" s="7" t="s">
        <v>137</v>
      </c>
      <c r="D3346" s="9" t="s">
        <v>45</v>
      </c>
      <c r="E3346" s="9" t="s">
        <v>44</v>
      </c>
      <c r="F3346" s="5" t="n">
        <v>12</v>
      </c>
      <c r="G3346" s="10"/>
      <c r="H3346" s="11" t="str">
        <f aca="false">IFERROR(IF($D3346="Manual Review","",IF($G3346="","",IF($D3346="Direct Expiry",$G3346,EDATE($G3346,$F3346)))),"Check Date")</f>
        <v/>
      </c>
      <c r="I3346" s="12" t="str">
        <f aca="true">IF($H3346="","",IF(ISNUMBER($H3346),$H3346-TODAY(),""))</f>
        <v/>
      </c>
      <c r="J3346" s="4" t="str">
        <f aca="true">IF($D3346="Manual Review","Manual Review",IF($G3346="","No Data",IF(NOT(ISNUMBER($H3346)),"N/A",IF($H3346&lt;TODAY(),"Overdue",IF($H3346&lt;=TODAY()+30,"Due within 1 Month",IF($H3346&lt;=TODAY()+60,"Due within 2 Months","OK"))))))</f>
        <v>No Data</v>
      </c>
      <c r="K3346" s="13"/>
    </row>
    <row r="3347" customFormat="false" ht="15" hidden="false" customHeight="false" outlineLevel="0" collapsed="false">
      <c r="A3347" s="9" t="str">
        <f aca="false">Vessels!B34</f>
        <v>Vessel 30</v>
      </c>
      <c r="B3347" s="9" t="s">
        <v>136</v>
      </c>
      <c r="C3347" s="7" t="s">
        <v>138</v>
      </c>
      <c r="D3347" s="9" t="s">
        <v>45</v>
      </c>
      <c r="E3347" s="9" t="s">
        <v>44</v>
      </c>
      <c r="F3347" s="5" t="n">
        <v>12</v>
      </c>
      <c r="G3347" s="10"/>
      <c r="H3347" s="11" t="str">
        <f aca="false">IFERROR(IF($D3347="Manual Review","",IF($G3347="","",IF($D3347="Direct Expiry",$G3347,EDATE($G3347,$F3347)))),"Check Date")</f>
        <v/>
      </c>
      <c r="I3347" s="12" t="str">
        <f aca="true">IF($H3347="","",IF(ISNUMBER($H3347),$H3347-TODAY(),""))</f>
        <v/>
      </c>
      <c r="J3347" s="4" t="str">
        <f aca="true">IF($D3347="Manual Review","Manual Review",IF($G3347="","No Data",IF(NOT(ISNUMBER($H3347)),"N/A",IF($H3347&lt;TODAY(),"Overdue",IF($H3347&lt;=TODAY()+30,"Due within 1 Month",IF($H3347&lt;=TODAY()+60,"Due within 2 Months","OK"))))))</f>
        <v>No Data</v>
      </c>
      <c r="K3347" s="13"/>
    </row>
    <row r="3348" customFormat="false" ht="15" hidden="false" customHeight="false" outlineLevel="0" collapsed="false">
      <c r="A3348" s="9" t="str">
        <f aca="false">Vessels!B34</f>
        <v>Vessel 30</v>
      </c>
      <c r="B3348" s="9" t="s">
        <v>136</v>
      </c>
      <c r="C3348" s="7" t="s">
        <v>139</v>
      </c>
      <c r="D3348" s="9" t="s">
        <v>45</v>
      </c>
      <c r="E3348" s="9" t="s">
        <v>140</v>
      </c>
      <c r="F3348" s="5" t="n">
        <v>12</v>
      </c>
      <c r="G3348" s="10"/>
      <c r="H3348" s="11" t="str">
        <f aca="false">IFERROR(IF($D3348="Manual Review","",IF($G3348="","",IF($D3348="Direct Expiry",$G3348,EDATE($G3348,$F3348)))),"Check Date")</f>
        <v/>
      </c>
      <c r="I3348" s="12" t="str">
        <f aca="true">IF($H3348="","",IF(ISNUMBER($H3348),$H3348-TODAY(),""))</f>
        <v/>
      </c>
      <c r="J3348" s="4" t="str">
        <f aca="true">IF($D3348="Manual Review","Manual Review",IF($G3348="","No Data",IF(NOT(ISNUMBER($H3348)),"N/A",IF($H3348&lt;TODAY(),"Overdue",IF($H3348&lt;=TODAY()+30,"Due within 1 Month",IF($H3348&lt;=TODAY()+60,"Due within 2 Months","OK"))))))</f>
        <v>No Data</v>
      </c>
      <c r="K3348" s="13"/>
    </row>
    <row r="3349" customFormat="false" ht="15" hidden="false" customHeight="false" outlineLevel="0" collapsed="false">
      <c r="A3349" s="9" t="str">
        <f aca="false">Vessels!B34</f>
        <v>Vessel 30</v>
      </c>
      <c r="B3349" s="9" t="s">
        <v>136</v>
      </c>
      <c r="C3349" s="7" t="s">
        <v>141</v>
      </c>
      <c r="D3349" s="9" t="s">
        <v>45</v>
      </c>
      <c r="E3349" s="9" t="s">
        <v>44</v>
      </c>
      <c r="F3349" s="5" t="n">
        <v>12</v>
      </c>
      <c r="G3349" s="10"/>
      <c r="H3349" s="11" t="str">
        <f aca="false">IFERROR(IF($D3349="Manual Review","",IF($G3349="","",IF($D3349="Direct Expiry",$G3349,EDATE($G3349,$F3349)))),"Check Date")</f>
        <v/>
      </c>
      <c r="I3349" s="12" t="str">
        <f aca="true">IF($H3349="","",IF(ISNUMBER($H3349),$H3349-TODAY(),""))</f>
        <v/>
      </c>
      <c r="J3349" s="4" t="str">
        <f aca="true">IF($D3349="Manual Review","Manual Review",IF($G3349="","No Data",IF(NOT(ISNUMBER($H3349)),"N/A",IF($H3349&lt;TODAY(),"Overdue",IF($H3349&lt;=TODAY()+30,"Due within 1 Month",IF($H3349&lt;=TODAY()+60,"Due within 2 Months","OK"))))))</f>
        <v>No Data</v>
      </c>
      <c r="K3349" s="13"/>
    </row>
    <row r="3350" customFormat="false" ht="15" hidden="false" customHeight="false" outlineLevel="0" collapsed="false">
      <c r="A3350" s="9" t="str">
        <f aca="false">Vessels!B34</f>
        <v>Vessel 30</v>
      </c>
      <c r="B3350" s="9" t="s">
        <v>136</v>
      </c>
      <c r="C3350" s="7" t="s">
        <v>142</v>
      </c>
      <c r="D3350" s="9" t="s">
        <v>115</v>
      </c>
      <c r="E3350" s="9" t="s">
        <v>143</v>
      </c>
      <c r="F3350" s="5"/>
      <c r="G3350" s="10"/>
      <c r="H3350" s="11" t="str">
        <f aca="false">IFERROR(IF($D3350="Manual Review","",IF($G3350="","",IF($D3350="Direct Expiry",$G3350,EDATE($G3350,$F3350)))),"Check Date")</f>
        <v/>
      </c>
      <c r="I3350" s="12" t="str">
        <f aca="true">IF($H3350="","",IF(ISNUMBER($H3350),$H3350-TODAY(),""))</f>
        <v/>
      </c>
      <c r="J3350" s="4" t="str">
        <f aca="true">IF($D3350="Manual Review","Manual Review",IF($G3350="","No Data",IF(NOT(ISNUMBER($H3350)),"N/A",IF($H3350&lt;TODAY(),"Overdue",IF($H3350&lt;=TODAY()+30,"Due within 1 Month",IF($H3350&lt;=TODAY()+60,"Due within 2 Months","OK"))))))</f>
        <v>Manual Review</v>
      </c>
      <c r="K3350" s="13"/>
    </row>
    <row r="3351" customFormat="false" ht="15" hidden="false" customHeight="false" outlineLevel="0" collapsed="false">
      <c r="A3351" s="9" t="str">
        <f aca="false">Vessels!B34</f>
        <v>Vessel 30</v>
      </c>
      <c r="B3351" s="9" t="s">
        <v>136</v>
      </c>
      <c r="C3351" s="7" t="s">
        <v>144</v>
      </c>
      <c r="D3351" s="9" t="s">
        <v>45</v>
      </c>
      <c r="E3351" s="9" t="s">
        <v>44</v>
      </c>
      <c r="F3351" s="5" t="n">
        <v>12</v>
      </c>
      <c r="G3351" s="10"/>
      <c r="H3351" s="11" t="str">
        <f aca="false">IFERROR(IF($D3351="Manual Review","",IF($G3351="","",IF($D3351="Direct Expiry",$G3351,EDATE($G3351,$F3351)))),"Check Date")</f>
        <v/>
      </c>
      <c r="I3351" s="12" t="str">
        <f aca="true">IF($H3351="","",IF(ISNUMBER($H3351),$H3351-TODAY(),""))</f>
        <v/>
      </c>
      <c r="J3351" s="4" t="str">
        <f aca="true">IF($D3351="Manual Review","Manual Review",IF($G3351="","No Data",IF(NOT(ISNUMBER($H3351)),"N/A",IF($H3351&lt;TODAY(),"Overdue",IF($H3351&lt;=TODAY()+30,"Due within 1 Month",IF($H3351&lt;=TODAY()+60,"Due within 2 Months","OK"))))))</f>
        <v>No Data</v>
      </c>
      <c r="K3351" s="13"/>
    </row>
    <row r="3352" customFormat="false" ht="15" hidden="false" customHeight="false" outlineLevel="0" collapsed="false">
      <c r="A3352" s="9" t="str">
        <f aca="false">Vessels!B34</f>
        <v>Vessel 30</v>
      </c>
      <c r="B3352" s="9" t="s">
        <v>136</v>
      </c>
      <c r="C3352" s="7" t="s">
        <v>145</v>
      </c>
      <c r="D3352" s="9" t="s">
        <v>45</v>
      </c>
      <c r="E3352" s="9" t="s">
        <v>44</v>
      </c>
      <c r="F3352" s="5" t="n">
        <v>12</v>
      </c>
      <c r="G3352" s="10"/>
      <c r="H3352" s="11" t="str">
        <f aca="false">IFERROR(IF($D3352="Manual Review","",IF($G3352="","",IF($D3352="Direct Expiry",$G3352,EDATE($G3352,$F3352)))),"Check Date")</f>
        <v/>
      </c>
      <c r="I3352" s="12" t="str">
        <f aca="true">IF($H3352="","",IF(ISNUMBER($H3352),$H3352-TODAY(),""))</f>
        <v/>
      </c>
      <c r="J3352" s="4" t="str">
        <f aca="true">IF($D3352="Manual Review","Manual Review",IF($G3352="","No Data",IF(NOT(ISNUMBER($H3352)),"N/A",IF($H3352&lt;TODAY(),"Overdue",IF($H3352&lt;=TODAY()+30,"Due within 1 Month",IF($H3352&lt;=TODAY()+60,"Due within 2 Months","OK"))))))</f>
        <v>No Data</v>
      </c>
      <c r="K3352" s="13"/>
    </row>
    <row r="3353" customFormat="false" ht="15" hidden="false" customHeight="false" outlineLevel="0" collapsed="false">
      <c r="A3353" s="9" t="str">
        <f aca="false">Vessels!B34</f>
        <v>Vessel 30</v>
      </c>
      <c r="B3353" s="9" t="s">
        <v>136</v>
      </c>
      <c r="C3353" s="7" t="s">
        <v>146</v>
      </c>
      <c r="D3353" s="9" t="s">
        <v>45</v>
      </c>
      <c r="E3353" s="9" t="s">
        <v>44</v>
      </c>
      <c r="F3353" s="5" t="n">
        <v>12</v>
      </c>
      <c r="G3353" s="10"/>
      <c r="H3353" s="11" t="str">
        <f aca="false">IFERROR(IF($D3353="Manual Review","",IF($G3353="","",IF($D3353="Direct Expiry",$G3353,EDATE($G3353,$F3353)))),"Check Date")</f>
        <v/>
      </c>
      <c r="I3353" s="12" t="str">
        <f aca="true">IF($H3353="","",IF(ISNUMBER($H3353),$H3353-TODAY(),""))</f>
        <v/>
      </c>
      <c r="J3353" s="4" t="str">
        <f aca="true">IF($D3353="Manual Review","Manual Review",IF($G3353="","No Data",IF(NOT(ISNUMBER($H3353)),"N/A",IF($H3353&lt;TODAY(),"Overdue",IF($H3353&lt;=TODAY()+30,"Due within 1 Month",IF($H3353&lt;=TODAY()+60,"Due within 2 Months","OK"))))))</f>
        <v>No Data</v>
      </c>
      <c r="K3353" s="13"/>
    </row>
    <row r="3354" customFormat="false" ht="15" hidden="false" customHeight="false" outlineLevel="0" collapsed="false">
      <c r="A3354" s="9" t="str">
        <f aca="false">Vessels!B34</f>
        <v>Vessel 30</v>
      </c>
      <c r="B3354" s="9" t="s">
        <v>136</v>
      </c>
      <c r="C3354" s="7" t="s">
        <v>147</v>
      </c>
      <c r="D3354" s="9" t="s">
        <v>45</v>
      </c>
      <c r="E3354" s="9" t="s">
        <v>44</v>
      </c>
      <c r="F3354" s="5" t="n">
        <v>12</v>
      </c>
      <c r="G3354" s="10"/>
      <c r="H3354" s="11" t="str">
        <f aca="false">IFERROR(IF($D3354="Manual Review","",IF($G3354="","",IF($D3354="Direct Expiry",$G3354,EDATE($G3354,$F3354)))),"Check Date")</f>
        <v/>
      </c>
      <c r="I3354" s="12" t="str">
        <f aca="true">IF($H3354="","",IF(ISNUMBER($H3354),$H3354-TODAY(),""))</f>
        <v/>
      </c>
      <c r="J3354" s="4" t="str">
        <f aca="true">IF($D3354="Manual Review","Manual Review",IF($G3354="","No Data",IF(NOT(ISNUMBER($H3354)),"N/A",IF($H3354&lt;TODAY(),"Overdue",IF($H3354&lt;=TODAY()+30,"Due within 1 Month",IF($H3354&lt;=TODAY()+60,"Due within 2 Months","OK"))))))</f>
        <v>No Data</v>
      </c>
      <c r="K3354" s="13"/>
    </row>
    <row r="3355" customFormat="false" ht="15" hidden="false" customHeight="false" outlineLevel="0" collapsed="false">
      <c r="A3355" s="9" t="str">
        <f aca="false">Vessels!B34</f>
        <v>Vessel 30</v>
      </c>
      <c r="B3355" s="9" t="s">
        <v>136</v>
      </c>
      <c r="C3355" s="7" t="s">
        <v>148</v>
      </c>
      <c r="D3355" s="9" t="s">
        <v>45</v>
      </c>
      <c r="E3355" s="9" t="s">
        <v>44</v>
      </c>
      <c r="F3355" s="5" t="n">
        <v>12</v>
      </c>
      <c r="G3355" s="10"/>
      <c r="H3355" s="11" t="str">
        <f aca="false">IFERROR(IF($D3355="Manual Review","",IF($G3355="","",IF($D3355="Direct Expiry",$G3355,EDATE($G3355,$F3355)))),"Check Date")</f>
        <v/>
      </c>
      <c r="I3355" s="12" t="str">
        <f aca="true">IF($H3355="","",IF(ISNUMBER($H3355),$H3355-TODAY(),""))</f>
        <v/>
      </c>
      <c r="J3355" s="4" t="str">
        <f aca="true">IF($D3355="Manual Review","Manual Review",IF($G3355="","No Data",IF(NOT(ISNUMBER($H3355)),"N/A",IF($H3355&lt;TODAY(),"Overdue",IF($H3355&lt;=TODAY()+30,"Due within 1 Month",IF($H3355&lt;=TODAY()+60,"Due within 2 Months","OK"))))))</f>
        <v>No Data</v>
      </c>
      <c r="K3355" s="13"/>
    </row>
    <row r="3356" customFormat="false" ht="15" hidden="false" customHeight="false" outlineLevel="0" collapsed="false">
      <c r="A3356" s="9" t="str">
        <f aca="false">Vessels!B34</f>
        <v>Vessel 30</v>
      </c>
      <c r="B3356" s="9" t="s">
        <v>136</v>
      </c>
      <c r="C3356" s="7" t="s">
        <v>149</v>
      </c>
      <c r="D3356" s="9" t="s">
        <v>45</v>
      </c>
      <c r="E3356" s="9" t="s">
        <v>44</v>
      </c>
      <c r="F3356" s="5" t="n">
        <v>12</v>
      </c>
      <c r="G3356" s="10"/>
      <c r="H3356" s="11" t="str">
        <f aca="false">IFERROR(IF($D3356="Manual Review","",IF($G3356="","",IF($D3356="Direct Expiry",$G3356,EDATE($G3356,$F3356)))),"Check Date")</f>
        <v/>
      </c>
      <c r="I3356" s="12" t="str">
        <f aca="true">IF($H3356="","",IF(ISNUMBER($H3356),$H3356-TODAY(),""))</f>
        <v/>
      </c>
      <c r="J3356" s="4" t="str">
        <f aca="true">IF($D3356="Manual Review","Manual Review",IF($G3356="","No Data",IF(NOT(ISNUMBER($H3356)),"N/A",IF($H3356&lt;TODAY(),"Overdue",IF($H3356&lt;=TODAY()+30,"Due within 1 Month",IF($H3356&lt;=TODAY()+60,"Due within 2 Months","OK"))))))</f>
        <v>No Data</v>
      </c>
      <c r="K3356" s="13"/>
    </row>
    <row r="3357" customFormat="false" ht="15" hidden="false" customHeight="false" outlineLevel="0" collapsed="false">
      <c r="A3357" s="9" t="str">
        <f aca="false">Vessels!B34</f>
        <v>Vessel 30</v>
      </c>
      <c r="B3357" s="9" t="s">
        <v>136</v>
      </c>
      <c r="C3357" s="7" t="s">
        <v>150</v>
      </c>
      <c r="D3357" s="9" t="s">
        <v>45</v>
      </c>
      <c r="E3357" s="9" t="s">
        <v>44</v>
      </c>
      <c r="F3357" s="5" t="n">
        <v>12</v>
      </c>
      <c r="G3357" s="10"/>
      <c r="H3357" s="11" t="str">
        <f aca="false">IFERROR(IF($D3357="Manual Review","",IF($G3357="","",IF($D3357="Direct Expiry",$G3357,EDATE($G3357,$F3357)))),"Check Date")</f>
        <v/>
      </c>
      <c r="I3357" s="12" t="str">
        <f aca="true">IF($H3357="","",IF(ISNUMBER($H3357),$H3357-TODAY(),""))</f>
        <v/>
      </c>
      <c r="J3357" s="4" t="str">
        <f aca="true">IF($D3357="Manual Review","Manual Review",IF($G3357="","No Data",IF(NOT(ISNUMBER($H3357)),"N/A",IF($H3357&lt;TODAY(),"Overdue",IF($H3357&lt;=TODAY()+30,"Due within 1 Month",IF($H3357&lt;=TODAY()+60,"Due within 2 Months","OK"))))))</f>
        <v>No Data</v>
      </c>
      <c r="K3357" s="13"/>
    </row>
    <row r="3358" customFormat="false" ht="15" hidden="false" customHeight="false" outlineLevel="0" collapsed="false">
      <c r="A3358" s="9" t="str">
        <f aca="false">Vessels!B34</f>
        <v>Vessel 30</v>
      </c>
      <c r="B3358" s="9" t="s">
        <v>136</v>
      </c>
      <c r="C3358" s="7" t="s">
        <v>151</v>
      </c>
      <c r="D3358" s="9" t="s">
        <v>45</v>
      </c>
      <c r="E3358" s="9" t="s">
        <v>44</v>
      </c>
      <c r="F3358" s="5" t="n">
        <v>12</v>
      </c>
      <c r="G3358" s="10"/>
      <c r="H3358" s="11" t="str">
        <f aca="false">IFERROR(IF($D3358="Manual Review","",IF($G3358="","",IF($D3358="Direct Expiry",$G3358,EDATE($G3358,$F3358)))),"Check Date")</f>
        <v/>
      </c>
      <c r="I3358" s="12" t="str">
        <f aca="true">IF($H3358="","",IF(ISNUMBER($H3358),$H3358-TODAY(),""))</f>
        <v/>
      </c>
      <c r="J3358" s="4" t="str">
        <f aca="true">IF($D3358="Manual Review","Manual Review",IF($G3358="","No Data",IF(NOT(ISNUMBER($H3358)),"N/A",IF($H3358&lt;TODAY(),"Overdue",IF($H3358&lt;=TODAY()+30,"Due within 1 Month",IF($H3358&lt;=TODAY()+60,"Due within 2 Months","OK"))))))</f>
        <v>No Data</v>
      </c>
      <c r="K3358" s="13"/>
    </row>
    <row r="3359" customFormat="false" ht="15" hidden="false" customHeight="false" outlineLevel="0" collapsed="false">
      <c r="A3359" s="9" t="str">
        <f aca="false">Vessels!B34</f>
        <v>Vessel 30</v>
      </c>
      <c r="B3359" s="9" t="s">
        <v>136</v>
      </c>
      <c r="C3359" s="7" t="s">
        <v>152</v>
      </c>
      <c r="D3359" s="9" t="s">
        <v>45</v>
      </c>
      <c r="E3359" s="9" t="s">
        <v>44</v>
      </c>
      <c r="F3359" s="5" t="n">
        <v>12</v>
      </c>
      <c r="G3359" s="10"/>
      <c r="H3359" s="11" t="str">
        <f aca="false">IFERROR(IF($D3359="Manual Review","",IF($G3359="","",IF($D3359="Direct Expiry",$G3359,EDATE($G3359,$F3359)))),"Check Date")</f>
        <v/>
      </c>
      <c r="I3359" s="12" t="str">
        <f aca="true">IF($H3359="","",IF(ISNUMBER($H3359),$H3359-TODAY(),""))</f>
        <v/>
      </c>
      <c r="J3359" s="4" t="str">
        <f aca="true">IF($D3359="Manual Review","Manual Review",IF($G3359="","No Data",IF(NOT(ISNUMBER($H3359)),"N/A",IF($H3359&lt;TODAY(),"Overdue",IF($H3359&lt;=TODAY()+30,"Due within 1 Month",IF($H3359&lt;=TODAY()+60,"Due within 2 Months","OK"))))))</f>
        <v>No Data</v>
      </c>
      <c r="K3359" s="13"/>
    </row>
    <row r="3360" customFormat="false" ht="15" hidden="false" customHeight="false" outlineLevel="0" collapsed="false">
      <c r="A3360" s="9" t="str">
        <f aca="false">Vessels!B34</f>
        <v>Vessel 30</v>
      </c>
      <c r="B3360" s="9" t="s">
        <v>136</v>
      </c>
      <c r="C3360" s="7" t="s">
        <v>153</v>
      </c>
      <c r="D3360" s="9" t="s">
        <v>45</v>
      </c>
      <c r="E3360" s="9" t="s">
        <v>44</v>
      </c>
      <c r="F3360" s="5" t="n">
        <v>12</v>
      </c>
      <c r="G3360" s="10"/>
      <c r="H3360" s="11" t="str">
        <f aca="false">IFERROR(IF($D3360="Manual Review","",IF($G3360="","",IF($D3360="Direct Expiry",$G3360,EDATE($G3360,$F3360)))),"Check Date")</f>
        <v/>
      </c>
      <c r="I3360" s="12" t="str">
        <f aca="true">IF($H3360="","",IF(ISNUMBER($H3360),$H3360-TODAY(),""))</f>
        <v/>
      </c>
      <c r="J3360" s="4" t="str">
        <f aca="true">IF($D3360="Manual Review","Manual Review",IF($G3360="","No Data",IF(NOT(ISNUMBER($H3360)),"N/A",IF($H3360&lt;TODAY(),"Overdue",IF($H3360&lt;=TODAY()+30,"Due within 1 Month",IF($H3360&lt;=TODAY()+60,"Due within 2 Months","OK"))))))</f>
        <v>No Data</v>
      </c>
      <c r="K3360" s="13"/>
    </row>
    <row r="3361" customFormat="false" ht="15" hidden="false" customHeight="false" outlineLevel="0" collapsed="false">
      <c r="A3361" s="9" t="str">
        <f aca="false">Vessels!B34</f>
        <v>Vessel 30</v>
      </c>
      <c r="B3361" s="9" t="s">
        <v>136</v>
      </c>
      <c r="C3361" s="7" t="s">
        <v>154</v>
      </c>
      <c r="D3361" s="9" t="s">
        <v>45</v>
      </c>
      <c r="E3361" s="9" t="s">
        <v>44</v>
      </c>
      <c r="F3361" s="5" t="n">
        <v>12</v>
      </c>
      <c r="G3361" s="10"/>
      <c r="H3361" s="11" t="str">
        <f aca="false">IFERROR(IF($D3361="Manual Review","",IF($G3361="","",IF($D3361="Direct Expiry",$G3361,EDATE($G3361,$F3361)))),"Check Date")</f>
        <v/>
      </c>
      <c r="I3361" s="12" t="str">
        <f aca="true">IF($H3361="","",IF(ISNUMBER($H3361),$H3361-TODAY(),""))</f>
        <v/>
      </c>
      <c r="J3361" s="4" t="str">
        <f aca="true">IF($D3361="Manual Review","Manual Review",IF($G3361="","No Data",IF(NOT(ISNUMBER($H3361)),"N/A",IF($H3361&lt;TODAY(),"Overdue",IF($H3361&lt;=TODAY()+30,"Due within 1 Month",IF($H3361&lt;=TODAY()+60,"Due within 2 Months","OK"))))))</f>
        <v>No Data</v>
      </c>
      <c r="K3361" s="13"/>
    </row>
    <row r="3362" customFormat="false" ht="15" hidden="false" customHeight="false" outlineLevel="0" collapsed="false">
      <c r="A3362" s="9" t="str">
        <f aca="false">Vessels!B34</f>
        <v>Vessel 30</v>
      </c>
      <c r="B3362" s="9" t="s">
        <v>136</v>
      </c>
      <c r="C3362" s="7" t="s">
        <v>155</v>
      </c>
      <c r="D3362" s="9" t="s">
        <v>45</v>
      </c>
      <c r="E3362" s="9" t="s">
        <v>44</v>
      </c>
      <c r="F3362" s="5" t="n">
        <v>12</v>
      </c>
      <c r="G3362" s="10"/>
      <c r="H3362" s="11" t="str">
        <f aca="false">IFERROR(IF($D3362="Manual Review","",IF($G3362="","",IF($D3362="Direct Expiry",$G3362,EDATE($G3362,$F3362)))),"Check Date")</f>
        <v/>
      </c>
      <c r="I3362" s="12" t="str">
        <f aca="true">IF($H3362="","",IF(ISNUMBER($H3362),$H3362-TODAY(),""))</f>
        <v/>
      </c>
      <c r="J3362" s="4" t="str">
        <f aca="true">IF($D3362="Manual Review","Manual Review",IF($G3362="","No Data",IF(NOT(ISNUMBER($H3362)),"N/A",IF($H3362&lt;TODAY(),"Overdue",IF($H3362&lt;=TODAY()+30,"Due within 1 Month",IF($H3362&lt;=TODAY()+60,"Due within 2 Months","OK"))))))</f>
        <v>No Data</v>
      </c>
      <c r="K3362" s="13"/>
    </row>
    <row r="3363" customFormat="false" ht="15" hidden="false" customHeight="false" outlineLevel="0" collapsed="false">
      <c r="A3363" s="9" t="str">
        <f aca="false">Vessels!B34</f>
        <v>Vessel 30</v>
      </c>
      <c r="B3363" s="9" t="s">
        <v>136</v>
      </c>
      <c r="C3363" s="7" t="s">
        <v>156</v>
      </c>
      <c r="D3363" s="9" t="s">
        <v>45</v>
      </c>
      <c r="E3363" s="9" t="s">
        <v>44</v>
      </c>
      <c r="F3363" s="5" t="n">
        <v>12</v>
      </c>
      <c r="G3363" s="10"/>
      <c r="H3363" s="11" t="str">
        <f aca="false">IFERROR(IF($D3363="Manual Review","",IF($G3363="","",IF($D3363="Direct Expiry",$G3363,EDATE($G3363,$F3363)))),"Check Date")</f>
        <v/>
      </c>
      <c r="I3363" s="12" t="str">
        <f aca="true">IF($H3363="","",IF(ISNUMBER($H3363),$H3363-TODAY(),""))</f>
        <v/>
      </c>
      <c r="J3363" s="4" t="str">
        <f aca="true">IF($D3363="Manual Review","Manual Review",IF($G3363="","No Data",IF(NOT(ISNUMBER($H3363)),"N/A",IF($H3363&lt;TODAY(),"Overdue",IF($H3363&lt;=TODAY()+30,"Due within 1 Month",IF($H3363&lt;=TODAY()+60,"Due within 2 Months","OK"))))))</f>
        <v>No Data</v>
      </c>
      <c r="K3363" s="13"/>
    </row>
    <row r="3364" customFormat="false" ht="15" hidden="false" customHeight="false" outlineLevel="0" collapsed="false">
      <c r="A3364" s="9" t="str">
        <f aca="false">Vessels!B34</f>
        <v>Vessel 30</v>
      </c>
      <c r="B3364" s="9" t="s">
        <v>136</v>
      </c>
      <c r="C3364" s="7" t="s">
        <v>157</v>
      </c>
      <c r="D3364" s="9" t="s">
        <v>45</v>
      </c>
      <c r="E3364" s="9" t="s">
        <v>44</v>
      </c>
      <c r="F3364" s="5" t="n">
        <v>12</v>
      </c>
      <c r="G3364" s="10"/>
      <c r="H3364" s="11" t="str">
        <f aca="false">IFERROR(IF($D3364="Manual Review","",IF($G3364="","",IF($D3364="Direct Expiry",$G3364,EDATE($G3364,$F3364)))),"Check Date")</f>
        <v/>
      </c>
      <c r="I3364" s="12" t="str">
        <f aca="true">IF($H3364="","",IF(ISNUMBER($H3364),$H3364-TODAY(),""))</f>
        <v/>
      </c>
      <c r="J3364" s="4" t="str">
        <f aca="true">IF($D3364="Manual Review","Manual Review",IF($G3364="","No Data",IF(NOT(ISNUMBER($H3364)),"N/A",IF($H3364&lt;TODAY(),"Overdue",IF($H3364&lt;=TODAY()+30,"Due within 1 Month",IF($H3364&lt;=TODAY()+60,"Due within 2 Months","OK"))))))</f>
        <v>No Data</v>
      </c>
      <c r="K3364" s="13"/>
    </row>
  </sheetData>
  <conditionalFormatting sqref="A5:K3364">
    <cfRule type="expression" priority="2" aboveAverage="0" equalAverage="0" bottom="0" percent="0" rank="0" text="" dxfId="0">
      <formula>$J5="Overdue"</formula>
    </cfRule>
    <cfRule type="expression" priority="3" aboveAverage="0" equalAverage="0" bottom="0" percent="0" rank="0" text="" dxfId="1">
      <formula>$J5="Due within 1 Month"</formula>
    </cfRule>
    <cfRule type="expression" priority="4" aboveAverage="0" equalAverage="0" bottom="0" percent="0" rank="0" text="" dxfId="2">
      <formula>$J5="Due within 2 Months"</formula>
    </cfRule>
    <cfRule type="expression" priority="5" aboveAverage="0" equalAverage="0" bottom="0" percent="0" rank="0" text="" dxfId="3">
      <formula>$J5="OK"</formula>
    </cfRule>
    <cfRule type="expression" priority="6" aboveAverage="0" equalAverage="0" bottom="0" percent="0" rank="0" text="" dxfId="4">
      <formula>OR($J5="No Data",$J5="Manual Review",$J5="N/A")</formula>
    </cfRule>
  </conditionalFormatting>
  <conditionalFormatting sqref="J5:J3364">
    <cfRule type="expression" priority="7" aboveAverage="0" equalAverage="0" bottom="0" percent="0" rank="0" text="" dxfId="5">
      <formula>$J5="Overdue"</formula>
    </cfRule>
    <cfRule type="expression" priority="8" aboveAverage="0" equalAverage="0" bottom="0" percent="0" rank="0" text="" dxfId="6">
      <formula>$J5="Due within 1 Month"</formula>
    </cfRule>
    <cfRule type="expression" priority="9" aboveAverage="0" equalAverage="0" bottom="0" percent="0" rank="0" text="" dxfId="7">
      <formula>$J5="Due within 2 Months"</formula>
    </cfRule>
    <cfRule type="expression" priority="10" aboveAverage="0" equalAverage="0" bottom="0" percent="0" rank="0" text="" dxfId="8">
      <formula>$J5="OK"</formula>
    </cfRule>
    <cfRule type="expression" priority="11" aboveAverage="0" equalAverage="0" bottom="0" percent="0" rank="0" text="" dxfId="9">
      <formula>OR($J5="No Data",$J5="Manual Review",$J5="N/A")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4" min="3" style="0" width="20"/>
    <col collapsed="false" customWidth="true" hidden="false" outlineLevel="0" max="5" min="5" style="0" width="15"/>
    <col collapsed="false" customWidth="true" hidden="false" outlineLevel="0" max="6" min="6" style="0" width="4"/>
    <col collapsed="false" customWidth="true" hidden="false" outlineLevel="0" max="7" min="7" style="0" width="13"/>
    <col collapsed="false" customWidth="true" hidden="false" outlineLevel="0" max="8" min="8" style="0" width="4"/>
    <col collapsed="false" customWidth="true" hidden="false" outlineLevel="0" max="9" min="9" style="0" width="13"/>
    <col collapsed="false" customWidth="true" hidden="false" outlineLevel="0" max="10" min="10" style="0" width="4"/>
    <col collapsed="false" customWidth="true" hidden="false" outlineLevel="0" max="11" min="11" style="0" width="13"/>
    <col collapsed="false" customWidth="true" hidden="false" outlineLevel="0" max="12" min="12" style="0" width="4"/>
  </cols>
  <sheetData>
    <row r="1" customFormat="false" ht="19.7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30" hidden="false" customHeight="true" outlineLevel="0" collapsed="false">
      <c r="A4" s="14" t="s">
        <v>169</v>
      </c>
      <c r="B4" s="14"/>
      <c r="C4" s="15" t="s">
        <v>170</v>
      </c>
      <c r="D4" s="15"/>
      <c r="E4" s="16" t="s">
        <v>171</v>
      </c>
      <c r="F4" s="16"/>
      <c r="G4" s="17" t="s">
        <v>172</v>
      </c>
      <c r="H4" s="17"/>
      <c r="I4" s="18" t="s">
        <v>173</v>
      </c>
      <c r="J4" s="18"/>
      <c r="K4" s="19" t="s">
        <v>174</v>
      </c>
      <c r="L4" s="19"/>
    </row>
    <row r="5" customFormat="false" ht="33.75" hidden="false" customHeight="true" outlineLevel="0" collapsed="false">
      <c r="A5" s="20" t="n">
        <f aca="false">COUNTA(Tracker!C5:C3364)</f>
        <v>3360</v>
      </c>
      <c r="B5" s="20"/>
      <c r="C5" s="21" t="n">
        <f aca="false">COUNTIF(Tracker!J5:J3364,"Overdue")</f>
        <v>13</v>
      </c>
      <c r="D5" s="21"/>
      <c r="E5" s="22" t="n">
        <f aca="false">COUNTIF(Tracker!J5:J3364,"Due within 1 Month")</f>
        <v>1</v>
      </c>
      <c r="F5" s="22"/>
      <c r="G5" s="23" t="n">
        <f aca="false">COUNTIF(Tracker!J5:J3364,"Due within 2 Months")</f>
        <v>0</v>
      </c>
      <c r="H5" s="23"/>
      <c r="I5" s="24" t="n">
        <f aca="false">COUNTIF(Tracker!J5:J3364,"OK")</f>
        <v>52</v>
      </c>
      <c r="J5" s="24"/>
      <c r="K5" s="25" t="n">
        <f aca="false">COUNTIF(Tracker!J5:J3364,"No Data")+COUNTIF(Tracker!J5:J3364,"Manual Review")+COUNTIF(Tracker!J5:J3364,"N/A")</f>
        <v>3294</v>
      </c>
      <c r="L5" s="25"/>
    </row>
    <row r="8" customFormat="false" ht="15" hidden="false" customHeight="false" outlineLevel="0" collapsed="false">
      <c r="A8" s="26" t="s">
        <v>175</v>
      </c>
    </row>
    <row r="9" customFormat="false" ht="23.85" hidden="false" customHeight="false" outlineLevel="0" collapsed="false">
      <c r="A9" s="6" t="s">
        <v>160</v>
      </c>
      <c r="B9" s="6" t="s">
        <v>176</v>
      </c>
      <c r="C9" s="6" t="s">
        <v>177</v>
      </c>
      <c r="D9" s="6" t="s">
        <v>178</v>
      </c>
      <c r="E9" s="6" t="s">
        <v>179</v>
      </c>
    </row>
    <row r="10" customFormat="false" ht="15" hidden="false" customHeight="false" outlineLevel="0" collapsed="false">
      <c r="A10" s="27" t="str">
        <f aca="false">Vessels!B5</f>
        <v>Vessel 01</v>
      </c>
      <c r="B10" s="28" t="n">
        <f aca="false">COUNTIFS(Tracker!A5:A3364,Vessels!B5,Tracker!J5:J3364,"Overdue")</f>
        <v>13</v>
      </c>
      <c r="C10" s="28" t="n">
        <f aca="false">COUNTIFS(Tracker!A5:A3364,Vessels!B5,Tracker!J5:J3364,"Due within 1 Month")</f>
        <v>1</v>
      </c>
      <c r="D10" s="28" t="n">
        <f aca="false">COUNTIFS(Tracker!A5:A3364,Vessels!B5,Tracker!J5:J3364,"Due within 2 Months")</f>
        <v>0</v>
      </c>
      <c r="E10" s="29" t="n">
        <f aca="false">B10+C10+D10</f>
        <v>14</v>
      </c>
    </row>
    <row r="11" customFormat="false" ht="15" hidden="false" customHeight="false" outlineLevel="0" collapsed="false">
      <c r="A11" s="27" t="str">
        <f aca="false">Vessels!B6</f>
        <v>Vessel 02</v>
      </c>
      <c r="B11" s="28" t="n">
        <f aca="false">COUNTIFS(Tracker!A5:A3364,Vessels!B6,Tracker!J5:J3364,"Overdue")</f>
        <v>0</v>
      </c>
      <c r="C11" s="28" t="n">
        <f aca="false">COUNTIFS(Tracker!A5:A3364,Vessels!B6,Tracker!J5:J3364,"Due within 1 Month")</f>
        <v>0</v>
      </c>
      <c r="D11" s="28" t="n">
        <f aca="false">COUNTIFS(Tracker!A5:A3364,Vessels!B6,Tracker!J5:J3364,"Due within 2 Months")</f>
        <v>0</v>
      </c>
      <c r="E11" s="29" t="n">
        <f aca="false">B11+C11+D11</f>
        <v>0</v>
      </c>
    </row>
    <row r="12" customFormat="false" ht="15" hidden="false" customHeight="false" outlineLevel="0" collapsed="false">
      <c r="A12" s="27" t="str">
        <f aca="false">Vessels!B7</f>
        <v>Vessel 03</v>
      </c>
      <c r="B12" s="28" t="n">
        <f aca="false">COUNTIFS(Tracker!A5:A3364,Vessels!B7,Tracker!J5:J3364,"Overdue")</f>
        <v>0</v>
      </c>
      <c r="C12" s="28" t="n">
        <f aca="false">COUNTIFS(Tracker!A5:A3364,Vessels!B7,Tracker!J5:J3364,"Due within 1 Month")</f>
        <v>0</v>
      </c>
      <c r="D12" s="28" t="n">
        <f aca="false">COUNTIFS(Tracker!A5:A3364,Vessels!B7,Tracker!J5:J3364,"Due within 2 Months")</f>
        <v>0</v>
      </c>
      <c r="E12" s="29" t="n">
        <f aca="false">B12+C12+D12</f>
        <v>0</v>
      </c>
    </row>
    <row r="13" customFormat="false" ht="15" hidden="false" customHeight="false" outlineLevel="0" collapsed="false">
      <c r="A13" s="27" t="str">
        <f aca="false">Vessels!B8</f>
        <v>Vessel 04</v>
      </c>
      <c r="B13" s="28" t="n">
        <f aca="false">COUNTIFS(Tracker!A5:A3364,Vessels!B8,Tracker!J5:J3364,"Overdue")</f>
        <v>0</v>
      </c>
      <c r="C13" s="28" t="n">
        <f aca="false">COUNTIFS(Tracker!A5:A3364,Vessels!B8,Tracker!J5:J3364,"Due within 1 Month")</f>
        <v>0</v>
      </c>
      <c r="D13" s="28" t="n">
        <f aca="false">COUNTIFS(Tracker!A5:A3364,Vessels!B8,Tracker!J5:J3364,"Due within 2 Months")</f>
        <v>0</v>
      </c>
      <c r="E13" s="29" t="n">
        <f aca="false">B13+C13+D13</f>
        <v>0</v>
      </c>
    </row>
    <row r="14" customFormat="false" ht="15" hidden="false" customHeight="false" outlineLevel="0" collapsed="false">
      <c r="A14" s="27" t="str">
        <f aca="false">Vessels!B9</f>
        <v>Vessel 05</v>
      </c>
      <c r="B14" s="28" t="n">
        <f aca="false">COUNTIFS(Tracker!A5:A3364,Vessels!B9,Tracker!J5:J3364,"Overdue")</f>
        <v>0</v>
      </c>
      <c r="C14" s="28" t="n">
        <f aca="false">COUNTIFS(Tracker!A5:A3364,Vessels!B9,Tracker!J5:J3364,"Due within 1 Month")</f>
        <v>0</v>
      </c>
      <c r="D14" s="28" t="n">
        <f aca="false">COUNTIFS(Tracker!A5:A3364,Vessels!B9,Tracker!J5:J3364,"Due within 2 Months")</f>
        <v>0</v>
      </c>
      <c r="E14" s="29" t="n">
        <f aca="false">B14+C14+D14</f>
        <v>0</v>
      </c>
    </row>
    <row r="15" customFormat="false" ht="15" hidden="false" customHeight="false" outlineLevel="0" collapsed="false">
      <c r="A15" s="27" t="str">
        <f aca="false">Vessels!B10</f>
        <v>Vessel 06</v>
      </c>
      <c r="B15" s="28" t="n">
        <f aca="false">COUNTIFS(Tracker!A5:A3364,Vessels!B10,Tracker!J5:J3364,"Overdue")</f>
        <v>0</v>
      </c>
      <c r="C15" s="28" t="n">
        <f aca="false">COUNTIFS(Tracker!A5:A3364,Vessels!B10,Tracker!J5:J3364,"Due within 1 Month")</f>
        <v>0</v>
      </c>
      <c r="D15" s="28" t="n">
        <f aca="false">COUNTIFS(Tracker!A5:A3364,Vessels!B10,Tracker!J5:J3364,"Due within 2 Months")</f>
        <v>0</v>
      </c>
      <c r="E15" s="29" t="n">
        <f aca="false">B15+C15+D15</f>
        <v>0</v>
      </c>
    </row>
    <row r="16" customFormat="false" ht="15" hidden="false" customHeight="false" outlineLevel="0" collapsed="false">
      <c r="A16" s="27" t="str">
        <f aca="false">Vessels!B11</f>
        <v>Vessel 07</v>
      </c>
      <c r="B16" s="28" t="n">
        <f aca="false">COUNTIFS(Tracker!A5:A3364,Vessels!B11,Tracker!J5:J3364,"Overdue")</f>
        <v>0</v>
      </c>
      <c r="C16" s="28" t="n">
        <f aca="false">COUNTIFS(Tracker!A5:A3364,Vessels!B11,Tracker!J5:J3364,"Due within 1 Month")</f>
        <v>0</v>
      </c>
      <c r="D16" s="28" t="n">
        <f aca="false">COUNTIFS(Tracker!A5:A3364,Vessels!B11,Tracker!J5:J3364,"Due within 2 Months")</f>
        <v>0</v>
      </c>
      <c r="E16" s="29" t="n">
        <f aca="false">B16+C16+D16</f>
        <v>0</v>
      </c>
    </row>
    <row r="17" customFormat="false" ht="15" hidden="false" customHeight="false" outlineLevel="0" collapsed="false">
      <c r="A17" s="27" t="str">
        <f aca="false">Vessels!B12</f>
        <v>Vessel 08</v>
      </c>
      <c r="B17" s="28" t="n">
        <f aca="false">COUNTIFS(Tracker!A5:A3364,Vessels!B12,Tracker!J5:J3364,"Overdue")</f>
        <v>0</v>
      </c>
      <c r="C17" s="28" t="n">
        <f aca="false">COUNTIFS(Tracker!A5:A3364,Vessels!B12,Tracker!J5:J3364,"Due within 1 Month")</f>
        <v>0</v>
      </c>
      <c r="D17" s="28" t="n">
        <f aca="false">COUNTIFS(Tracker!A5:A3364,Vessels!B12,Tracker!J5:J3364,"Due within 2 Months")</f>
        <v>0</v>
      </c>
      <c r="E17" s="29" t="n">
        <f aca="false">B17+C17+D17</f>
        <v>0</v>
      </c>
    </row>
    <row r="18" customFormat="false" ht="15" hidden="false" customHeight="false" outlineLevel="0" collapsed="false">
      <c r="A18" s="27" t="str">
        <f aca="false">Vessels!B13</f>
        <v>Vessel 09</v>
      </c>
      <c r="B18" s="28" t="n">
        <f aca="false">COUNTIFS(Tracker!A5:A3364,Vessels!B13,Tracker!J5:J3364,"Overdue")</f>
        <v>0</v>
      </c>
      <c r="C18" s="28" t="n">
        <f aca="false">COUNTIFS(Tracker!A5:A3364,Vessels!B13,Tracker!J5:J3364,"Due within 1 Month")</f>
        <v>0</v>
      </c>
      <c r="D18" s="28" t="n">
        <f aca="false">COUNTIFS(Tracker!A5:A3364,Vessels!B13,Tracker!J5:J3364,"Due within 2 Months")</f>
        <v>0</v>
      </c>
      <c r="E18" s="29" t="n">
        <f aca="false">B18+C18+D18</f>
        <v>0</v>
      </c>
    </row>
    <row r="19" customFormat="false" ht="15" hidden="false" customHeight="false" outlineLevel="0" collapsed="false">
      <c r="A19" s="27" t="str">
        <f aca="false">Vessels!B14</f>
        <v>Vessel 10</v>
      </c>
      <c r="B19" s="28" t="n">
        <f aca="false">COUNTIFS(Tracker!A5:A3364,Vessels!B14,Tracker!J5:J3364,"Overdue")</f>
        <v>0</v>
      </c>
      <c r="C19" s="28" t="n">
        <f aca="false">COUNTIFS(Tracker!A5:A3364,Vessels!B14,Tracker!J5:J3364,"Due within 1 Month")</f>
        <v>0</v>
      </c>
      <c r="D19" s="28" t="n">
        <f aca="false">COUNTIFS(Tracker!A5:A3364,Vessels!B14,Tracker!J5:J3364,"Due within 2 Months")</f>
        <v>0</v>
      </c>
      <c r="E19" s="29" t="n">
        <f aca="false">B19+C19+D19</f>
        <v>0</v>
      </c>
    </row>
    <row r="20" customFormat="false" ht="15" hidden="false" customHeight="false" outlineLevel="0" collapsed="false">
      <c r="A20" s="27" t="str">
        <f aca="false">Vessels!B15</f>
        <v>Vessel 11</v>
      </c>
      <c r="B20" s="28" t="n">
        <f aca="false">COUNTIFS(Tracker!A5:A3364,Vessels!B15,Tracker!J5:J3364,"Overdue")</f>
        <v>0</v>
      </c>
      <c r="C20" s="28" t="n">
        <f aca="false">COUNTIFS(Tracker!A5:A3364,Vessels!B15,Tracker!J5:J3364,"Due within 1 Month")</f>
        <v>0</v>
      </c>
      <c r="D20" s="28" t="n">
        <f aca="false">COUNTIFS(Tracker!A5:A3364,Vessels!B15,Tracker!J5:J3364,"Due within 2 Months")</f>
        <v>0</v>
      </c>
      <c r="E20" s="29" t="n">
        <f aca="false">B20+C20+D20</f>
        <v>0</v>
      </c>
    </row>
    <row r="21" customFormat="false" ht="15" hidden="false" customHeight="false" outlineLevel="0" collapsed="false">
      <c r="A21" s="27" t="str">
        <f aca="false">Vessels!B16</f>
        <v>Vessel 12</v>
      </c>
      <c r="B21" s="28" t="n">
        <f aca="false">COUNTIFS(Tracker!A5:A3364,Vessels!B16,Tracker!J5:J3364,"Overdue")</f>
        <v>0</v>
      </c>
      <c r="C21" s="28" t="n">
        <f aca="false">COUNTIFS(Tracker!A5:A3364,Vessels!B16,Tracker!J5:J3364,"Due within 1 Month")</f>
        <v>0</v>
      </c>
      <c r="D21" s="28" t="n">
        <f aca="false">COUNTIFS(Tracker!A5:A3364,Vessels!B16,Tracker!J5:J3364,"Due within 2 Months")</f>
        <v>0</v>
      </c>
      <c r="E21" s="29" t="n">
        <f aca="false">B21+C21+D21</f>
        <v>0</v>
      </c>
    </row>
    <row r="22" customFormat="false" ht="15" hidden="false" customHeight="false" outlineLevel="0" collapsed="false">
      <c r="A22" s="27" t="str">
        <f aca="false">Vessels!B17</f>
        <v>Vessel 13</v>
      </c>
      <c r="B22" s="28" t="n">
        <f aca="false">COUNTIFS(Tracker!A5:A3364,Vessels!B17,Tracker!J5:J3364,"Overdue")</f>
        <v>0</v>
      </c>
      <c r="C22" s="28" t="n">
        <f aca="false">COUNTIFS(Tracker!A5:A3364,Vessels!B17,Tracker!J5:J3364,"Due within 1 Month")</f>
        <v>0</v>
      </c>
      <c r="D22" s="28" t="n">
        <f aca="false">COUNTIFS(Tracker!A5:A3364,Vessels!B17,Tracker!J5:J3364,"Due within 2 Months")</f>
        <v>0</v>
      </c>
      <c r="E22" s="29" t="n">
        <f aca="false">B22+C22+D22</f>
        <v>0</v>
      </c>
    </row>
    <row r="23" customFormat="false" ht="15" hidden="false" customHeight="false" outlineLevel="0" collapsed="false">
      <c r="A23" s="27" t="str">
        <f aca="false">Vessels!B18</f>
        <v>Vessel 14</v>
      </c>
      <c r="B23" s="28" t="n">
        <f aca="false">COUNTIFS(Tracker!A5:A3364,Vessels!B18,Tracker!J5:J3364,"Overdue")</f>
        <v>0</v>
      </c>
      <c r="C23" s="28" t="n">
        <f aca="false">COUNTIFS(Tracker!A5:A3364,Vessels!B18,Tracker!J5:J3364,"Due within 1 Month")</f>
        <v>0</v>
      </c>
      <c r="D23" s="28" t="n">
        <f aca="false">COUNTIFS(Tracker!A5:A3364,Vessels!B18,Tracker!J5:J3364,"Due within 2 Months")</f>
        <v>0</v>
      </c>
      <c r="E23" s="29" t="n">
        <f aca="false">B23+C23+D23</f>
        <v>0</v>
      </c>
    </row>
    <row r="24" customFormat="false" ht="15" hidden="false" customHeight="false" outlineLevel="0" collapsed="false">
      <c r="A24" s="27" t="str">
        <f aca="false">Vessels!B19</f>
        <v>Vessel 15</v>
      </c>
      <c r="B24" s="28" t="n">
        <f aca="false">COUNTIFS(Tracker!A5:A3364,Vessels!B19,Tracker!J5:J3364,"Overdue")</f>
        <v>0</v>
      </c>
      <c r="C24" s="28" t="n">
        <f aca="false">COUNTIFS(Tracker!A5:A3364,Vessels!B19,Tracker!J5:J3364,"Due within 1 Month")</f>
        <v>0</v>
      </c>
      <c r="D24" s="28" t="n">
        <f aca="false">COUNTIFS(Tracker!A5:A3364,Vessels!B19,Tracker!J5:J3364,"Due within 2 Months")</f>
        <v>0</v>
      </c>
      <c r="E24" s="29" t="n">
        <f aca="false">B24+C24+D24</f>
        <v>0</v>
      </c>
    </row>
    <row r="25" customFormat="false" ht="15" hidden="false" customHeight="false" outlineLevel="0" collapsed="false">
      <c r="A25" s="27" t="str">
        <f aca="false">Vessels!B20</f>
        <v>Vessel 16</v>
      </c>
      <c r="B25" s="28" t="n">
        <f aca="false">COUNTIFS(Tracker!A5:A3364,Vessels!B20,Tracker!J5:J3364,"Overdue")</f>
        <v>0</v>
      </c>
      <c r="C25" s="28" t="n">
        <f aca="false">COUNTIFS(Tracker!A5:A3364,Vessels!B20,Tracker!J5:J3364,"Due within 1 Month")</f>
        <v>0</v>
      </c>
      <c r="D25" s="28" t="n">
        <f aca="false">COUNTIFS(Tracker!A5:A3364,Vessels!B20,Tracker!J5:J3364,"Due within 2 Months")</f>
        <v>0</v>
      </c>
      <c r="E25" s="29" t="n">
        <f aca="false">B25+C25+D25</f>
        <v>0</v>
      </c>
    </row>
    <row r="26" customFormat="false" ht="15" hidden="false" customHeight="false" outlineLevel="0" collapsed="false">
      <c r="A26" s="27" t="str">
        <f aca="false">Vessels!B21</f>
        <v>Vessel 17</v>
      </c>
      <c r="B26" s="28" t="n">
        <f aca="false">COUNTIFS(Tracker!A5:A3364,Vessels!B21,Tracker!J5:J3364,"Overdue")</f>
        <v>0</v>
      </c>
      <c r="C26" s="28" t="n">
        <f aca="false">COUNTIFS(Tracker!A5:A3364,Vessels!B21,Tracker!J5:J3364,"Due within 1 Month")</f>
        <v>0</v>
      </c>
      <c r="D26" s="28" t="n">
        <f aca="false">COUNTIFS(Tracker!A5:A3364,Vessels!B21,Tracker!J5:J3364,"Due within 2 Months")</f>
        <v>0</v>
      </c>
      <c r="E26" s="29" t="n">
        <f aca="false">B26+C26+D26</f>
        <v>0</v>
      </c>
    </row>
    <row r="27" customFormat="false" ht="15" hidden="false" customHeight="false" outlineLevel="0" collapsed="false">
      <c r="A27" s="27" t="str">
        <f aca="false">Vessels!B22</f>
        <v>Vessel 18</v>
      </c>
      <c r="B27" s="28" t="n">
        <f aca="false">COUNTIFS(Tracker!A5:A3364,Vessels!B22,Tracker!J5:J3364,"Overdue")</f>
        <v>0</v>
      </c>
      <c r="C27" s="28" t="n">
        <f aca="false">COUNTIFS(Tracker!A5:A3364,Vessels!B22,Tracker!J5:J3364,"Due within 1 Month")</f>
        <v>0</v>
      </c>
      <c r="D27" s="28" t="n">
        <f aca="false">COUNTIFS(Tracker!A5:A3364,Vessels!B22,Tracker!J5:J3364,"Due within 2 Months")</f>
        <v>0</v>
      </c>
      <c r="E27" s="29" t="n">
        <f aca="false">B27+C27+D27</f>
        <v>0</v>
      </c>
    </row>
    <row r="28" customFormat="false" ht="15" hidden="false" customHeight="false" outlineLevel="0" collapsed="false">
      <c r="A28" s="27" t="str">
        <f aca="false">Vessels!B23</f>
        <v>Vessel 19</v>
      </c>
      <c r="B28" s="28" t="n">
        <f aca="false">COUNTIFS(Tracker!A5:A3364,Vessels!B23,Tracker!J5:J3364,"Overdue")</f>
        <v>0</v>
      </c>
      <c r="C28" s="28" t="n">
        <f aca="false">COUNTIFS(Tracker!A5:A3364,Vessels!B23,Tracker!J5:J3364,"Due within 1 Month")</f>
        <v>0</v>
      </c>
      <c r="D28" s="28" t="n">
        <f aca="false">COUNTIFS(Tracker!A5:A3364,Vessels!B23,Tracker!J5:J3364,"Due within 2 Months")</f>
        <v>0</v>
      </c>
      <c r="E28" s="29" t="n">
        <f aca="false">B28+C28+D28</f>
        <v>0</v>
      </c>
    </row>
    <row r="29" customFormat="false" ht="15" hidden="false" customHeight="false" outlineLevel="0" collapsed="false">
      <c r="A29" s="27" t="str">
        <f aca="false">Vessels!B24</f>
        <v>Vessel 20</v>
      </c>
      <c r="B29" s="28" t="n">
        <f aca="false">COUNTIFS(Tracker!A5:A3364,Vessels!B24,Tracker!J5:J3364,"Overdue")</f>
        <v>0</v>
      </c>
      <c r="C29" s="28" t="n">
        <f aca="false">COUNTIFS(Tracker!A5:A3364,Vessels!B24,Tracker!J5:J3364,"Due within 1 Month")</f>
        <v>0</v>
      </c>
      <c r="D29" s="28" t="n">
        <f aca="false">COUNTIFS(Tracker!A5:A3364,Vessels!B24,Tracker!J5:J3364,"Due within 2 Months")</f>
        <v>0</v>
      </c>
      <c r="E29" s="29" t="n">
        <f aca="false">B29+C29+D29</f>
        <v>0</v>
      </c>
    </row>
    <row r="30" customFormat="false" ht="15" hidden="false" customHeight="false" outlineLevel="0" collapsed="false">
      <c r="A30" s="27" t="str">
        <f aca="false">Vessels!B25</f>
        <v>Vessel 21</v>
      </c>
      <c r="B30" s="28" t="n">
        <f aca="false">COUNTIFS(Tracker!A5:A3364,Vessels!B25,Tracker!J5:J3364,"Overdue")</f>
        <v>0</v>
      </c>
      <c r="C30" s="28" t="n">
        <f aca="false">COUNTIFS(Tracker!A5:A3364,Vessels!B25,Tracker!J5:J3364,"Due within 1 Month")</f>
        <v>0</v>
      </c>
      <c r="D30" s="28" t="n">
        <f aca="false">COUNTIFS(Tracker!A5:A3364,Vessels!B25,Tracker!J5:J3364,"Due within 2 Months")</f>
        <v>0</v>
      </c>
      <c r="E30" s="29" t="n">
        <f aca="false">B30+C30+D30</f>
        <v>0</v>
      </c>
    </row>
    <row r="31" customFormat="false" ht="15" hidden="false" customHeight="false" outlineLevel="0" collapsed="false">
      <c r="A31" s="27" t="str">
        <f aca="false">Vessels!B26</f>
        <v>Vessel 22</v>
      </c>
      <c r="B31" s="28" t="n">
        <f aca="false">COUNTIFS(Tracker!A5:A3364,Vessels!B26,Tracker!J5:J3364,"Overdue")</f>
        <v>0</v>
      </c>
      <c r="C31" s="28" t="n">
        <f aca="false">COUNTIFS(Tracker!A5:A3364,Vessels!B26,Tracker!J5:J3364,"Due within 1 Month")</f>
        <v>0</v>
      </c>
      <c r="D31" s="28" t="n">
        <f aca="false">COUNTIFS(Tracker!A5:A3364,Vessels!B26,Tracker!J5:J3364,"Due within 2 Months")</f>
        <v>0</v>
      </c>
      <c r="E31" s="29" t="n">
        <f aca="false">B31+C31+D31</f>
        <v>0</v>
      </c>
    </row>
    <row r="32" customFormat="false" ht="15" hidden="false" customHeight="false" outlineLevel="0" collapsed="false">
      <c r="A32" s="27" t="str">
        <f aca="false">Vessels!B27</f>
        <v>Vessel 23</v>
      </c>
      <c r="B32" s="28" t="n">
        <f aca="false">COUNTIFS(Tracker!A5:A3364,Vessels!B27,Tracker!J5:J3364,"Overdue")</f>
        <v>0</v>
      </c>
      <c r="C32" s="28" t="n">
        <f aca="false">COUNTIFS(Tracker!A5:A3364,Vessels!B27,Tracker!J5:J3364,"Due within 1 Month")</f>
        <v>0</v>
      </c>
      <c r="D32" s="28" t="n">
        <f aca="false">COUNTIFS(Tracker!A5:A3364,Vessels!B27,Tracker!J5:J3364,"Due within 2 Months")</f>
        <v>0</v>
      </c>
      <c r="E32" s="29" t="n">
        <f aca="false">B32+C32+D32</f>
        <v>0</v>
      </c>
    </row>
    <row r="33" customFormat="false" ht="15" hidden="false" customHeight="false" outlineLevel="0" collapsed="false">
      <c r="A33" s="27" t="str">
        <f aca="false">Vessels!B28</f>
        <v>Vessel 24</v>
      </c>
      <c r="B33" s="28" t="n">
        <f aca="false">COUNTIFS(Tracker!A5:A3364,Vessels!B28,Tracker!J5:J3364,"Overdue")</f>
        <v>0</v>
      </c>
      <c r="C33" s="28" t="n">
        <f aca="false">COUNTIFS(Tracker!A5:A3364,Vessels!B28,Tracker!J5:J3364,"Due within 1 Month")</f>
        <v>0</v>
      </c>
      <c r="D33" s="28" t="n">
        <f aca="false">COUNTIFS(Tracker!A5:A3364,Vessels!B28,Tracker!J5:J3364,"Due within 2 Months")</f>
        <v>0</v>
      </c>
      <c r="E33" s="29" t="n">
        <f aca="false">B33+C33+D33</f>
        <v>0</v>
      </c>
    </row>
    <row r="34" customFormat="false" ht="15" hidden="false" customHeight="false" outlineLevel="0" collapsed="false">
      <c r="A34" s="27" t="str">
        <f aca="false">Vessels!B29</f>
        <v>Vessel 25</v>
      </c>
      <c r="B34" s="28" t="n">
        <f aca="false">COUNTIFS(Tracker!A5:A3364,Vessels!B29,Tracker!J5:J3364,"Overdue")</f>
        <v>0</v>
      </c>
      <c r="C34" s="28" t="n">
        <f aca="false">COUNTIFS(Tracker!A5:A3364,Vessels!B29,Tracker!J5:J3364,"Due within 1 Month")</f>
        <v>0</v>
      </c>
      <c r="D34" s="28" t="n">
        <f aca="false">COUNTIFS(Tracker!A5:A3364,Vessels!B29,Tracker!J5:J3364,"Due within 2 Months")</f>
        <v>0</v>
      </c>
      <c r="E34" s="29" t="n">
        <f aca="false">B34+C34+D34</f>
        <v>0</v>
      </c>
    </row>
    <row r="35" customFormat="false" ht="15" hidden="false" customHeight="false" outlineLevel="0" collapsed="false">
      <c r="A35" s="27" t="str">
        <f aca="false">Vessels!B30</f>
        <v>Vessel 26</v>
      </c>
      <c r="B35" s="28" t="n">
        <f aca="false">COUNTIFS(Tracker!A5:A3364,Vessels!B30,Tracker!J5:J3364,"Overdue")</f>
        <v>0</v>
      </c>
      <c r="C35" s="28" t="n">
        <f aca="false">COUNTIFS(Tracker!A5:A3364,Vessels!B30,Tracker!J5:J3364,"Due within 1 Month")</f>
        <v>0</v>
      </c>
      <c r="D35" s="28" t="n">
        <f aca="false">COUNTIFS(Tracker!A5:A3364,Vessels!B30,Tracker!J5:J3364,"Due within 2 Months")</f>
        <v>0</v>
      </c>
      <c r="E35" s="29" t="n">
        <f aca="false">B35+C35+D35</f>
        <v>0</v>
      </c>
    </row>
    <row r="36" customFormat="false" ht="15" hidden="false" customHeight="false" outlineLevel="0" collapsed="false">
      <c r="A36" s="27" t="str">
        <f aca="false">Vessels!B31</f>
        <v>Vessel 27</v>
      </c>
      <c r="B36" s="28" t="n">
        <f aca="false">COUNTIFS(Tracker!A5:A3364,Vessels!B31,Tracker!J5:J3364,"Overdue")</f>
        <v>0</v>
      </c>
      <c r="C36" s="28" t="n">
        <f aca="false">COUNTIFS(Tracker!A5:A3364,Vessels!B31,Tracker!J5:J3364,"Due within 1 Month")</f>
        <v>0</v>
      </c>
      <c r="D36" s="28" t="n">
        <f aca="false">COUNTIFS(Tracker!A5:A3364,Vessels!B31,Tracker!J5:J3364,"Due within 2 Months")</f>
        <v>0</v>
      </c>
      <c r="E36" s="29" t="n">
        <f aca="false">B36+C36+D36</f>
        <v>0</v>
      </c>
    </row>
    <row r="37" customFormat="false" ht="15" hidden="false" customHeight="false" outlineLevel="0" collapsed="false">
      <c r="A37" s="27" t="str">
        <f aca="false">Vessels!B32</f>
        <v>Vessel 28</v>
      </c>
      <c r="B37" s="28" t="n">
        <f aca="false">COUNTIFS(Tracker!A5:A3364,Vessels!B32,Tracker!J5:J3364,"Overdue")</f>
        <v>0</v>
      </c>
      <c r="C37" s="28" t="n">
        <f aca="false">COUNTIFS(Tracker!A5:A3364,Vessels!B32,Tracker!J5:J3364,"Due within 1 Month")</f>
        <v>0</v>
      </c>
      <c r="D37" s="28" t="n">
        <f aca="false">COUNTIFS(Tracker!A5:A3364,Vessels!B32,Tracker!J5:J3364,"Due within 2 Months")</f>
        <v>0</v>
      </c>
      <c r="E37" s="29" t="n">
        <f aca="false">B37+C37+D37</f>
        <v>0</v>
      </c>
    </row>
    <row r="38" customFormat="false" ht="15" hidden="false" customHeight="false" outlineLevel="0" collapsed="false">
      <c r="A38" s="27" t="str">
        <f aca="false">Vessels!B33</f>
        <v>Vessel 29</v>
      </c>
      <c r="B38" s="28" t="n">
        <f aca="false">COUNTIFS(Tracker!A5:A3364,Vessels!B33,Tracker!J5:J3364,"Overdue")</f>
        <v>0</v>
      </c>
      <c r="C38" s="28" t="n">
        <f aca="false">COUNTIFS(Tracker!A5:A3364,Vessels!B33,Tracker!J5:J3364,"Due within 1 Month")</f>
        <v>0</v>
      </c>
      <c r="D38" s="28" t="n">
        <f aca="false">COUNTIFS(Tracker!A5:A3364,Vessels!B33,Tracker!J5:J3364,"Due within 2 Months")</f>
        <v>0</v>
      </c>
      <c r="E38" s="29" t="n">
        <f aca="false">B38+C38+D38</f>
        <v>0</v>
      </c>
    </row>
    <row r="39" customFormat="false" ht="15" hidden="false" customHeight="false" outlineLevel="0" collapsed="false">
      <c r="A39" s="27" t="str">
        <f aca="false">Vessels!B34</f>
        <v>Vessel 30</v>
      </c>
      <c r="B39" s="28" t="n">
        <f aca="false">COUNTIFS(Tracker!A5:A3364,Vessels!B34,Tracker!J5:J3364,"Overdue")</f>
        <v>0</v>
      </c>
      <c r="C39" s="28" t="n">
        <f aca="false">COUNTIFS(Tracker!A5:A3364,Vessels!B34,Tracker!J5:J3364,"Due within 1 Month")</f>
        <v>0</v>
      </c>
      <c r="D39" s="28" t="n">
        <f aca="false">COUNTIFS(Tracker!A5:A3364,Vessels!B34,Tracker!J5:J3364,"Due within 2 Months")</f>
        <v>0</v>
      </c>
      <c r="E39" s="29" t="n">
        <f aca="false">B39+C39+D39</f>
        <v>0</v>
      </c>
    </row>
    <row r="42" customFormat="false" ht="15" hidden="false" customHeight="false" outlineLevel="0" collapsed="false">
      <c r="A42" s="26" t="s">
        <v>180</v>
      </c>
    </row>
    <row r="43" customFormat="false" ht="15" hidden="false" customHeight="false" outlineLevel="0" collapsed="false">
      <c r="A43" s="3" t="s">
        <v>37</v>
      </c>
      <c r="B43" s="3" t="s">
        <v>181</v>
      </c>
      <c r="C43" s="3" t="s">
        <v>182</v>
      </c>
      <c r="D43" s="3" t="s">
        <v>183</v>
      </c>
    </row>
    <row r="44" customFormat="false" ht="15" hidden="false" customHeight="false" outlineLevel="0" collapsed="false">
      <c r="A44" s="27" t="s">
        <v>42</v>
      </c>
      <c r="B44" s="28" t="n">
        <f aca="false">COUNTIFS(Tracker!B5:B3364,"Life Saving Appliances",Tracker!J5:J3364,"Overdue")</f>
        <v>5</v>
      </c>
      <c r="C44" s="28" t="n">
        <f aca="false">COUNTIFS(Tracker!B5:B3364,"Life Saving Appliances",Tracker!J5:J3364,"Due within 1 Month")</f>
        <v>0</v>
      </c>
      <c r="D44" s="28" t="n">
        <f aca="false">COUNTIFS(Tracker!B5:B3364,"Life Saving Appliances",Tracker!J5:J3364,"Due within 2 Months")</f>
        <v>0</v>
      </c>
    </row>
    <row r="45" customFormat="false" ht="15" hidden="false" customHeight="false" outlineLevel="0" collapsed="false">
      <c r="A45" s="27" t="s">
        <v>88</v>
      </c>
      <c r="B45" s="28" t="n">
        <f aca="false">COUNTIFS(Tracker!B5:B3364,"Fire Fighting Appliances",Tracker!J5:J3364,"Overdue")</f>
        <v>4</v>
      </c>
      <c r="C45" s="28" t="n">
        <f aca="false">COUNTIFS(Tracker!B5:B3364,"Fire Fighting Appliances",Tracker!J5:J3364,"Due within 1 Month")</f>
        <v>0</v>
      </c>
      <c r="D45" s="28" t="n">
        <f aca="false">COUNTIFS(Tracker!B5:B3364,"Fire Fighting Appliances",Tracker!J5:J3364,"Due within 2 Months")</f>
        <v>0</v>
      </c>
    </row>
    <row r="46" customFormat="false" ht="15" hidden="false" customHeight="false" outlineLevel="0" collapsed="false">
      <c r="A46" s="27" t="s">
        <v>117</v>
      </c>
      <c r="B46" s="28" t="n">
        <f aca="false">COUNTIFS(Tracker!B5:B3364,"Bridge",Tracker!J5:J3364,"Overdue")</f>
        <v>0</v>
      </c>
      <c r="C46" s="28" t="n">
        <f aca="false">COUNTIFS(Tracker!B5:B3364,"Bridge",Tracker!J5:J3364,"Due within 1 Month")</f>
        <v>0</v>
      </c>
      <c r="D46" s="28" t="n">
        <f aca="false">COUNTIFS(Tracker!B5:B3364,"Bridge",Tracker!J5:J3364,"Due within 2 Months")</f>
        <v>0</v>
      </c>
    </row>
    <row r="47" customFormat="false" ht="15" hidden="false" customHeight="false" outlineLevel="0" collapsed="false">
      <c r="A47" s="27" t="s">
        <v>136</v>
      </c>
      <c r="B47" s="28" t="n">
        <f aca="false">COUNTIFS(Tracker!B5:B3364,"Calibration Equipment's",Tracker!J5:J3364,"Overdue")</f>
        <v>4</v>
      </c>
      <c r="C47" s="28" t="n">
        <f aca="false">COUNTIFS(Tracker!B5:B3364,"Calibration Equipment's",Tracker!J5:J3364,"Due within 1 Month")</f>
        <v>1</v>
      </c>
      <c r="D47" s="28" t="n">
        <f aca="false">COUNTIFS(Tracker!B5:B3364,"Calibration Equipment's",Tracker!J5:J3364,"Due within 2 Months")</f>
        <v>0</v>
      </c>
    </row>
    <row r="50" customFormat="false" ht="15" hidden="false" customHeight="false" outlineLevel="0" collapsed="false">
      <c r="H50" s="30" t="s">
        <v>164</v>
      </c>
      <c r="I50" s="30" t="s">
        <v>184</v>
      </c>
    </row>
    <row r="51" customFormat="false" ht="15" hidden="false" customHeight="false" outlineLevel="0" collapsed="false">
      <c r="H51" s="0" t="s">
        <v>181</v>
      </c>
      <c r="I51" s="0" t="n">
        <f aca="false">COUNTIF(Tracker!J5:J3364,"Overdue")</f>
        <v>13</v>
      </c>
    </row>
    <row r="52" customFormat="false" ht="15" hidden="false" customHeight="false" outlineLevel="0" collapsed="false">
      <c r="H52" s="0" t="s">
        <v>185</v>
      </c>
      <c r="I52" s="0" t="n">
        <f aca="false">COUNTIF(Tracker!J5:J3364,"Due within 1 Month")</f>
        <v>1</v>
      </c>
    </row>
    <row r="53" customFormat="false" ht="15" hidden="false" customHeight="false" outlineLevel="0" collapsed="false">
      <c r="H53" s="0" t="s">
        <v>186</v>
      </c>
      <c r="I53" s="0" t="n">
        <f aca="false">COUNTIF(Tracker!J5:J3364,"Due within 2 Months")</f>
        <v>0</v>
      </c>
    </row>
    <row r="54" customFormat="false" ht="15" hidden="false" customHeight="false" outlineLevel="0" collapsed="false">
      <c r="H54" s="0" t="s">
        <v>187</v>
      </c>
      <c r="I54" s="0" t="n">
        <f aca="false">COUNTIF(Tracker!J5:J3364,"OK")</f>
        <v>52</v>
      </c>
    </row>
  </sheetData>
  <mergeCells count="1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2026-07-15T09:48:46Z</dcterms:created>
  <dc:creator>openpyxl</dc:creator>
  <dc:description/>
  <dc:language>en-US</dc:language>
  <cp:lastModifiedBy/>
  <dcterms:modified xsi:type="dcterms:W3CDTF">2026-07-15T09:49:32Z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